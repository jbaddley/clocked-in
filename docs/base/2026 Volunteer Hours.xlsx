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Volunteer Log" sheetId="2" r:id="rId6"/>
    <sheet state="visible" name="Volunteers" sheetId="3" r:id="rId7"/>
    <sheet state="visible" name="Lists &amp; Settings" sheetId="4" r:id="rId8"/>
    <sheet state="visible" name="Summary" sheetId="5" r:id="rId9"/>
    <sheet state="hidden" name="Clockify Import" sheetId="6" r:id="rId10"/>
  </sheets>
  <definedNames>
    <definedName hidden="1" localSheetId="1" name="_xlnm._FilterDatabase">'Volunteer Log'!$A$1:$AC$238</definedName>
    <definedName hidden="1" localSheetId="2" name="_xlnm._FilterDatabase">Volunteers!$A$1:$AA$999</definedName>
    <definedName hidden="1" localSheetId="5" name="_xlnm._FilterDatabase">'Clockify Import'!$A$1:$AO$1000</definedName>
  </definedNames>
  <calcPr/>
</workbook>
</file>

<file path=xl/sharedStrings.xml><?xml version="1.0" encoding="utf-8"?>
<sst xmlns="http://schemas.openxmlformats.org/spreadsheetml/2006/main" count="12967" uniqueCount="350">
  <si>
    <t>Setting</t>
  </si>
  <si>
    <t>Date</t>
  </si>
  <si>
    <t>CASWJ Volunteer Hours Tracking</t>
  </si>
  <si>
    <t>Rate Types</t>
  </si>
  <si>
    <t>Volunteer ID</t>
  </si>
  <si>
    <t>Project / Event</t>
  </si>
  <si>
    <t>Task Categories</t>
  </si>
  <si>
    <t>Groups / Organizations</t>
  </si>
  <si>
    <t>Volunteer</t>
  </si>
  <si>
    <t>First Name</t>
  </si>
  <si>
    <t>Entry Methods</t>
  </si>
  <si>
    <t>Group / Organization</t>
  </si>
  <si>
    <t>Tags</t>
  </si>
  <si>
    <t>Task Category</t>
  </si>
  <si>
    <t>Entry Method</t>
  </si>
  <si>
    <t>Start Time</t>
  </si>
  <si>
    <t>Last Name</t>
  </si>
  <si>
    <t>End Time</t>
  </si>
  <si>
    <t>Display Name</t>
  </si>
  <si>
    <t>Manual Duration</t>
  </si>
  <si>
    <t>Email</t>
  </si>
  <si>
    <t>Zip Code</t>
  </si>
  <si>
    <t>Hours</t>
  </si>
  <si>
    <t>Primary Group</t>
  </si>
  <si>
    <t>Current Utah Volunteer Rate</t>
  </si>
  <si>
    <t>Rate Type</t>
  </si>
  <si>
    <t>Hourly Rate</t>
  </si>
  <si>
    <t>Active?</t>
  </si>
  <si>
    <t>In-Kind Value</t>
  </si>
  <si>
    <t>Utah Volunteer Rate</t>
  </si>
  <si>
    <t>Use this workbook to record volunteer service completed for CASWJ and its Artistic Organizations. Volunteer hours may be entered by individual volunteers or by an authorized coordinator on behalf of a group.</t>
  </si>
  <si>
    <t>Professional Billing Rate</t>
  </si>
  <si>
    <t>CASWJ Board Hours</t>
  </si>
  <si>
    <t>CASWJ</t>
  </si>
  <si>
    <t>Entered By</t>
  </si>
  <si>
    <t>Start / End Time</t>
  </si>
  <si>
    <t>Grant Related</t>
  </si>
  <si>
    <t>Date Entered</t>
  </si>
  <si>
    <t>Effective Hourly Rate</t>
  </si>
  <si>
    <t>Hour Attribution</t>
  </si>
  <si>
    <t>Rate Source Year</t>
  </si>
  <si>
    <t>Notes</t>
  </si>
  <si>
    <t>Committee Member Hours</t>
  </si>
  <si>
    <t>Literary Arts Society</t>
  </si>
  <si>
    <t>Total Hours</t>
  </si>
  <si>
    <t>Board Service</t>
  </si>
  <si>
    <t>Volunteer time is valued using either CASWJ's current Utah volunteer valuation rate or an approved professional billing rate, depending on the volunteer's assigned rate type.</t>
  </si>
  <si>
    <t>Report Published</t>
  </si>
  <si>
    <t>Participant Hours</t>
  </si>
  <si>
    <t>Sugar Factory Playhouse</t>
  </si>
  <si>
    <t>Event Support</t>
  </si>
  <si>
    <t>Default Rate Type</t>
  </si>
  <si>
    <t>Volunteer Hours</t>
  </si>
  <si>
    <t>Visual Arts Society</t>
  </si>
  <si>
    <t>Administrative</t>
  </si>
  <si>
    <t>West Jordan Community Band</t>
  </si>
  <si>
    <t>Community Outreach</t>
  </si>
  <si>
    <t>West Jordan Jazz Band</t>
  </si>
  <si>
    <t>How to Enter Volunteer Hours</t>
  </si>
  <si>
    <t>Education</t>
  </si>
  <si>
    <t>West Jordan Symphony</t>
  </si>
  <si>
    <t>Performance</t>
  </si>
  <si>
    <t>West Jordan Winds</t>
  </si>
  <si>
    <t>Production</t>
  </si>
  <si>
    <t>General - West Jordan Symphony</t>
  </si>
  <si>
    <t>West Jordan Youth Theatre</t>
  </si>
  <si>
    <t>Other</t>
  </si>
  <si>
    <t>Trevor McFarland</t>
  </si>
  <si>
    <t>Type</t>
  </si>
  <si>
    <t>Start Date</t>
  </si>
  <si>
    <t>Alex</t>
  </si>
  <si>
    <t>End Date</t>
  </si>
  <si>
    <t>1. Go to the Volunteer Log sheet.</t>
  </si>
  <si>
    <t>Group</t>
  </si>
  <si>
    <t>Moffitt</t>
  </si>
  <si>
    <t>2. Enter the date the volunteer service occurred.</t>
  </si>
  <si>
    <t>Active Projects / Events</t>
  </si>
  <si>
    <t>3. Select the Project / Event, Volunteer, Group / Organization, and Task Category.</t>
  </si>
  <si>
    <t>4. Choose the Entry Method:</t>
  </si>
  <si>
    <t>No Specific Project</t>
  </si>
  <si>
    <t>• Start / End Time: enter the start and end times.</t>
  </si>
  <si>
    <t>Project</t>
  </si>
  <si>
    <t>• Total Hours: enter the total time in Manual Hours.</t>
  </si>
  <si>
    <t>5. Review the calculated Hours, Hourly Rate, and In-Kind Value.</t>
  </si>
  <si>
    <t>6. Select any applicable Tags and identify who entered the record.</t>
  </si>
  <si>
    <t>7. Enter the Date Entered and add Notes when additional context is helpful.</t>
  </si>
  <si>
    <t>Volunteer Rates &amp; In-Kind Value</t>
  </si>
  <si>
    <t>Yes</t>
  </si>
  <si>
    <t>CASWJ uses a standard Utah volunteer valuation rate for most volunteer service.
When a volunteer is providing professional services and has an approved professional billing rate, that rate may be used instead.
The In-Kind Value is calculated automatically by multiplying the volunteer's recorded hours by the applicable hourly rate.
Professional billing rates should only be used when they reasonably reflect the volunteer's normal rate for the professional service being provided.</t>
  </si>
  <si>
    <t>Workbook Guide</t>
  </si>
  <si>
    <r>
      <rPr>
        <rFont val="Arial"/>
        <b/>
        <color theme="1"/>
      </rPr>
      <t xml:space="preserve">Instructions
</t>
    </r>
    <r>
      <rPr>
        <rFont val="Arial"/>
        <color theme="1"/>
      </rPr>
      <t xml:space="preserve">Overview and instructions for using this workbook.
</t>
    </r>
    <r>
      <rPr>
        <rFont val="Arial"/>
        <b/>
        <color theme="1"/>
      </rPr>
      <t xml:space="preserve">Volunteer Log
</t>
    </r>
    <r>
      <rPr>
        <rFont val="Arial"/>
        <color theme="1"/>
      </rPr>
      <t xml:space="preserve">Enter and review individual volunteer service records.
</t>
    </r>
    <r>
      <rPr>
        <rFont val="Arial"/>
        <b/>
        <color theme="1"/>
      </rPr>
      <t xml:space="preserve">Volunteers
</t>
    </r>
    <r>
      <rPr>
        <rFont val="Arial"/>
        <color theme="1"/>
      </rPr>
      <t xml:space="preserve">Maintain the volunteer roster, contact information, status, and assigned rate type.
</t>
    </r>
    <r>
      <rPr>
        <rFont val="Arial"/>
        <b/>
        <color theme="1"/>
      </rPr>
      <t xml:space="preserve">Lists &amp; Settings
</t>
    </r>
    <r>
      <rPr>
        <rFont val="Arial"/>
        <color theme="1"/>
      </rPr>
      <t xml:space="preserve">Maintain dropdown lists, organization names, task categories, projects/events, tags, and valuation settings.
</t>
    </r>
    <r>
      <rPr>
        <rFont val="Arial"/>
        <b/>
        <color theme="1"/>
      </rPr>
      <t xml:space="preserve">Summary
</t>
    </r>
    <r>
      <rPr>
        <rFont val="Arial"/>
        <color theme="1"/>
      </rPr>
      <t>Review volunteer hours, in-kind value, organization totals, task categories, monthly activity, top volunteers, and project/event totals.</t>
    </r>
  </si>
  <si>
    <t>Data Entry Reminders</t>
  </si>
  <si>
    <t>• Enter volunteer service as soon as practical after it occurs.</t>
  </si>
  <si>
    <t>• Use the most accurate Entry Method available.</t>
  </si>
  <si>
    <t>• Do not enter the same volunteer service more than once.</t>
  </si>
  <si>
    <t>• Select the organization that received the benefit of the volunteer service.</t>
  </si>
  <si>
    <t>• Use Notes when an entry needs additional explanation.</t>
  </si>
  <si>
    <t>Anna</t>
  </si>
  <si>
    <t>• Coordinators entering hours for others should identify themselves in the Entered By field.</t>
  </si>
  <si>
    <t>Nelson</t>
  </si>
  <si>
    <t>• Review flagged cells before considering an entry complete.</t>
  </si>
  <si>
    <t>Questions &amp; Support</t>
  </si>
  <si>
    <t>For questions about volunteer hour reporting, rate types, projects/events, or corrections to submitted entries, contact the Cultural Arts Society of West Jordan.
Do not change formulas, protected settings, or summary calculations unless you are authorized to maintain this workbook.</t>
  </si>
  <si>
    <t>Briana</t>
  </si>
  <si>
    <t>Thaxton</t>
  </si>
  <si>
    <t>No</t>
  </si>
  <si>
    <t>American Dreams February 2026</t>
  </si>
  <si>
    <t>Event</t>
  </si>
  <si>
    <t>Brook</t>
  </si>
  <si>
    <t>Mann</t>
  </si>
  <si>
    <t>Valentine's Concert February 2026</t>
  </si>
  <si>
    <t>Mid-Winter Concert February 2026</t>
  </si>
  <si>
    <t>Chelsea</t>
  </si>
  <si>
    <t>Solo &amp; Ensemble Showcase February 2026</t>
  </si>
  <si>
    <t>McGee</t>
  </si>
  <si>
    <t>A Midsummer Night's Dream March 2026</t>
  </si>
  <si>
    <t>Spring Concert April 2026</t>
  </si>
  <si>
    <t>Spring Concert - April 2026</t>
  </si>
  <si>
    <t>Clockify</t>
  </si>
  <si>
    <t>Import</t>
  </si>
  <si>
    <t>Into the Woods - April 2026</t>
  </si>
  <si>
    <t>Art in the Park - May 2026</t>
  </si>
  <si>
    <t>Summer Concert - May 2026</t>
  </si>
  <si>
    <t>Summer Pops Concert - May 2026</t>
  </si>
  <si>
    <t>Diana</t>
  </si>
  <si>
    <t>Generations - A Masterworks Performance - May 2026</t>
  </si>
  <si>
    <t>Larsen</t>
  </si>
  <si>
    <t>Footloose June 2026</t>
  </si>
  <si>
    <t>Mixtape Vol. 1 Road Trip - July 2026</t>
  </si>
  <si>
    <t>Frozen July &amp; August 2026</t>
  </si>
  <si>
    <t>Janessa</t>
  </si>
  <si>
    <t>Hound of the Baskervilles September 2026</t>
  </si>
  <si>
    <t>Kimball</t>
  </si>
  <si>
    <t>Plein Air 2026</t>
  </si>
  <si>
    <t>First/Final Concert October 2026</t>
  </si>
  <si>
    <t>Into the Stars October 2026</t>
  </si>
  <si>
    <t>Jen</t>
  </si>
  <si>
    <t>Crabb</t>
  </si>
  <si>
    <t>Fall Concert 2026</t>
  </si>
  <si>
    <t>Matilda November 2026</t>
  </si>
  <si>
    <t>Utah Readers Fest 2026</t>
  </si>
  <si>
    <t>Anthology 2026</t>
  </si>
  <si>
    <t>Kirstin</t>
  </si>
  <si>
    <t>Hoyt</t>
  </si>
  <si>
    <t>The Man Who Came to Dinner - December 2026</t>
  </si>
  <si>
    <t>Holiday Concert - December 2026</t>
  </si>
  <si>
    <t>Messiah - December 2026</t>
  </si>
  <si>
    <t>Lynette</t>
  </si>
  <si>
    <t>Owens</t>
  </si>
  <si>
    <t>Marche</t>
  </si>
  <si>
    <t>Weffer</t>
  </si>
  <si>
    <t>(Org) West Jordan Symphony, (Type) Committee Member Hours</t>
  </si>
  <si>
    <t>Clockify Import</t>
  </si>
  <si>
    <t>Trevor McFarland - Director/January</t>
  </si>
  <si>
    <t>Maya</t>
  </si>
  <si>
    <t>Collinwood</t>
  </si>
  <si>
    <t>Rachel</t>
  </si>
  <si>
    <t>O'Crowley</t>
  </si>
  <si>
    <t>Samuel Abramson</t>
  </si>
  <si>
    <t>Samuel</t>
  </si>
  <si>
    <t>Abramson</t>
  </si>
  <si>
    <t>Sam Abramson- Assistant Director/January</t>
  </si>
  <si>
    <t>Trevor</t>
  </si>
  <si>
    <t>McFarland</t>
  </si>
  <si>
    <t>General - West Jordan Youth Theatre</t>
  </si>
  <si>
    <t>Alex Moffitt</t>
  </si>
  <si>
    <t>Michael</t>
  </si>
  <si>
    <t>Goodman</t>
  </si>
  <si>
    <t>(Org) West Jordan Youth Theatre</t>
  </si>
  <si>
    <t>WJYT January Volunteer Hours</t>
  </si>
  <si>
    <t>Diana Larsen</t>
  </si>
  <si>
    <t>Board members/January</t>
  </si>
  <si>
    <t>(Type) Participant Hours, (Org) West Jordan Symphony</t>
  </si>
  <si>
    <t>Rehearsal</t>
  </si>
  <si>
    <t>Art in the Park 2026</t>
  </si>
  <si>
    <t>Briana Thaxton</t>
  </si>
  <si>
    <t>(Event) Art in the Park 2026, (Org) Visual Arts Society, (Type) Committee Member Hours</t>
  </si>
  <si>
    <t>Google Meet with Dillon</t>
  </si>
  <si>
    <t>(Event) Art in the Park 2026, (Type) Committee Member Hours, (Org) Visual Arts Society</t>
  </si>
  <si>
    <t/>
  </si>
  <si>
    <t>Sam Abramson- Assistant Director/February</t>
  </si>
  <si>
    <t>Trevor McFarland - Director/February</t>
  </si>
  <si>
    <t>(Org) West Jordan Youth Theatre, (Type) Participant Hours</t>
  </si>
  <si>
    <t>WJYT February Volunteer hours</t>
  </si>
  <si>
    <t>Concert</t>
  </si>
  <si>
    <t>General - Visual Arts Society</t>
  </si>
  <si>
    <t>Anna Nelson</t>
  </si>
  <si>
    <t>(Type) Committee Member Hours</t>
  </si>
  <si>
    <t>WJAC Meeting</t>
  </si>
  <si>
    <t>Maya Collinwood</t>
  </si>
  <si>
    <t>Committee meeting</t>
  </si>
  <si>
    <t>Art in the Park May 2026</t>
  </si>
  <si>
    <t>Meeting with Michael</t>
  </si>
  <si>
    <t>General - Literary Arts Society</t>
  </si>
  <si>
    <t>Rachel O'Crowley</t>
  </si>
  <si>
    <t>(Type) CASWJ Board Hours</t>
  </si>
  <si>
    <t>Visual Arts</t>
  </si>
  <si>
    <t>Lynette Owens</t>
  </si>
  <si>
    <t>CASWJ entities review</t>
  </si>
  <si>
    <t>General / No Specific Project</t>
  </si>
  <si>
    <t>Chelsea McGee</t>
  </si>
  <si>
    <t>(Org) CASWJ Board, (Type) CASWJ Board Hours</t>
  </si>
  <si>
    <t>Treasurer tasks February</t>
  </si>
  <si>
    <t>Artist Apps</t>
  </si>
  <si>
    <t>(Without Description)</t>
  </si>
  <si>
    <t>CASWJ Board mtg</t>
  </si>
  <si>
    <t>Brook Mann</t>
  </si>
  <si>
    <t>(Org) West Jordan Youth Theatre, (Type) Committee Member Hours</t>
  </si>
  <si>
    <t>Ticket taking</t>
  </si>
  <si>
    <t>Marche Weffer</t>
  </si>
  <si>
    <t>Reviewing Annual Report</t>
  </si>
  <si>
    <t>Docusigning Code of Ethics</t>
  </si>
  <si>
    <t>Responding to request to join submissions</t>
  </si>
  <si>
    <t>Kirstin Hoyt</t>
  </si>
  <si>
    <t>(Org) West Jordan Symphony, (Type) Volunteer Hours</t>
  </si>
  <si>
    <t>Sky Island Quartet Tickets</t>
  </si>
  <si>
    <t>Quartet performance</t>
  </si>
  <si>
    <t>(Org) Visual Arts Society, (Type) Committee Member Hours</t>
  </si>
  <si>
    <t>Committee lunch</t>
  </si>
  <si>
    <t>Simply Sushi Lunch Meeting</t>
  </si>
  <si>
    <t>Janessa Kimball</t>
  </si>
  <si>
    <t>Board Hours</t>
  </si>
  <si>
    <t>WJYT March Volunteer Hours</t>
  </si>
  <si>
    <t>WJYT March Volunteer hours</t>
  </si>
  <si>
    <t>(Type) CASWJ Board Hours, (Org) CASWJ Board</t>
  </si>
  <si>
    <t>Treasurer tasks</t>
  </si>
  <si>
    <t>T shirt quotes and volunteer form</t>
  </si>
  <si>
    <t>General - Sugar Factory Playhouse</t>
  </si>
  <si>
    <t>Jen Crabb</t>
  </si>
  <si>
    <t>Midsummer box office and strike</t>
  </si>
  <si>
    <t>Email Responses</t>
  </si>
  <si>
    <t>Client</t>
  </si>
  <si>
    <t>Description</t>
  </si>
  <si>
    <t>Task</t>
  </si>
  <si>
    <t>User</t>
  </si>
  <si>
    <t>Billable</t>
  </si>
  <si>
    <t>Duration (h)</t>
  </si>
  <si>
    <t>Duration (decimal)</t>
  </si>
  <si>
    <t>Midsummer program</t>
  </si>
  <si>
    <t>Billable Rate (USD)</t>
  </si>
  <si>
    <t>Billable Amount (USD)</t>
  </si>
  <si>
    <t>Date of creation</t>
  </si>
  <si>
    <t>Clean Date</t>
  </si>
  <si>
    <t>Clean Project / Event</t>
  </si>
  <si>
    <t>Clean Volunteer</t>
  </si>
  <si>
    <t>Clean Group / Organization</t>
  </si>
  <si>
    <t>Clean Task Category</t>
  </si>
  <si>
    <t>Clean Entry Method</t>
  </si>
  <si>
    <t>Clean Manual Hours</t>
  </si>
  <si>
    <t>Clean Tags</t>
  </si>
  <si>
    <t>Clean Entered By</t>
  </si>
  <si>
    <t>Clean Date Entered</t>
  </si>
  <si>
    <t>Clean Notes</t>
  </si>
  <si>
    <t>Clockify User</t>
  </si>
  <si>
    <t>Clockify Email</t>
  </si>
  <si>
    <t>Volunteer Display Name</t>
  </si>
  <si>
    <t>Clockify Group</t>
  </si>
  <si>
    <t>Clockify Description</t>
  </si>
  <si>
    <t>Default Group / Organization</t>
  </si>
  <si>
    <t>Clockify Tag</t>
  </si>
  <si>
    <t>Manual Hours</t>
  </si>
  <si>
    <t>Midsummer box office</t>
  </si>
  <si>
    <t>2026 Volunteer Hours</t>
  </si>
  <si>
    <t>diana</t>
  </si>
  <si>
    <t>Coffee truck arrangements, f/u sanitation, email Plein Air partners, fill out Costco request</t>
  </si>
  <si>
    <t>Marketing Meeting</t>
  </si>
  <si>
    <t>Marketing meeting</t>
  </si>
  <si>
    <t>T shirt inquiries</t>
  </si>
  <si>
    <t>Plein air</t>
  </si>
  <si>
    <t>Alex.moffitt</t>
  </si>
  <si>
    <t>CASWJ Board</t>
  </si>
  <si>
    <t>brianna.thaxton</t>
  </si>
  <si>
    <t>Brook mann</t>
  </si>
  <si>
    <t>WJAC Planning meeting</t>
  </si>
  <si>
    <t>Conversation garden meeting</t>
  </si>
  <si>
    <t>Conservation Garden meeting</t>
  </si>
  <si>
    <t>Requesting quotes from various t shirt printing businesses.</t>
  </si>
  <si>
    <t>Becca Henrie</t>
  </si>
  <si>
    <t>Pricing of yard signs and t shirts for Art Festival</t>
  </si>
  <si>
    <t>(Org) Sugar Factory Playhouse, (Type) Committee Member Hours</t>
  </si>
  <si>
    <t>SFP Board meeting</t>
  </si>
  <si>
    <t>maya.collinwood</t>
  </si>
  <si>
    <t>rocrowley</t>
  </si>
  <si>
    <t>lynnette111owens</t>
  </si>
  <si>
    <t>caswj</t>
  </si>
  <si>
    <t>treasurer</t>
  </si>
  <si>
    <t>Meeting with Dillon, map, reminder emails</t>
  </si>
  <si>
    <t>Total Volunteer Hours</t>
  </si>
  <si>
    <t>Total In-Kind Value</t>
  </si>
  <si>
    <t>Unique Volunteers</t>
  </si>
  <si>
    <t>Total Entries</t>
  </si>
  <si>
    <t>Organization</t>
  </si>
  <si>
    <t>brook.mann</t>
  </si>
  <si>
    <t>Month</t>
  </si>
  <si>
    <t>contacting volunteers</t>
  </si>
  <si>
    <t>(Org) Visual Arts Society</t>
  </si>
  <si>
    <t>Meeting</t>
  </si>
  <si>
    <t>Art in the park</t>
  </si>
  <si>
    <t>jkimball</t>
  </si>
  <si>
    <t>(Org) Visual Arts Society, (Type) Volunteer Hours</t>
  </si>
  <si>
    <t>picking up t shirts</t>
  </si>
  <si>
    <t>Jen.crabb</t>
  </si>
  <si>
    <t>SFP Board meeting- finance and marketing</t>
  </si>
  <si>
    <t>volunteer recruitment</t>
  </si>
  <si>
    <t>casWJ</t>
  </si>
  <si>
    <t>Art in the park volunteer form and flyer</t>
  </si>
  <si>
    <t>volunteer form</t>
  </si>
  <si>
    <t>WJYT April Volunteer Hours</t>
  </si>
  <si>
    <t>CASWJ board meeting</t>
  </si>
  <si>
    <t>Diana Larsen board hours March</t>
  </si>
  <si>
    <t>WYJT May Volunteer Hours</t>
  </si>
  <si>
    <t>WJYT May Volunteer Hours</t>
  </si>
  <si>
    <t>Art in the Park Volunteer</t>
  </si>
  <si>
    <t>becca.henrie</t>
  </si>
  <si>
    <t>Art in the Park SFP</t>
  </si>
  <si>
    <t>Art in the Park</t>
  </si>
  <si>
    <t>Membership emails</t>
  </si>
  <si>
    <t>Diana Larsen board hours May</t>
  </si>
  <si>
    <t>WJYT June Volunteer hours</t>
  </si>
  <si>
    <t>Diana Larsen board hours June</t>
  </si>
  <si>
    <t>Plein Air Festival Planning Meeting</t>
  </si>
  <si>
    <t>Plein Air Festival onboarding forms</t>
  </si>
  <si>
    <t>SFP Footloose program and front of house help</t>
  </si>
  <si>
    <t>Plein Air Planning Meeting</t>
  </si>
  <si>
    <t>Plein Air meeting</t>
  </si>
  <si>
    <t>West Jordan board hours June</t>
  </si>
  <si>
    <t>Plein Air Bingo</t>
  </si>
  <si>
    <t>email draft for artists</t>
  </si>
  <si>
    <t>Bandanas and volunteer form</t>
  </si>
  <si>
    <t>Plein Air meeting and planning</t>
  </si>
  <si>
    <t>Venue walk through</t>
  </si>
  <si>
    <t>Plein Air Festival emails</t>
  </si>
  <si>
    <t>Volunteer form and flyer</t>
  </si>
  <si>
    <t>Plein air meeting and partner requests</t>
  </si>
  <si>
    <t>Volunteer hours and thank you</t>
  </si>
  <si>
    <t>Plein Air Festival</t>
  </si>
  <si>
    <t>(Type) Participant Hours</t>
  </si>
  <si>
    <t>volunteer outreach</t>
  </si>
  <si>
    <t>volunteer outreach and sign in form</t>
  </si>
  <si>
    <t>token bags</t>
  </si>
  <si>
    <t>volunteer information/assignments, buy stamps, cut bingo cards</t>
  </si>
  <si>
    <t>finish and print bingo flyers</t>
  </si>
  <si>
    <t>meeting and volunteer outreach</t>
  </si>
  <si>
    <t>email responses and volunteer outreach</t>
  </si>
  <si>
    <t>artivities supplies and hallway artist emails.</t>
  </si>
  <si>
    <t>artivities supply list and craft ideas</t>
  </si>
  <si>
    <t>plein air meeting, volunteer form and outreach</t>
  </si>
  <si>
    <t>Contacting schools for volunteers</t>
  </si>
  <si>
    <t>volunteer hour tracking</t>
  </si>
  <si>
    <t>Michael Goodman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</si>
</sst>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h&quot;:&quot;mm&quot; &quot;am/pm"/>
    <numFmt numFmtId="166" formatCode="m"/>
    <numFmt numFmtId="167" formatCode="&quot;$&quot;#,##0.00"/>
    <numFmt numFmtId="168" formatCode="m/d/yyyy"/>
    <numFmt numFmtId="169" formatCode="mm/dd/yyyy"/>
    <numFmt numFmtId="170" formatCode="mmmm&quot; &quot;"/>
    <numFmt numFmtId="171" formatCode="m/d/yy"/>
  </numFmts>
  <fonts count="9">
    <font>
      <sz val="10.0"/>
      <color rgb="FF000000"/>
      <name val="Arial"/>
      <scheme val="minor"/>
    </font>
    <font>
      <b/>
      <color theme="1"/>
      <name val="Arial"/>
      <scheme val="minor"/>
    </font>
    <font/>
    <font>
      <color theme="1"/>
      <name val="Arial"/>
      <scheme val="minor"/>
    </font>
    <font>
      <color rgb="FF000000"/>
      <name val="Arial"/>
      <scheme val="minor"/>
    </font>
    <font>
      <sz val="11.0"/>
      <color rgb="FF000000"/>
      <name val="&quot;Aptos Narrow&quot;"/>
    </font>
    <font>
      <sz val="11.0"/>
      <color rgb="FF000000"/>
      <name val="Arial"/>
    </font>
    <font>
      <b/>
      <sz val="13.0"/>
      <color theme="1"/>
      <name val="Arial"/>
      <scheme val="minor"/>
    </font>
    <font>
      <b/>
      <color rgb="FF000000"/>
      <name val="Arial"/>
      <scheme val="minor"/>
    </font>
  </fonts>
  <fills count="6">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FCFAFF"/>
        <bgColor rgb="FFFCFAFF"/>
      </patternFill>
    </fill>
    <fill>
      <patternFill patternType="solid">
        <fgColor rgb="FFCFE2F3"/>
        <bgColor rgb="FFCFE2F3"/>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ck">
        <color rgb="FF000000"/>
      </right>
    </border>
    <border>
      <left style="thick">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2" fontId="1" numFmtId="164" xfId="0" applyAlignment="1" applyFill="1" applyFont="1" applyNumberFormat="1">
      <alignment readingOrder="0"/>
    </xf>
    <xf borderId="0" fillId="2" fontId="1" numFmtId="0" xfId="0" applyAlignment="1" applyFill="1" applyFont="1">
      <alignment readingOrder="0"/>
    </xf>
    <xf borderId="1" fillId="2" fontId="1" numFmtId="0" xfId="0" applyAlignment="1" applyBorder="1" applyFill="1" applyFont="1">
      <alignment readingOrder="0" shrinkToFit="0" wrapText="1"/>
    </xf>
    <xf borderId="2" fillId="0" fontId="2" numFmtId="0" xfId="0" applyBorder="1" applyFont="1"/>
    <xf borderId="3" fillId="2" fontId="3" numFmtId="0" xfId="0" applyBorder="1" applyFill="1" applyFont="1"/>
    <xf borderId="0" fillId="2" fontId="1" numFmtId="165" xfId="0" applyAlignment="1" applyFill="1" applyFont="1" applyNumberFormat="1">
      <alignment readingOrder="0"/>
    </xf>
    <xf borderId="0" fillId="0" fontId="3" numFmtId="0" xfId="0" applyAlignment="1" applyFont="1">
      <alignment shrinkToFit="0" wrapText="1"/>
    </xf>
    <xf borderId="0" fillId="2" fontId="1" numFmtId="46" xfId="0" applyAlignment="1" applyFill="1" applyFont="1" applyNumberFormat="1">
      <alignment readingOrder="0"/>
    </xf>
    <xf borderId="0" fillId="2" fontId="1" numFmtId="2" xfId="0" applyAlignment="1" applyFill="1" applyFont="1" applyNumberFormat="1">
      <alignment readingOrder="0"/>
    </xf>
    <xf borderId="0" fillId="2" fontId="1" numFmtId="166" xfId="0" applyAlignment="1" applyFill="1" applyFont="1" applyNumberFormat="1">
      <alignment readingOrder="0"/>
    </xf>
    <xf borderId="4" fillId="0" fontId="3" numFmtId="0" xfId="0" applyAlignment="1" applyBorder="1" applyFont="1">
      <alignment shrinkToFit="0" wrapText="1"/>
    </xf>
    <xf borderId="5" fillId="0" fontId="3" numFmtId="0" xfId="0" applyBorder="1" applyFont="1"/>
    <xf borderId="0" fillId="0" fontId="3" numFmtId="0" xfId="0" applyAlignment="1" applyFont="1">
      <alignment readingOrder="0"/>
    </xf>
    <xf borderId="0" fillId="2" fontId="1" numFmtId="167" xfId="0" applyAlignment="1" applyFill="1" applyFont="1" applyNumberFormat="1">
      <alignment readingOrder="0"/>
    </xf>
    <xf borderId="0" fillId="0" fontId="3" numFmtId="0" xfId="0" applyAlignment="1" applyFont="1">
      <alignment readingOrder="0" shrinkToFit="0" wrapText="1"/>
    </xf>
    <xf borderId="4" fillId="0" fontId="3" numFmtId="0" xfId="0" applyAlignment="1" applyBorder="1" applyFont="1">
      <alignment readingOrder="0" shrinkToFit="0" wrapText="1"/>
    </xf>
    <xf borderId="5" fillId="0" fontId="2" numFmtId="0" xfId="0" applyBorder="1" applyFont="1"/>
    <xf borderId="0" fillId="2" fontId="1" numFmtId="0" xfId="0" applyAlignment="1" applyFill="1" applyFont="1">
      <alignment readingOrder="0"/>
    </xf>
    <xf borderId="6" fillId="0" fontId="3" numFmtId="0" xfId="0" applyAlignment="1" applyBorder="1" applyFont="1">
      <alignment readingOrder="0" shrinkToFit="0" wrapText="1"/>
    </xf>
    <xf borderId="7" fillId="0" fontId="2" numFmtId="0" xfId="0" applyBorder="1" applyFont="1"/>
    <xf borderId="0" fillId="3" fontId="3" numFmtId="164" xfId="0" applyAlignment="1" applyFill="1" applyFont="1" applyNumberFormat="1">
      <alignment readingOrder="0"/>
    </xf>
    <xf borderId="8" fillId="0" fontId="2" numFmtId="0" xfId="0" applyBorder="1" applyFont="1"/>
    <xf borderId="0" fillId="3" fontId="3" numFmtId="0" xfId="0" applyAlignment="1" applyFill="1" applyFont="1">
      <alignment readingOrder="0"/>
    </xf>
    <xf borderId="4" fillId="0" fontId="3" numFmtId="0" xfId="0" applyAlignment="1" applyBorder="1" applyFont="1">
      <alignment readingOrder="0"/>
    </xf>
    <xf borderId="0" fillId="3" fontId="3" numFmtId="0" xfId="0" applyFill="1" applyFont="1"/>
    <xf borderId="0" fillId="3" fontId="3" numFmtId="20" xfId="0" applyAlignment="1" applyFill="1" applyFont="1" applyNumberFormat="1">
      <alignment readingOrder="0"/>
    </xf>
    <xf borderId="4" fillId="0" fontId="3" numFmtId="0" xfId="0" applyBorder="1" applyFont="1"/>
    <xf borderId="0" fillId="3" fontId="3" numFmtId="46" xfId="0" applyFill="1" applyFont="1" applyNumberFormat="1"/>
    <xf borderId="6" fillId="0" fontId="3" numFmtId="0" xfId="0" applyAlignment="1" applyBorder="1" applyFont="1">
      <alignment readingOrder="0"/>
    </xf>
    <xf borderId="7" fillId="0" fontId="3" numFmtId="0" xfId="0" applyBorder="1" applyFont="1"/>
    <xf borderId="8" fillId="0" fontId="3" numFmtId="0" xfId="0" applyBorder="1" applyFont="1"/>
    <xf borderId="0" fillId="3" fontId="3" numFmtId="166" xfId="0" applyFill="1" applyFont="1" applyNumberFormat="1"/>
    <xf borderId="3" fillId="0" fontId="2" numFmtId="0" xfId="0" applyBorder="1" applyFont="1"/>
    <xf borderId="0" fillId="3" fontId="3" numFmtId="167" xfId="0" applyFill="1" applyFont="1" applyNumberFormat="1"/>
    <xf borderId="0" fillId="0" fontId="3" numFmtId="0" xfId="0" applyFont="1"/>
    <xf borderId="2" fillId="2" fontId="3" numFmtId="0" xfId="0" applyBorder="1" applyFill="1" applyFont="1"/>
    <xf borderId="0" fillId="4" fontId="3" numFmtId="0" xfId="0" applyFill="1" applyFont="1"/>
    <xf borderId="0" fillId="4" fontId="3" numFmtId="0" xfId="0" applyAlignment="1" applyFill="1" applyFont="1">
      <alignment readingOrder="0"/>
    </xf>
    <xf borderId="0" fillId="4" fontId="3" numFmtId="166" xfId="0" applyFill="1" applyFont="1" applyNumberFormat="1"/>
    <xf borderId="0" fillId="4" fontId="3" numFmtId="167" xfId="0" applyFill="1" applyFont="1" applyNumberFormat="1"/>
    <xf borderId="0" fillId="0" fontId="3" numFmtId="168" xfId="0" applyAlignment="1" applyFont="1" applyNumberFormat="1">
      <alignment readingOrder="0"/>
    </xf>
    <xf borderId="0" fillId="5" fontId="3" numFmtId="2" xfId="0" applyAlignment="1" applyFill="1" applyFont="1" applyNumberFormat="1">
      <alignment readingOrder="0"/>
    </xf>
    <xf borderId="0" fillId="0" fontId="3" numFmtId="168" xfId="0" applyFont="1" applyNumberFormat="1"/>
    <xf borderId="0" fillId="5" fontId="4" numFmtId="0" xfId="0" applyAlignment="1" applyFill="1" applyFont="1">
      <alignment readingOrder="0"/>
    </xf>
    <xf borderId="0" fillId="5" fontId="3" numFmtId="167" xfId="0" applyAlignment="1" applyFill="1" applyFont="1" applyNumberFormat="1">
      <alignment readingOrder="0"/>
    </xf>
    <xf borderId="0" fillId="4" fontId="3" numFmtId="164" xfId="0" applyAlignment="1" applyFill="1" applyFont="1" applyNumberFormat="1">
      <alignment readingOrder="0"/>
    </xf>
    <xf borderId="0" fillId="4" fontId="3" numFmtId="20" xfId="0" applyAlignment="1" applyFill="1" applyFont="1" applyNumberFormat="1">
      <alignment readingOrder="0"/>
    </xf>
    <xf borderId="0" fillId="4" fontId="3" numFmtId="46" xfId="0" applyFill="1" applyFont="1" applyNumberFormat="1"/>
    <xf borderId="0" fillId="3" fontId="3" numFmtId="164" xfId="0" applyFill="1" applyFont="1" applyNumberFormat="1"/>
    <xf borderId="0" fillId="3" fontId="3" numFmtId="20" xfId="0" applyFill="1" applyFont="1" applyNumberFormat="1"/>
    <xf borderId="0" fillId="5" fontId="3" numFmtId="2" xfId="0" applyFill="1" applyFont="1" applyNumberFormat="1"/>
    <xf borderId="0" fillId="5" fontId="4" numFmtId="0" xfId="0" applyFill="1" applyFont="1"/>
    <xf borderId="0" fillId="5" fontId="3" numFmtId="167" xfId="0" applyFill="1" applyFont="1" applyNumberFormat="1"/>
    <xf borderId="0" fillId="4" fontId="3" numFmtId="164" xfId="0" applyFill="1" applyFont="1" applyNumberFormat="1"/>
    <xf borderId="0" fillId="4" fontId="3" numFmtId="20" xfId="0" applyFill="1" applyFont="1" applyNumberFormat="1"/>
    <xf borderId="9" fillId="0" fontId="1" numFmtId="0" xfId="0" applyAlignment="1" applyBorder="1" applyFont="1">
      <alignment readingOrder="0"/>
    </xf>
    <xf borderId="0" fillId="0" fontId="1" numFmtId="164" xfId="0" applyAlignment="1" applyFont="1" applyNumberFormat="1">
      <alignment readingOrder="0"/>
    </xf>
    <xf borderId="10" fillId="0" fontId="1" numFmtId="0" xfId="0" applyAlignment="1" applyBorder="1" applyFont="1">
      <alignment readingOrder="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169" xfId="0" applyAlignment="1" applyFont="1" applyNumberFormat="1">
      <alignment horizontal="right" readingOrder="0" shrinkToFit="0" vertical="bottom" wrapText="0"/>
    </xf>
    <xf borderId="0" fillId="0" fontId="5" numFmtId="20" xfId="0" applyAlignment="1" applyFont="1" applyNumberFormat="1">
      <alignment horizontal="right" readingOrder="0" shrinkToFit="0" vertical="bottom" wrapText="0"/>
    </xf>
    <xf borderId="0" fillId="0" fontId="5" numFmtId="4" xfId="0" applyAlignment="1" applyFont="1" applyNumberFormat="1">
      <alignment horizontal="right" readingOrder="0" shrinkToFit="0" vertical="bottom" wrapText="0"/>
    </xf>
    <xf borderId="9" fillId="0" fontId="3" numFmtId="169" xfId="0" applyAlignment="1" applyBorder="1" applyFont="1" applyNumberFormat="1">
      <alignment readingOrder="0"/>
    </xf>
    <xf borderId="0" fillId="0" fontId="3" numFmtId="164" xfId="0" applyFont="1" applyNumberFormat="1"/>
    <xf borderId="10" fillId="0" fontId="3" numFmtId="164" xfId="0" applyAlignment="1" applyBorder="1" applyFont="1" applyNumberFormat="1">
      <alignment readingOrder="0"/>
    </xf>
    <xf borderId="0" fillId="0" fontId="3" numFmtId="20" xfId="0" applyAlignment="1" applyFont="1" applyNumberFormat="1">
      <alignment readingOrder="0"/>
    </xf>
    <xf borderId="0" fillId="0" fontId="3" numFmtId="164" xfId="0" applyAlignment="1" applyFont="1" applyNumberFormat="1">
      <alignment readingOrder="0"/>
    </xf>
    <xf borderId="0" fillId="0" fontId="5" numFmtId="46" xfId="0" applyAlignment="1" applyFont="1" applyNumberFormat="1">
      <alignment horizontal="right" readingOrder="0" shrinkToFit="0" vertical="bottom" wrapText="0"/>
    </xf>
    <xf borderId="10" fillId="0" fontId="3" numFmtId="164" xfId="0" applyBorder="1" applyFont="1" applyNumberFormat="1"/>
    <xf borderId="0" fillId="0" fontId="3" numFmtId="20" xfId="0" applyFont="1" applyNumberFormat="1"/>
    <xf borderId="0" fillId="0" fontId="6" numFmtId="0" xfId="0" applyAlignment="1" applyFont="1">
      <alignment readingOrder="0" shrinkToFit="0" vertical="bottom" wrapText="0"/>
    </xf>
    <xf borderId="11" fillId="2" fontId="7" numFmtId="0" xfId="0" applyAlignment="1" applyBorder="1" applyFill="1" applyFont="1">
      <alignment readingOrder="0"/>
    </xf>
    <xf borderId="3" fillId="0" fontId="3" numFmtId="4" xfId="0" applyBorder="1" applyFont="1" applyNumberFormat="1"/>
    <xf borderId="12" fillId="2" fontId="7" numFmtId="0" xfId="0" applyAlignment="1" applyBorder="1" applyFill="1" applyFont="1">
      <alignment readingOrder="0"/>
    </xf>
    <xf borderId="5" fillId="0" fontId="3" numFmtId="167" xfId="0" applyBorder="1" applyFont="1" applyNumberFormat="1"/>
    <xf borderId="13" fillId="2" fontId="7" numFmtId="0" xfId="0" applyAlignment="1" applyBorder="1" applyFill="1" applyFont="1">
      <alignment readingOrder="0"/>
    </xf>
    <xf borderId="7" fillId="2" fontId="8" numFmtId="0" xfId="0" applyAlignment="1" applyBorder="1" applyFill="1" applyFont="1">
      <alignment readingOrder="0" vertical="center"/>
    </xf>
    <xf borderId="6" fillId="2" fontId="8" numFmtId="0" xfId="0" applyAlignment="1" applyBorder="1" applyFill="1" applyFont="1">
      <alignment readingOrder="0" vertical="center"/>
    </xf>
    <xf borderId="8" fillId="2" fontId="8" numFmtId="0" xfId="0" applyAlignment="1" applyBorder="1" applyFill="1" applyFont="1">
      <alignment readingOrder="0" vertical="center"/>
    </xf>
    <xf borderId="4" fillId="0" fontId="3" numFmtId="4" xfId="0" applyBorder="1" applyFont="1" applyNumberFormat="1"/>
    <xf borderId="0" fillId="0" fontId="3" numFmtId="167" xfId="0" applyFont="1" applyNumberFormat="1"/>
    <xf borderId="5" fillId="0" fontId="3" numFmtId="4" xfId="0" applyBorder="1" applyFont="1" applyNumberFormat="1"/>
    <xf borderId="0" fillId="0" fontId="1" numFmtId="170" xfId="0" applyAlignment="1" applyFont="1" applyNumberFormat="1">
      <alignment readingOrder="0"/>
    </xf>
    <xf borderId="0" fillId="0" fontId="3" numFmtId="4" xfId="0" applyFont="1" applyNumberFormat="1"/>
    <xf borderId="0" fillId="0" fontId="3" numFmtId="2" xfId="0" applyFont="1" applyNumberFormat="1"/>
    <xf borderId="0" fillId="0" fontId="3" numFmtId="168" xfId="0" applyAlignment="1" applyFont="1" applyNumberFormat="1">
      <alignment readingOrder="0"/>
    </xf>
    <xf borderId="0" fillId="0" fontId="5" numFmtId="168" xfId="0" applyAlignment="1" applyFont="1" applyNumberFormat="1">
      <alignment horizontal="right" readingOrder="0" shrinkToFit="0" vertical="bottom" wrapText="0"/>
    </xf>
    <xf borderId="0" fillId="0" fontId="5" numFmtId="0" xfId="0" applyAlignment="1" applyFont="1">
      <alignment horizontal="right" readingOrder="0" shrinkToFit="0" vertical="bottom" wrapText="0"/>
    </xf>
    <xf borderId="9" fillId="0" fontId="3" numFmtId="0" xfId="0" applyBorder="1" applyFont="1"/>
    <xf borderId="10" fillId="0" fontId="3" numFmtId="0" xfId="0" applyBorder="1" applyFont="1"/>
    <xf borderId="0" fillId="4" fontId="3" numFmtId="165" xfId="0" applyFill="1" applyFont="1" applyNumberFormat="1"/>
    <xf borderId="0" fillId="4" fontId="3" numFmtId="46" xfId="0" applyAlignment="1" applyFill="1" applyFont="1" applyNumberFormat="1">
      <alignment readingOrder="0"/>
    </xf>
    <xf borderId="0" fillId="4" fontId="3" numFmtId="164" xfId="0" applyAlignment="1" applyFill="1" applyFont="1" applyNumberFormat="1">
      <alignment readingOrder="0"/>
    </xf>
    <xf borderId="0" fillId="3" fontId="3" numFmtId="165" xfId="0" applyFill="1" applyFont="1" applyNumberFormat="1"/>
    <xf borderId="0" fillId="3" fontId="3" numFmtId="46" xfId="0" applyAlignment="1" applyFill="1" applyFont="1" applyNumberFormat="1">
      <alignment readingOrder="0"/>
    </xf>
    <xf borderId="0" fillId="3" fontId="3" numFmtId="164" xfId="0" applyAlignment="1" applyFill="1" applyFont="1" applyNumberFormat="1">
      <alignment readingOrder="0"/>
    </xf>
    <xf borderId="0" fillId="4" fontId="3" numFmtId="171" xfId="0" applyAlignment="1" applyFill="1" applyFont="1" applyNumberFormat="1">
      <alignment readingOrder="0"/>
    </xf>
    <xf borderId="0" fillId="3" fontId="3" numFmtId="171" xfId="0" applyAlignment="1" applyFill="1" applyFont="1" applyNumberFormat="1">
      <alignment readingOrder="0"/>
    </xf>
  </cellXfs>
  <cellStyles count="1">
    <cellStyle xfId="0" name="Normal" builtinId="0"/>
  </cellStyles>
  <dxfs count="9">
    <dxf>
      <font/>
      <fill>
        <patternFill patternType="none"/>
      </fill>
      <border/>
    </dxf>
    <dxf>
      <font>
        <color rgb="FFB7B7B7"/>
      </font>
      <fill>
        <patternFill patternType="solid">
          <fgColor rgb="FFEFEFEF"/>
          <bgColor rgb="FFEFEFEF"/>
        </patternFill>
      </fill>
      <border/>
    </dxf>
    <dxf>
      <font/>
      <fill>
        <patternFill patternType="solid">
          <fgColor rgb="FFFFF2CC"/>
          <bgColor rgb="FFFFF2CC"/>
        </patternFill>
      </fill>
      <border/>
    </dxf>
    <dxf>
      <font/>
      <fill>
        <patternFill patternType="solid">
          <fgColor rgb="FFF4CCCC"/>
          <bgColor rgb="FFF4CCCC"/>
        </patternFill>
      </fill>
      <border/>
    </dxf>
    <dxf>
      <font>
        <color rgb="FF666666"/>
      </font>
      <fill>
        <patternFill patternType="solid">
          <fgColor rgb="FFD9D9D9"/>
          <bgColor rgb="FFD9D9D9"/>
        </patternFill>
      </fill>
      <border/>
    </dxf>
    <dxf>
      <font/>
      <fill>
        <patternFill patternType="solid">
          <fgColor rgb="FFFCE5CD"/>
          <bgColor rgb="FFFCE5CD"/>
        </patternFill>
      </fill>
      <border/>
    </dxf>
    <dxf>
      <font>
        <color rgb="FFF4CCCC"/>
      </font>
      <fill>
        <patternFill patternType="solid">
          <fgColor rgb="FFB7E1CD"/>
          <bgColor rgb="FFB7E1CD"/>
        </patternFill>
      </fill>
      <border/>
    </dxf>
    <dxf>
      <font/>
      <fill>
        <patternFill patternType="solid">
          <fgColor rgb="FFD9EAD3"/>
          <bgColor rgb="FFD9EAD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varyColors val="0"/>
        <c:ser>
          <c:idx val="0"/>
          <c:order val="0"/>
          <c:tx>
            <c:strRef>
              <c:f>Summary!$B$7</c:f>
            </c:strRef>
          </c:tx>
          <c:spPr>
            <a:solidFill>
              <a:schemeClr val="accent1"/>
            </a:solidFill>
            <a:ln cmpd="sng">
              <a:noFill/>
            </a:ln>
          </c:spPr>
          <c:invertIfNegative val="0"/>
          <c:cat>
            <c:strRef>
              <c:f>Summary!$A$8:$A$16</c:f>
            </c:strRef>
          </c:cat>
          <c:val>
            <c:numRef>
              <c:f>Summary!$B$8:$B$16</c:f>
              <c:numCache/>
            </c:numRef>
          </c:val>
        </c:ser>
        <c:axId val="1150237624"/>
        <c:axId val="442712664"/>
      </c:barChart>
      <c:catAx>
        <c:axId val="11502376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42712664"/>
      </c:catAx>
      <c:valAx>
        <c:axId val="4427126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023762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varyColors val="0"/>
        <c:ser>
          <c:idx val="0"/>
          <c:order val="0"/>
          <c:tx>
            <c:strRef>
              <c:f>Summary!$F$7</c:f>
            </c:strRef>
          </c:tx>
          <c:spPr>
            <a:solidFill>
              <a:schemeClr val="accent1"/>
            </a:solidFill>
            <a:ln cmpd="sng">
              <a:noFill/>
            </a:ln>
          </c:spPr>
          <c:invertIfNegative val="0"/>
          <c:cat>
            <c:strRef>
              <c:f>Summary!$E$8:$E$20</c:f>
            </c:strRef>
          </c:cat>
          <c:val>
            <c:numRef>
              <c:f>Summary!$F$8:$F$20</c:f>
              <c:numCache/>
            </c:numRef>
          </c:val>
        </c:ser>
        <c:axId val="1338162100"/>
        <c:axId val="1461283180"/>
      </c:barChart>
      <c:catAx>
        <c:axId val="133816210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61283180"/>
      </c:catAx>
      <c:valAx>
        <c:axId val="14612831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8162100"/>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Volunteer Hours by Month</a:t>
            </a:r>
          </a:p>
        </c:rich>
      </c:tx>
      <c:overlay val="0"/>
    </c:title>
    <c:plotArea>
      <c:layout/>
      <c:barChart>
        <c:barDir val="col"/>
        <c:varyColors val="0"/>
        <c:ser>
          <c:idx val="0"/>
          <c:order val="0"/>
          <c:tx>
            <c:strRef>
              <c:f>Summary!$J$7</c:f>
            </c:strRef>
          </c:tx>
          <c:spPr>
            <a:solidFill>
              <a:schemeClr val="accent1"/>
            </a:solidFill>
            <a:ln cmpd="sng">
              <a:noFill/>
            </a:ln>
          </c:spPr>
          <c:invertIfNegative val="0"/>
          <c:cat>
            <c:strRef>
              <c:f>Summary!$I$8:$I$19</c:f>
            </c:strRef>
          </c:cat>
          <c:val>
            <c:numRef>
              <c:f>Summary!$J$8:$J$19</c:f>
              <c:numCache/>
            </c:numRef>
          </c:val>
        </c:ser>
        <c:axId val="2003234301"/>
        <c:axId val="128337034"/>
      </c:barChart>
      <c:catAx>
        <c:axId val="20032343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8337034"/>
      </c:catAx>
      <c:valAx>
        <c:axId val="1283370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Volunteer Hours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323430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varyColors val="0"/>
        <c:ser>
          <c:idx val="0"/>
          <c:order val="0"/>
          <c:tx>
            <c:strRef>
              <c:f>Summary!$K$7</c:f>
            </c:strRef>
          </c:tx>
          <c:spPr>
            <a:solidFill>
              <a:schemeClr val="accent1"/>
            </a:solidFill>
            <a:ln cmpd="sng">
              <a:noFill/>
            </a:ln>
          </c:spPr>
          <c:invertIfNegative val="0"/>
          <c:cat>
            <c:strRef>
              <c:f>Summary!$I$8:$I$19</c:f>
            </c:strRef>
          </c:cat>
          <c:val>
            <c:numRef>
              <c:f>Summary!$K$8:$K$19</c:f>
              <c:numCache/>
            </c:numRef>
          </c:val>
        </c:ser>
        <c:axId val="266882497"/>
        <c:axId val="1369528845"/>
      </c:barChart>
      <c:catAx>
        <c:axId val="2668824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69528845"/>
      </c:catAx>
      <c:valAx>
        <c:axId val="1369528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688249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varyColors val="0"/>
        <c:ser>
          <c:idx val="0"/>
          <c:order val="0"/>
          <c:tx>
            <c:strRef>
              <c:f>Summary!$N$7</c:f>
            </c:strRef>
          </c:tx>
          <c:spPr>
            <a:solidFill>
              <a:schemeClr val="accent1"/>
            </a:solidFill>
            <a:ln cmpd="sng">
              <a:noFill/>
            </a:ln>
          </c:spPr>
          <c:invertIfNegative val="0"/>
          <c:cat>
            <c:strRef>
              <c:f>Summary!$M$8:$M$1000</c:f>
            </c:strRef>
          </c:cat>
          <c:val>
            <c:numRef>
              <c:f>Summary!$N$8:$N$1000</c:f>
              <c:numCache/>
            </c:numRef>
          </c:val>
        </c:ser>
        <c:axId val="560749967"/>
        <c:axId val="14237531"/>
      </c:barChart>
      <c:catAx>
        <c:axId val="5607499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37531"/>
      </c:catAx>
      <c:valAx>
        <c:axId val="142375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0749967"/>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varyColors val="0"/>
        <c:ser>
          <c:idx val="0"/>
          <c:order val="0"/>
          <c:tx>
            <c:strRef>
              <c:f>Summary!$R$7</c:f>
            </c:strRef>
          </c:tx>
          <c:spPr>
            <a:solidFill>
              <a:schemeClr val="accent1"/>
            </a:solidFill>
            <a:ln cmpd="sng">
              <a:noFill/>
            </a:ln>
          </c:spPr>
          <c:invertIfNegative val="0"/>
          <c:cat>
            <c:strRef>
              <c:f>Summary!$Q$8:$Q$1000</c:f>
            </c:strRef>
          </c:cat>
          <c:val>
            <c:numRef>
              <c:f>Summary!$R$8:$R$1000</c:f>
              <c:numCache/>
            </c:numRef>
          </c:val>
        </c:ser>
        <c:axId val="190439252"/>
        <c:axId val="1447778177"/>
      </c:barChart>
      <c:catAx>
        <c:axId val="1904392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47778177"/>
      </c:catAx>
      <c:valAx>
        <c:axId val="14477781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43925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171450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962025</xdr:colOff>
      <xdr:row>21</xdr:row>
      <xdr:rowOff>171450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59</xdr:row>
      <xdr:rowOff>95250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40</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962025</xdr:colOff>
      <xdr:row>40</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962025</xdr:colOff>
      <xdr:row>59</xdr:row>
      <xdr:rowOff>95250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75"/>
  </cols>
  <sheetData>
    <row r="1">
      <c r="A1" s="2"/>
      <c r="B1" s="6" t="s">
        <v>2</v>
      </c>
      <c r="C1" s="7"/>
      <c r="D1" s="7"/>
      <c r="E1" s="7"/>
      <c r="F1" s="8"/>
    </row>
    <row r="2">
      <c r="A2" s="10"/>
      <c r="B2" s="14"/>
      <c r="F2" s="15"/>
    </row>
    <row r="3">
      <c r="A3" s="18"/>
      <c r="B3" s="19" t="s">
        <v>30</v>
      </c>
      <c r="F3" s="20"/>
    </row>
    <row r="4">
      <c r="A4" s="10"/>
      <c r="B4" s="14"/>
      <c r="F4" s="15"/>
    </row>
    <row r="5">
      <c r="A5" s="18"/>
      <c r="B5" s="22" t="s">
        <v>46</v>
      </c>
      <c r="C5" s="23"/>
      <c r="D5" s="23"/>
      <c r="E5" s="23"/>
      <c r="F5" s="25"/>
    </row>
    <row r="6">
      <c r="A6" s="10"/>
      <c r="B6" s="10"/>
    </row>
    <row r="7">
      <c r="A7" s="10"/>
      <c r="B7" s="10"/>
    </row>
    <row r="8">
      <c r="A8" s="2"/>
      <c r="B8" s="6" t="s">
        <v>58</v>
      </c>
      <c r="C8" s="7"/>
      <c r="D8" s="7"/>
      <c r="E8" s="7"/>
      <c r="F8" s="7"/>
      <c r="G8" s="8"/>
    </row>
    <row r="9">
      <c r="A9" s="16"/>
      <c r="B9" s="27"/>
      <c r="G9" s="15"/>
    </row>
    <row r="10">
      <c r="A10" s="16"/>
      <c r="B10" s="27" t="s">
        <v>72</v>
      </c>
      <c r="G10" s="15"/>
    </row>
    <row r="11">
      <c r="A11" s="16"/>
      <c r="B11" s="27" t="s">
        <v>75</v>
      </c>
      <c r="G11" s="15"/>
    </row>
    <row r="12">
      <c r="A12" s="16"/>
      <c r="B12" s="27" t="s">
        <v>77</v>
      </c>
      <c r="G12" s="15"/>
    </row>
    <row r="13">
      <c r="A13" s="16"/>
      <c r="B13" s="27" t="s">
        <v>78</v>
      </c>
      <c r="G13" s="15"/>
    </row>
    <row r="14">
      <c r="B14" s="30"/>
      <c r="C14" s="16" t="s">
        <v>80</v>
      </c>
      <c r="G14" s="15"/>
    </row>
    <row r="15">
      <c r="B15" s="30"/>
      <c r="C15" s="16" t="s">
        <v>82</v>
      </c>
      <c r="G15" s="15"/>
    </row>
    <row r="16">
      <c r="A16" s="16"/>
      <c r="B16" s="27" t="s">
        <v>83</v>
      </c>
      <c r="G16" s="15"/>
    </row>
    <row r="17">
      <c r="A17" s="16"/>
      <c r="B17" s="27" t="s">
        <v>84</v>
      </c>
      <c r="G17" s="15"/>
    </row>
    <row r="18">
      <c r="A18" s="16"/>
      <c r="B18" s="32" t="s">
        <v>85</v>
      </c>
      <c r="C18" s="33"/>
      <c r="D18" s="33"/>
      <c r="E18" s="33"/>
      <c r="F18" s="33"/>
      <c r="G18" s="34"/>
    </row>
    <row r="19">
      <c r="A19" s="10"/>
      <c r="B19" s="10"/>
    </row>
    <row r="20">
      <c r="A20" s="10"/>
      <c r="B20" s="10"/>
    </row>
    <row r="21">
      <c r="A21" s="2"/>
      <c r="B21" s="6" t="s">
        <v>86</v>
      </c>
      <c r="C21" s="7"/>
      <c r="D21" s="7"/>
      <c r="E21" s="7"/>
      <c r="F21" s="8"/>
    </row>
    <row r="22">
      <c r="A22" s="10"/>
      <c r="B22" s="14"/>
      <c r="F22" s="15"/>
    </row>
    <row r="23" ht="147.0" customHeight="1">
      <c r="A23" s="18"/>
      <c r="B23" s="22" t="s">
        <v>88</v>
      </c>
      <c r="C23" s="23"/>
      <c r="D23" s="23"/>
      <c r="E23" s="23"/>
      <c r="F23" s="25"/>
    </row>
    <row r="24">
      <c r="A24" s="10"/>
      <c r="B24" s="10"/>
    </row>
    <row r="25">
      <c r="A25" s="10"/>
      <c r="B25" s="10"/>
    </row>
    <row r="26">
      <c r="A26" s="2"/>
      <c r="B26" s="6" t="s">
        <v>89</v>
      </c>
      <c r="C26" s="7"/>
      <c r="D26" s="7"/>
      <c r="E26" s="7"/>
      <c r="F26" s="36"/>
    </row>
    <row r="27">
      <c r="A27" s="10"/>
      <c r="B27" s="14"/>
      <c r="F27" s="15"/>
    </row>
    <row r="28">
      <c r="A28" s="18"/>
      <c r="B28" s="22" t="s">
        <v>90</v>
      </c>
      <c r="C28" s="23"/>
      <c r="D28" s="23"/>
      <c r="E28" s="23"/>
      <c r="F28" s="25"/>
    </row>
    <row r="29">
      <c r="A29" s="10"/>
      <c r="B29" s="10"/>
    </row>
    <row r="30">
      <c r="A30" s="10"/>
      <c r="B30" s="10"/>
    </row>
    <row r="31">
      <c r="A31" s="2"/>
      <c r="B31" s="6" t="s">
        <v>91</v>
      </c>
      <c r="C31" s="7"/>
      <c r="D31" s="7"/>
      <c r="E31" s="7"/>
      <c r="F31" s="7"/>
      <c r="G31" s="39"/>
      <c r="H31" s="8"/>
    </row>
    <row r="32">
      <c r="A32" s="16"/>
      <c r="B32" s="27"/>
      <c r="H32" s="15"/>
    </row>
    <row r="33">
      <c r="A33" s="16"/>
      <c r="B33" s="27" t="s">
        <v>92</v>
      </c>
      <c r="H33" s="15"/>
    </row>
    <row r="34">
      <c r="A34" s="16"/>
      <c r="B34" s="27" t="s">
        <v>93</v>
      </c>
      <c r="H34" s="15"/>
    </row>
    <row r="35">
      <c r="A35" s="16"/>
      <c r="B35" s="27" t="s">
        <v>94</v>
      </c>
      <c r="H35" s="15"/>
    </row>
    <row r="36">
      <c r="A36" s="16"/>
      <c r="B36" s="27" t="s">
        <v>95</v>
      </c>
      <c r="H36" s="15"/>
    </row>
    <row r="37">
      <c r="A37" s="16"/>
      <c r="B37" s="27" t="s">
        <v>96</v>
      </c>
      <c r="H37" s="15"/>
    </row>
    <row r="38">
      <c r="A38" s="16"/>
      <c r="B38" s="27" t="s">
        <v>98</v>
      </c>
      <c r="H38" s="15"/>
    </row>
    <row r="39">
      <c r="A39" s="16"/>
      <c r="B39" s="32" t="s">
        <v>100</v>
      </c>
      <c r="C39" s="33"/>
      <c r="D39" s="33"/>
      <c r="E39" s="33"/>
      <c r="F39" s="33"/>
      <c r="G39" s="33"/>
      <c r="H39" s="34"/>
    </row>
    <row r="40">
      <c r="A40" s="10"/>
      <c r="B40" s="10"/>
    </row>
    <row r="41">
      <c r="A41" s="10"/>
      <c r="B41" s="10"/>
    </row>
    <row r="42">
      <c r="A42" s="2"/>
      <c r="B42" s="6" t="s">
        <v>101</v>
      </c>
      <c r="C42" s="7"/>
      <c r="D42" s="7"/>
      <c r="E42" s="7"/>
      <c r="F42" s="36"/>
    </row>
    <row r="43">
      <c r="A43" s="10"/>
      <c r="B43" s="14"/>
      <c r="F43" s="15"/>
    </row>
    <row r="44">
      <c r="A44" s="18"/>
      <c r="B44" s="22" t="s">
        <v>102</v>
      </c>
      <c r="C44" s="23"/>
      <c r="D44" s="23"/>
      <c r="E44" s="23"/>
      <c r="F44" s="25"/>
    </row>
    <row r="45">
      <c r="A45" s="10"/>
      <c r="B45" s="10"/>
    </row>
    <row r="46">
      <c r="A46" s="10"/>
      <c r="B46" s="10"/>
    </row>
    <row r="47">
      <c r="A47" s="10"/>
      <c r="B47" s="10"/>
    </row>
    <row r="48">
      <c r="A48" s="10"/>
      <c r="B48" s="10"/>
    </row>
    <row r="49">
      <c r="A49" s="10"/>
      <c r="B49" s="10"/>
    </row>
    <row r="50">
      <c r="A50" s="10"/>
      <c r="B50" s="10"/>
    </row>
    <row r="51">
      <c r="A51" s="10"/>
      <c r="B51" s="10"/>
    </row>
    <row r="52">
      <c r="A52" s="10"/>
      <c r="B52" s="10"/>
    </row>
    <row r="53">
      <c r="A53" s="10"/>
      <c r="B53" s="10"/>
    </row>
    <row r="54">
      <c r="A54" s="10"/>
      <c r="B54" s="10"/>
    </row>
    <row r="55">
      <c r="A55" s="10"/>
      <c r="B55" s="10"/>
    </row>
    <row r="56">
      <c r="A56" s="10"/>
      <c r="B56" s="10"/>
    </row>
    <row r="57">
      <c r="A57" s="10"/>
      <c r="B57" s="10"/>
    </row>
    <row r="58">
      <c r="A58" s="10"/>
      <c r="B58" s="10"/>
    </row>
    <row r="59">
      <c r="A59" s="10"/>
      <c r="B59" s="10"/>
    </row>
    <row r="60">
      <c r="A60" s="10"/>
      <c r="B60" s="10"/>
    </row>
    <row r="61">
      <c r="A61" s="10"/>
      <c r="B61" s="10"/>
    </row>
    <row r="62">
      <c r="A62" s="10"/>
      <c r="B62" s="10"/>
    </row>
    <row r="63">
      <c r="A63" s="10"/>
      <c r="B63" s="10"/>
    </row>
    <row r="64">
      <c r="A64" s="10"/>
      <c r="B64" s="10"/>
    </row>
    <row r="65">
      <c r="A65" s="10"/>
      <c r="B65" s="10"/>
    </row>
    <row r="66">
      <c r="A66" s="10"/>
      <c r="B66" s="10"/>
    </row>
    <row r="67">
      <c r="A67" s="10"/>
      <c r="B67" s="10"/>
    </row>
    <row r="68">
      <c r="A68" s="10"/>
      <c r="B68" s="10"/>
    </row>
    <row r="69">
      <c r="A69" s="10"/>
      <c r="B69" s="10"/>
    </row>
    <row r="70">
      <c r="A70" s="10"/>
      <c r="B70" s="10"/>
    </row>
    <row r="71">
      <c r="A71" s="10"/>
      <c r="B71" s="10"/>
    </row>
    <row r="72">
      <c r="A72" s="10"/>
      <c r="B72" s="10"/>
    </row>
    <row r="73">
      <c r="A73" s="10"/>
      <c r="B73" s="10"/>
    </row>
    <row r="74">
      <c r="A74" s="10"/>
      <c r="B74" s="10"/>
    </row>
    <row r="75">
      <c r="A75" s="10"/>
      <c r="B75" s="10"/>
    </row>
    <row r="76">
      <c r="A76" s="10"/>
      <c r="B76" s="10"/>
    </row>
    <row r="77">
      <c r="A77" s="10"/>
      <c r="B77" s="10"/>
    </row>
    <row r="78">
      <c r="A78" s="10"/>
      <c r="B78" s="10"/>
    </row>
    <row r="79">
      <c r="A79" s="10"/>
      <c r="B79" s="10"/>
    </row>
    <row r="80">
      <c r="A80" s="10"/>
      <c r="B80" s="10"/>
    </row>
    <row r="81">
      <c r="A81" s="10"/>
      <c r="B81" s="10"/>
    </row>
    <row r="82">
      <c r="A82" s="10"/>
      <c r="B82" s="10"/>
    </row>
    <row r="83">
      <c r="A83" s="10"/>
      <c r="B83" s="10"/>
    </row>
    <row r="84">
      <c r="A84" s="10"/>
      <c r="B84" s="10"/>
    </row>
    <row r="85">
      <c r="A85" s="10"/>
      <c r="B85" s="10"/>
    </row>
    <row r="86">
      <c r="A86" s="10"/>
      <c r="B86" s="10"/>
    </row>
    <row r="87">
      <c r="A87" s="10"/>
      <c r="B87" s="10"/>
    </row>
    <row r="88">
      <c r="A88" s="10"/>
      <c r="B88" s="10"/>
    </row>
    <row r="89">
      <c r="A89" s="10"/>
      <c r="B89" s="10"/>
    </row>
    <row r="90">
      <c r="A90" s="10"/>
      <c r="B90" s="10"/>
    </row>
    <row r="91">
      <c r="A91" s="10"/>
      <c r="B91" s="10"/>
    </row>
    <row r="92">
      <c r="A92" s="10"/>
      <c r="B92" s="10"/>
    </row>
    <row r="93">
      <c r="A93" s="10"/>
      <c r="B93" s="10"/>
    </row>
    <row r="94">
      <c r="A94" s="10"/>
      <c r="B94" s="10"/>
    </row>
    <row r="95">
      <c r="A95" s="10"/>
      <c r="B95" s="10"/>
    </row>
    <row r="96">
      <c r="A96" s="10"/>
      <c r="B96" s="10"/>
    </row>
    <row r="97">
      <c r="A97" s="10"/>
      <c r="B97" s="10"/>
    </row>
    <row r="98">
      <c r="A98" s="10"/>
      <c r="B98" s="10"/>
    </row>
    <row r="99">
      <c r="A99" s="10"/>
      <c r="B99" s="10"/>
    </row>
    <row r="100">
      <c r="A100" s="10"/>
      <c r="B100" s="10"/>
    </row>
    <row r="101">
      <c r="A101" s="10"/>
      <c r="B101" s="10"/>
    </row>
    <row r="102">
      <c r="A102" s="10"/>
      <c r="B102" s="10"/>
    </row>
    <row r="103">
      <c r="A103" s="10"/>
      <c r="B103" s="10"/>
    </row>
    <row r="104">
      <c r="A104" s="10"/>
      <c r="B104" s="10"/>
    </row>
    <row r="105">
      <c r="A105" s="10"/>
      <c r="B105" s="10"/>
    </row>
    <row r="106">
      <c r="A106" s="10"/>
      <c r="B106" s="10"/>
    </row>
    <row r="107">
      <c r="A107" s="10"/>
      <c r="B107" s="10"/>
    </row>
    <row r="108">
      <c r="A108" s="10"/>
      <c r="B108" s="10"/>
    </row>
    <row r="109">
      <c r="A109" s="10"/>
      <c r="B109" s="10"/>
    </row>
    <row r="110">
      <c r="A110" s="10"/>
      <c r="B110" s="10"/>
    </row>
    <row r="111">
      <c r="A111" s="10"/>
      <c r="B111" s="10"/>
    </row>
    <row r="112">
      <c r="A112" s="10"/>
      <c r="B112" s="10"/>
    </row>
    <row r="113">
      <c r="A113" s="10"/>
      <c r="B113" s="10"/>
    </row>
    <row r="114">
      <c r="A114" s="10"/>
      <c r="B114" s="10"/>
    </row>
    <row r="115">
      <c r="A115" s="10"/>
      <c r="B115" s="10"/>
    </row>
    <row r="116">
      <c r="A116" s="10"/>
      <c r="B116" s="10"/>
    </row>
    <row r="117">
      <c r="A117" s="10"/>
      <c r="B117" s="10"/>
    </row>
    <row r="118">
      <c r="A118" s="10"/>
      <c r="B118" s="10"/>
    </row>
    <row r="119">
      <c r="A119" s="10"/>
      <c r="B119" s="10"/>
    </row>
    <row r="120">
      <c r="A120" s="10"/>
      <c r="B120" s="10"/>
    </row>
    <row r="121">
      <c r="A121" s="10"/>
      <c r="B121" s="10"/>
    </row>
    <row r="122">
      <c r="A122" s="10"/>
      <c r="B122" s="10"/>
    </row>
    <row r="123">
      <c r="A123" s="10"/>
      <c r="B123" s="10"/>
    </row>
    <row r="124">
      <c r="A124" s="10"/>
      <c r="B124" s="10"/>
    </row>
    <row r="125">
      <c r="A125" s="10"/>
      <c r="B125" s="10"/>
    </row>
    <row r="126">
      <c r="A126" s="10"/>
      <c r="B126" s="10"/>
    </row>
    <row r="127">
      <c r="A127" s="10"/>
      <c r="B127" s="10"/>
    </row>
    <row r="128">
      <c r="A128" s="10"/>
      <c r="B128" s="10"/>
    </row>
    <row r="129">
      <c r="A129" s="10"/>
      <c r="B129" s="10"/>
    </row>
    <row r="130">
      <c r="A130" s="10"/>
      <c r="B130" s="10"/>
    </row>
    <row r="131">
      <c r="A131" s="10"/>
      <c r="B131" s="10"/>
    </row>
    <row r="132">
      <c r="A132" s="10"/>
      <c r="B132" s="10"/>
    </row>
    <row r="133">
      <c r="A133" s="10"/>
      <c r="B133" s="10"/>
    </row>
    <row r="134">
      <c r="A134" s="10"/>
      <c r="B134" s="10"/>
    </row>
    <row r="135">
      <c r="A135" s="10"/>
      <c r="B135" s="10"/>
    </row>
    <row r="136">
      <c r="A136" s="10"/>
      <c r="B136" s="10"/>
    </row>
    <row r="137">
      <c r="A137" s="10"/>
      <c r="B137" s="10"/>
    </row>
    <row r="138">
      <c r="A138" s="10"/>
      <c r="B138" s="10"/>
    </row>
    <row r="139">
      <c r="A139" s="10"/>
      <c r="B139" s="10"/>
    </row>
    <row r="140">
      <c r="A140" s="10"/>
      <c r="B140" s="10"/>
    </row>
    <row r="141">
      <c r="A141" s="10"/>
      <c r="B141" s="10"/>
    </row>
    <row r="142">
      <c r="A142" s="10"/>
      <c r="B142" s="10"/>
    </row>
    <row r="143">
      <c r="A143" s="10"/>
      <c r="B143" s="10"/>
    </row>
    <row r="144">
      <c r="A144" s="10"/>
      <c r="B144" s="10"/>
    </row>
    <row r="145">
      <c r="A145" s="10"/>
      <c r="B145" s="10"/>
    </row>
    <row r="146">
      <c r="A146" s="10"/>
      <c r="B146" s="10"/>
    </row>
    <row r="147">
      <c r="A147" s="10"/>
      <c r="B147" s="10"/>
    </row>
    <row r="148">
      <c r="A148" s="10"/>
      <c r="B148" s="10"/>
    </row>
    <row r="149">
      <c r="A149" s="10"/>
      <c r="B149" s="10"/>
    </row>
    <row r="150">
      <c r="A150" s="10"/>
      <c r="B150" s="10"/>
    </row>
    <row r="151">
      <c r="A151" s="10"/>
      <c r="B151" s="10"/>
    </row>
    <row r="152">
      <c r="A152" s="10"/>
      <c r="B152" s="10"/>
    </row>
    <row r="153">
      <c r="A153" s="10"/>
      <c r="B153" s="10"/>
    </row>
    <row r="154">
      <c r="A154" s="10"/>
      <c r="B154" s="10"/>
    </row>
    <row r="155">
      <c r="A155" s="10"/>
      <c r="B155" s="10"/>
    </row>
    <row r="156">
      <c r="A156" s="10"/>
      <c r="B156" s="10"/>
    </row>
    <row r="157">
      <c r="A157" s="10"/>
      <c r="B157" s="10"/>
    </row>
    <row r="158">
      <c r="A158" s="10"/>
      <c r="B158" s="10"/>
    </row>
    <row r="159">
      <c r="A159" s="10"/>
      <c r="B159" s="10"/>
    </row>
    <row r="160">
      <c r="A160" s="10"/>
      <c r="B160" s="10"/>
    </row>
    <row r="161">
      <c r="A161" s="10"/>
      <c r="B161" s="10"/>
    </row>
    <row r="162">
      <c r="A162" s="10"/>
      <c r="B162" s="10"/>
    </row>
    <row r="163">
      <c r="A163" s="10"/>
      <c r="B163" s="10"/>
    </row>
    <row r="164">
      <c r="A164" s="10"/>
      <c r="B164" s="10"/>
    </row>
    <row r="165">
      <c r="A165" s="10"/>
      <c r="B165" s="10"/>
    </row>
    <row r="166">
      <c r="A166" s="10"/>
      <c r="B166" s="10"/>
    </row>
    <row r="167">
      <c r="A167" s="10"/>
      <c r="B167" s="10"/>
    </row>
    <row r="168">
      <c r="A168" s="10"/>
      <c r="B168" s="10"/>
    </row>
    <row r="169">
      <c r="A169" s="10"/>
      <c r="B169" s="10"/>
    </row>
    <row r="170">
      <c r="A170" s="10"/>
      <c r="B170" s="10"/>
    </row>
    <row r="171">
      <c r="A171" s="10"/>
      <c r="B171" s="10"/>
    </row>
    <row r="172">
      <c r="A172" s="10"/>
      <c r="B172" s="10"/>
    </row>
    <row r="173">
      <c r="A173" s="10"/>
      <c r="B173" s="10"/>
    </row>
    <row r="174">
      <c r="A174" s="10"/>
      <c r="B174" s="10"/>
    </row>
    <row r="175">
      <c r="A175" s="10"/>
      <c r="B175" s="10"/>
    </row>
    <row r="176">
      <c r="A176" s="10"/>
      <c r="B176" s="10"/>
    </row>
    <row r="177">
      <c r="A177" s="10"/>
      <c r="B177" s="10"/>
    </row>
    <row r="178">
      <c r="A178" s="10"/>
      <c r="B178" s="10"/>
    </row>
    <row r="179">
      <c r="A179" s="10"/>
      <c r="B179" s="10"/>
    </row>
    <row r="180">
      <c r="A180" s="10"/>
      <c r="B180" s="10"/>
    </row>
    <row r="181">
      <c r="A181" s="10"/>
      <c r="B181" s="10"/>
    </row>
    <row r="182">
      <c r="A182" s="10"/>
      <c r="B182" s="10"/>
    </row>
    <row r="183">
      <c r="A183" s="10"/>
      <c r="B183" s="10"/>
    </row>
    <row r="184">
      <c r="A184" s="10"/>
      <c r="B184" s="10"/>
    </row>
    <row r="185">
      <c r="A185" s="10"/>
      <c r="B185" s="10"/>
    </row>
    <row r="186">
      <c r="A186" s="10"/>
      <c r="B186" s="10"/>
    </row>
    <row r="187">
      <c r="A187" s="10"/>
      <c r="B187" s="10"/>
    </row>
    <row r="188">
      <c r="A188" s="10"/>
      <c r="B188" s="10"/>
    </row>
    <row r="189">
      <c r="A189" s="10"/>
      <c r="B189" s="10"/>
    </row>
    <row r="190">
      <c r="A190" s="10"/>
      <c r="B190" s="10"/>
    </row>
    <row r="191">
      <c r="A191" s="10"/>
      <c r="B191" s="10"/>
    </row>
    <row r="192">
      <c r="A192" s="10"/>
      <c r="B192" s="10"/>
    </row>
    <row r="193">
      <c r="A193" s="10"/>
      <c r="B193" s="10"/>
    </row>
    <row r="194">
      <c r="A194" s="10"/>
      <c r="B194" s="10"/>
    </row>
    <row r="195">
      <c r="A195" s="10"/>
      <c r="B195" s="10"/>
    </row>
    <row r="196">
      <c r="A196" s="10"/>
      <c r="B196" s="10"/>
    </row>
    <row r="197">
      <c r="A197" s="10"/>
      <c r="B197" s="10"/>
    </row>
    <row r="198">
      <c r="A198" s="10"/>
      <c r="B198" s="10"/>
    </row>
    <row r="199">
      <c r="A199" s="10"/>
      <c r="B199" s="10"/>
    </row>
    <row r="200">
      <c r="A200" s="10"/>
      <c r="B200" s="10"/>
    </row>
    <row r="201">
      <c r="A201" s="10"/>
      <c r="B201" s="10"/>
    </row>
    <row r="202">
      <c r="A202" s="10"/>
      <c r="B202" s="10"/>
    </row>
    <row r="203">
      <c r="A203" s="10"/>
      <c r="B203" s="10"/>
    </row>
    <row r="204">
      <c r="A204" s="10"/>
      <c r="B204" s="10"/>
    </row>
    <row r="205">
      <c r="A205" s="10"/>
      <c r="B205" s="10"/>
    </row>
    <row r="206">
      <c r="A206" s="10"/>
      <c r="B206" s="10"/>
    </row>
    <row r="207">
      <c r="A207" s="10"/>
      <c r="B207" s="10"/>
    </row>
    <row r="208">
      <c r="A208" s="10"/>
      <c r="B208" s="10"/>
    </row>
    <row r="209">
      <c r="A209" s="10"/>
      <c r="B209" s="10"/>
    </row>
    <row r="210">
      <c r="A210" s="10"/>
      <c r="B210" s="10"/>
    </row>
    <row r="211">
      <c r="A211" s="10"/>
      <c r="B211" s="10"/>
    </row>
    <row r="212">
      <c r="A212" s="10"/>
      <c r="B212" s="10"/>
    </row>
    <row r="213">
      <c r="A213" s="10"/>
      <c r="B213" s="10"/>
    </row>
    <row r="214">
      <c r="A214" s="10"/>
      <c r="B214" s="10"/>
    </row>
    <row r="215">
      <c r="A215" s="10"/>
      <c r="B215" s="10"/>
    </row>
    <row r="216">
      <c r="A216" s="10"/>
      <c r="B216" s="10"/>
    </row>
    <row r="217">
      <c r="A217" s="10"/>
      <c r="B217" s="10"/>
    </row>
    <row r="218">
      <c r="A218" s="10"/>
      <c r="B218" s="10"/>
    </row>
    <row r="219">
      <c r="A219" s="10"/>
      <c r="B219" s="10"/>
    </row>
    <row r="220">
      <c r="A220" s="10"/>
      <c r="B220" s="10"/>
    </row>
    <row r="221">
      <c r="A221" s="10"/>
      <c r="B221" s="10"/>
    </row>
    <row r="222">
      <c r="A222" s="10"/>
      <c r="B222" s="10"/>
    </row>
    <row r="223">
      <c r="A223" s="10"/>
      <c r="B223" s="10"/>
    </row>
    <row r="224">
      <c r="A224" s="10"/>
      <c r="B224" s="10"/>
    </row>
    <row r="225">
      <c r="A225" s="10"/>
      <c r="B225" s="10"/>
    </row>
    <row r="226">
      <c r="A226" s="10"/>
      <c r="B226" s="10"/>
    </row>
    <row r="227">
      <c r="A227" s="10"/>
      <c r="B227" s="10"/>
    </row>
    <row r="228">
      <c r="A228" s="10"/>
      <c r="B228" s="10"/>
    </row>
    <row r="229">
      <c r="A229" s="10"/>
      <c r="B229" s="10"/>
    </row>
    <row r="230">
      <c r="A230" s="10"/>
      <c r="B230" s="10"/>
    </row>
    <row r="231">
      <c r="A231" s="10"/>
      <c r="B231" s="10"/>
    </row>
    <row r="232">
      <c r="A232" s="10"/>
      <c r="B232" s="10"/>
    </row>
    <row r="233">
      <c r="A233" s="10"/>
      <c r="B233" s="10"/>
    </row>
    <row r="234">
      <c r="A234" s="10"/>
      <c r="B234" s="10"/>
    </row>
    <row r="235">
      <c r="A235" s="10"/>
      <c r="B235" s="10"/>
    </row>
    <row r="236">
      <c r="A236" s="10"/>
      <c r="B236" s="10"/>
    </row>
    <row r="237">
      <c r="A237" s="10"/>
      <c r="B237" s="10"/>
    </row>
    <row r="238">
      <c r="A238" s="10"/>
      <c r="B238" s="10"/>
    </row>
    <row r="239">
      <c r="A239" s="10"/>
      <c r="B239" s="10"/>
    </row>
    <row r="240">
      <c r="A240" s="10"/>
      <c r="B240" s="10"/>
    </row>
    <row r="241">
      <c r="A241" s="10"/>
      <c r="B241" s="10"/>
    </row>
    <row r="242">
      <c r="A242" s="10"/>
      <c r="B242" s="10"/>
    </row>
    <row r="243">
      <c r="A243" s="10"/>
      <c r="B243" s="10"/>
    </row>
    <row r="244">
      <c r="A244" s="10"/>
      <c r="B244" s="10"/>
    </row>
    <row r="245">
      <c r="A245" s="10"/>
      <c r="B245" s="10"/>
    </row>
    <row r="246">
      <c r="A246" s="10"/>
      <c r="B246" s="10"/>
    </row>
    <row r="247">
      <c r="A247" s="10"/>
      <c r="B247" s="10"/>
    </row>
    <row r="248">
      <c r="A248" s="10"/>
      <c r="B248" s="10"/>
    </row>
    <row r="249">
      <c r="A249" s="10"/>
      <c r="B249" s="10"/>
    </row>
    <row r="250">
      <c r="A250" s="10"/>
      <c r="B250" s="10"/>
    </row>
    <row r="251">
      <c r="A251" s="10"/>
      <c r="B251" s="10"/>
    </row>
    <row r="252">
      <c r="A252" s="10"/>
      <c r="B252" s="10"/>
    </row>
    <row r="253">
      <c r="A253" s="10"/>
      <c r="B253" s="10"/>
    </row>
    <row r="254">
      <c r="A254" s="10"/>
      <c r="B254" s="10"/>
    </row>
    <row r="255">
      <c r="A255" s="10"/>
      <c r="B255" s="10"/>
    </row>
    <row r="256">
      <c r="A256" s="10"/>
      <c r="B256" s="10"/>
    </row>
    <row r="257">
      <c r="A257" s="10"/>
      <c r="B257" s="10"/>
    </row>
    <row r="258">
      <c r="A258" s="10"/>
      <c r="B258" s="10"/>
    </row>
    <row r="259">
      <c r="A259" s="10"/>
      <c r="B259" s="10"/>
    </row>
    <row r="260">
      <c r="A260" s="10"/>
      <c r="B260" s="10"/>
    </row>
    <row r="261">
      <c r="A261" s="10"/>
      <c r="B261" s="10"/>
    </row>
    <row r="262">
      <c r="A262" s="10"/>
      <c r="B262" s="10"/>
    </row>
    <row r="263">
      <c r="A263" s="10"/>
      <c r="B263" s="10"/>
    </row>
    <row r="264">
      <c r="A264" s="10"/>
      <c r="B264" s="10"/>
    </row>
    <row r="265">
      <c r="A265" s="10"/>
      <c r="B265" s="10"/>
    </row>
    <row r="266">
      <c r="A266" s="10"/>
      <c r="B266" s="10"/>
    </row>
    <row r="267">
      <c r="A267" s="10"/>
      <c r="B267" s="10"/>
    </row>
    <row r="268">
      <c r="A268" s="10"/>
      <c r="B268" s="10"/>
    </row>
    <row r="269">
      <c r="A269" s="10"/>
      <c r="B269" s="10"/>
    </row>
    <row r="270">
      <c r="A270" s="10"/>
      <c r="B270" s="10"/>
    </row>
    <row r="271">
      <c r="A271" s="10"/>
      <c r="B271" s="10"/>
    </row>
    <row r="272">
      <c r="A272" s="10"/>
      <c r="B272" s="10"/>
    </row>
    <row r="273">
      <c r="A273" s="10"/>
      <c r="B273" s="10"/>
    </row>
    <row r="274">
      <c r="A274" s="10"/>
      <c r="B274" s="10"/>
    </row>
    <row r="275">
      <c r="A275" s="10"/>
      <c r="B275" s="10"/>
    </row>
    <row r="276">
      <c r="A276" s="10"/>
      <c r="B276" s="10"/>
    </row>
    <row r="277">
      <c r="A277" s="10"/>
      <c r="B277" s="10"/>
    </row>
    <row r="278">
      <c r="A278" s="10"/>
      <c r="B278" s="10"/>
    </row>
    <row r="279">
      <c r="A279" s="10"/>
      <c r="B279" s="10"/>
    </row>
    <row r="280">
      <c r="A280" s="10"/>
      <c r="B280" s="10"/>
    </row>
    <row r="281">
      <c r="A281" s="10"/>
      <c r="B281" s="10"/>
    </row>
    <row r="282">
      <c r="A282" s="10"/>
      <c r="B282" s="10"/>
    </row>
    <row r="283">
      <c r="A283" s="10"/>
      <c r="B283" s="10"/>
    </row>
    <row r="284">
      <c r="A284" s="10"/>
      <c r="B284" s="10"/>
    </row>
    <row r="285">
      <c r="A285" s="10"/>
      <c r="B285" s="10"/>
    </row>
    <row r="286">
      <c r="A286" s="10"/>
      <c r="B286" s="10"/>
    </row>
    <row r="287">
      <c r="A287" s="10"/>
      <c r="B287" s="10"/>
    </row>
    <row r="288">
      <c r="A288" s="10"/>
      <c r="B288" s="10"/>
    </row>
    <row r="289">
      <c r="A289" s="10"/>
      <c r="B289" s="10"/>
    </row>
    <row r="290">
      <c r="A290" s="10"/>
      <c r="B290" s="10"/>
    </row>
    <row r="291">
      <c r="A291" s="10"/>
      <c r="B291" s="10"/>
    </row>
    <row r="292">
      <c r="A292" s="10"/>
      <c r="B292" s="10"/>
    </row>
    <row r="293">
      <c r="A293" s="10"/>
      <c r="B293" s="10"/>
    </row>
    <row r="294">
      <c r="A294" s="10"/>
      <c r="B294" s="10"/>
    </row>
    <row r="295">
      <c r="A295" s="10"/>
      <c r="B295" s="10"/>
    </row>
    <row r="296">
      <c r="A296" s="10"/>
      <c r="B296" s="10"/>
    </row>
    <row r="297">
      <c r="A297" s="10"/>
      <c r="B297" s="10"/>
    </row>
    <row r="298">
      <c r="A298" s="10"/>
      <c r="B298" s="10"/>
    </row>
    <row r="299">
      <c r="A299" s="10"/>
      <c r="B299" s="10"/>
    </row>
    <row r="300">
      <c r="A300" s="10"/>
      <c r="B300" s="10"/>
    </row>
    <row r="301">
      <c r="A301" s="10"/>
      <c r="B301" s="10"/>
    </row>
    <row r="302">
      <c r="A302" s="10"/>
      <c r="B302" s="10"/>
    </row>
    <row r="303">
      <c r="A303" s="10"/>
      <c r="B303" s="10"/>
    </row>
    <row r="304">
      <c r="A304" s="10"/>
      <c r="B304" s="10"/>
    </row>
    <row r="305">
      <c r="A305" s="10"/>
      <c r="B305" s="10"/>
    </row>
    <row r="306">
      <c r="A306" s="10"/>
      <c r="B306" s="10"/>
    </row>
    <row r="307">
      <c r="A307" s="10"/>
      <c r="B307" s="10"/>
    </row>
    <row r="308">
      <c r="A308" s="10"/>
      <c r="B308" s="10"/>
    </row>
    <row r="309">
      <c r="A309" s="10"/>
      <c r="B309" s="10"/>
    </row>
    <row r="310">
      <c r="A310" s="10"/>
      <c r="B310" s="10"/>
    </row>
    <row r="311">
      <c r="A311" s="10"/>
      <c r="B311" s="10"/>
    </row>
    <row r="312">
      <c r="A312" s="10"/>
      <c r="B312" s="10"/>
    </row>
    <row r="313">
      <c r="A313" s="10"/>
      <c r="B313" s="10"/>
    </row>
    <row r="314">
      <c r="A314" s="10"/>
      <c r="B314" s="10"/>
    </row>
    <row r="315">
      <c r="A315" s="10"/>
      <c r="B315" s="10"/>
    </row>
    <row r="316">
      <c r="A316" s="10"/>
      <c r="B316" s="10"/>
    </row>
    <row r="317">
      <c r="A317" s="10"/>
      <c r="B317" s="10"/>
    </row>
    <row r="318">
      <c r="A318" s="10"/>
      <c r="B318" s="10"/>
    </row>
    <row r="319">
      <c r="A319" s="10"/>
      <c r="B319" s="10"/>
    </row>
    <row r="320">
      <c r="A320" s="10"/>
      <c r="B320" s="10"/>
    </row>
    <row r="321">
      <c r="A321" s="10"/>
      <c r="B321" s="10"/>
    </row>
    <row r="322">
      <c r="A322" s="10"/>
      <c r="B322" s="10"/>
    </row>
    <row r="323">
      <c r="A323" s="10"/>
      <c r="B323" s="10"/>
    </row>
    <row r="324">
      <c r="A324" s="10"/>
      <c r="B324" s="10"/>
    </row>
    <row r="325">
      <c r="A325" s="10"/>
      <c r="B325" s="10"/>
    </row>
    <row r="326">
      <c r="A326" s="10"/>
      <c r="B326" s="10"/>
    </row>
    <row r="327">
      <c r="A327" s="10"/>
      <c r="B327" s="10"/>
    </row>
    <row r="328">
      <c r="A328" s="10"/>
      <c r="B328" s="10"/>
    </row>
    <row r="329">
      <c r="A329" s="10"/>
      <c r="B329" s="10"/>
    </row>
    <row r="330">
      <c r="A330" s="10"/>
      <c r="B330" s="10"/>
    </row>
    <row r="331">
      <c r="A331" s="10"/>
      <c r="B331" s="10"/>
    </row>
    <row r="332">
      <c r="A332" s="10"/>
      <c r="B332" s="10"/>
    </row>
    <row r="333">
      <c r="A333" s="10"/>
      <c r="B333" s="10"/>
    </row>
    <row r="334">
      <c r="A334" s="10"/>
      <c r="B334" s="10"/>
    </row>
    <row r="335">
      <c r="A335" s="10"/>
      <c r="B335" s="10"/>
    </row>
    <row r="336">
      <c r="A336" s="10"/>
      <c r="B336" s="10"/>
    </row>
    <row r="337">
      <c r="A337" s="10"/>
      <c r="B337" s="10"/>
    </row>
    <row r="338">
      <c r="A338" s="10"/>
      <c r="B338" s="10"/>
    </row>
    <row r="339">
      <c r="A339" s="10"/>
      <c r="B339" s="10"/>
    </row>
    <row r="340">
      <c r="A340" s="10"/>
      <c r="B340" s="10"/>
    </row>
    <row r="341">
      <c r="A341" s="10"/>
      <c r="B341" s="10"/>
    </row>
    <row r="342">
      <c r="A342" s="10"/>
      <c r="B342" s="10"/>
    </row>
    <row r="343">
      <c r="A343" s="10"/>
      <c r="B343" s="10"/>
    </row>
    <row r="344">
      <c r="A344" s="10"/>
      <c r="B344" s="10"/>
    </row>
    <row r="345">
      <c r="A345" s="10"/>
      <c r="B345" s="10"/>
    </row>
    <row r="346">
      <c r="A346" s="10"/>
      <c r="B346" s="10"/>
    </row>
    <row r="347">
      <c r="A347" s="10"/>
      <c r="B347" s="10"/>
    </row>
    <row r="348">
      <c r="A348" s="10"/>
      <c r="B348" s="10"/>
    </row>
    <row r="349">
      <c r="A349" s="10"/>
      <c r="B349" s="10"/>
    </row>
    <row r="350">
      <c r="A350" s="10"/>
      <c r="B350" s="10"/>
    </row>
    <row r="351">
      <c r="A351" s="10"/>
      <c r="B351" s="10"/>
    </row>
    <row r="352">
      <c r="A352" s="10"/>
      <c r="B352" s="10"/>
    </row>
    <row r="353">
      <c r="A353" s="10"/>
      <c r="B353" s="10"/>
    </row>
    <row r="354">
      <c r="A354" s="10"/>
      <c r="B354" s="10"/>
    </row>
    <row r="355">
      <c r="A355" s="10"/>
      <c r="B355" s="10"/>
    </row>
    <row r="356">
      <c r="A356" s="10"/>
      <c r="B356" s="10"/>
    </row>
    <row r="357">
      <c r="A357" s="10"/>
      <c r="B357" s="10"/>
    </row>
    <row r="358">
      <c r="A358" s="10"/>
      <c r="B358" s="10"/>
    </row>
    <row r="359">
      <c r="A359" s="10"/>
      <c r="B359" s="10"/>
    </row>
    <row r="360">
      <c r="A360" s="10"/>
      <c r="B360" s="10"/>
    </row>
    <row r="361">
      <c r="A361" s="10"/>
      <c r="B361" s="10"/>
    </row>
    <row r="362">
      <c r="A362" s="10"/>
      <c r="B362" s="10"/>
    </row>
    <row r="363">
      <c r="A363" s="10"/>
      <c r="B363" s="10"/>
    </row>
    <row r="364">
      <c r="A364" s="10"/>
      <c r="B364" s="10"/>
    </row>
    <row r="365">
      <c r="A365" s="10"/>
      <c r="B365" s="10"/>
    </row>
    <row r="366">
      <c r="A366" s="10"/>
      <c r="B366" s="10"/>
    </row>
    <row r="367">
      <c r="A367" s="10"/>
      <c r="B367" s="10"/>
    </row>
    <row r="368">
      <c r="A368" s="10"/>
      <c r="B368" s="10"/>
    </row>
    <row r="369">
      <c r="A369" s="10"/>
      <c r="B369" s="10"/>
    </row>
    <row r="370">
      <c r="A370" s="10"/>
      <c r="B370" s="10"/>
    </row>
    <row r="371">
      <c r="A371" s="10"/>
      <c r="B371" s="10"/>
    </row>
    <row r="372">
      <c r="A372" s="10"/>
      <c r="B372" s="10"/>
    </row>
    <row r="373">
      <c r="A373" s="10"/>
      <c r="B373" s="10"/>
    </row>
    <row r="374">
      <c r="A374" s="10"/>
      <c r="B374" s="10"/>
    </row>
    <row r="375">
      <c r="A375" s="10"/>
      <c r="B375" s="10"/>
    </row>
    <row r="376">
      <c r="A376" s="10"/>
      <c r="B376" s="10"/>
    </row>
    <row r="377">
      <c r="A377" s="10"/>
      <c r="B377" s="10"/>
    </row>
    <row r="378">
      <c r="A378" s="10"/>
      <c r="B378" s="10"/>
    </row>
    <row r="379">
      <c r="A379" s="10"/>
      <c r="B379" s="10"/>
    </row>
    <row r="380">
      <c r="A380" s="10"/>
      <c r="B380" s="10"/>
    </row>
    <row r="381">
      <c r="A381" s="10"/>
      <c r="B381" s="10"/>
    </row>
    <row r="382">
      <c r="A382" s="10"/>
      <c r="B382" s="10"/>
    </row>
    <row r="383">
      <c r="A383" s="10"/>
      <c r="B383" s="10"/>
    </row>
    <row r="384">
      <c r="A384" s="10"/>
      <c r="B384" s="10"/>
    </row>
    <row r="385">
      <c r="A385" s="10"/>
      <c r="B385" s="10"/>
    </row>
    <row r="386">
      <c r="A386" s="10"/>
      <c r="B386" s="10"/>
    </row>
    <row r="387">
      <c r="A387" s="10"/>
      <c r="B387" s="10"/>
    </row>
    <row r="388">
      <c r="A388" s="10"/>
      <c r="B388" s="10"/>
    </row>
    <row r="389">
      <c r="A389" s="10"/>
      <c r="B389" s="10"/>
    </row>
    <row r="390">
      <c r="A390" s="10"/>
      <c r="B390" s="10"/>
    </row>
    <row r="391">
      <c r="A391" s="10"/>
      <c r="B391" s="10"/>
    </row>
    <row r="392">
      <c r="A392" s="10"/>
      <c r="B392" s="10"/>
    </row>
    <row r="393">
      <c r="A393" s="10"/>
      <c r="B393" s="10"/>
    </row>
    <row r="394">
      <c r="A394" s="10"/>
      <c r="B394" s="10"/>
    </row>
    <row r="395">
      <c r="A395" s="10"/>
      <c r="B395" s="10"/>
    </row>
    <row r="396">
      <c r="A396" s="10"/>
      <c r="B396" s="10"/>
    </row>
    <row r="397">
      <c r="A397" s="10"/>
      <c r="B397" s="10"/>
    </row>
    <row r="398">
      <c r="A398" s="10"/>
      <c r="B398" s="10"/>
    </row>
    <row r="399">
      <c r="A399" s="10"/>
      <c r="B399" s="10"/>
    </row>
    <row r="400">
      <c r="A400" s="10"/>
      <c r="B400" s="10"/>
    </row>
    <row r="401">
      <c r="A401" s="10"/>
      <c r="B401" s="10"/>
    </row>
    <row r="402">
      <c r="A402" s="10"/>
      <c r="B402" s="10"/>
    </row>
    <row r="403">
      <c r="A403" s="10"/>
      <c r="B403" s="10"/>
    </row>
    <row r="404">
      <c r="A404" s="10"/>
      <c r="B404" s="10"/>
    </row>
    <row r="405">
      <c r="A405" s="10"/>
      <c r="B405" s="10"/>
    </row>
    <row r="406">
      <c r="A406" s="10"/>
      <c r="B406" s="10"/>
    </row>
    <row r="407">
      <c r="A407" s="10"/>
      <c r="B407" s="10"/>
    </row>
    <row r="408">
      <c r="A408" s="10"/>
      <c r="B408" s="10"/>
    </row>
    <row r="409">
      <c r="A409" s="10"/>
      <c r="B409" s="10"/>
    </row>
    <row r="410">
      <c r="A410" s="10"/>
      <c r="B410" s="10"/>
    </row>
    <row r="411">
      <c r="A411" s="10"/>
      <c r="B411" s="10"/>
    </row>
    <row r="412">
      <c r="A412" s="10"/>
      <c r="B412" s="10"/>
    </row>
    <row r="413">
      <c r="A413" s="10"/>
      <c r="B413" s="10"/>
    </row>
    <row r="414">
      <c r="A414" s="10"/>
      <c r="B414" s="10"/>
    </row>
    <row r="415">
      <c r="A415" s="10"/>
      <c r="B415" s="10"/>
    </row>
    <row r="416">
      <c r="A416" s="10"/>
      <c r="B416" s="10"/>
    </row>
    <row r="417">
      <c r="A417" s="10"/>
      <c r="B417" s="10"/>
    </row>
    <row r="418">
      <c r="A418" s="10"/>
      <c r="B418" s="10"/>
    </row>
    <row r="419">
      <c r="A419" s="10"/>
      <c r="B419" s="10"/>
    </row>
    <row r="420">
      <c r="A420" s="10"/>
      <c r="B420" s="10"/>
    </row>
    <row r="421">
      <c r="A421" s="10"/>
      <c r="B421" s="10"/>
    </row>
    <row r="422">
      <c r="A422" s="10"/>
      <c r="B422" s="10"/>
    </row>
    <row r="423">
      <c r="A423" s="10"/>
      <c r="B423" s="10"/>
    </row>
    <row r="424">
      <c r="A424" s="10"/>
      <c r="B424" s="10"/>
    </row>
    <row r="425">
      <c r="A425" s="10"/>
      <c r="B425" s="10"/>
    </row>
    <row r="426">
      <c r="A426" s="10"/>
      <c r="B426" s="10"/>
    </row>
    <row r="427">
      <c r="A427" s="10"/>
      <c r="B427" s="10"/>
    </row>
    <row r="428">
      <c r="A428" s="10"/>
      <c r="B428" s="10"/>
    </row>
    <row r="429">
      <c r="A429" s="10"/>
      <c r="B429" s="10"/>
    </row>
    <row r="430">
      <c r="A430" s="10"/>
      <c r="B430" s="10"/>
    </row>
    <row r="431">
      <c r="A431" s="10"/>
      <c r="B431" s="10"/>
    </row>
    <row r="432">
      <c r="A432" s="10"/>
      <c r="B432" s="10"/>
    </row>
    <row r="433">
      <c r="A433" s="10"/>
      <c r="B433" s="10"/>
    </row>
    <row r="434">
      <c r="A434" s="10"/>
      <c r="B434" s="10"/>
    </row>
    <row r="435">
      <c r="A435" s="10"/>
      <c r="B435" s="10"/>
    </row>
    <row r="436">
      <c r="A436" s="10"/>
      <c r="B436" s="10"/>
    </row>
    <row r="437">
      <c r="A437" s="10"/>
      <c r="B437" s="10"/>
    </row>
    <row r="438">
      <c r="A438" s="10"/>
      <c r="B438" s="10"/>
    </row>
    <row r="439">
      <c r="A439" s="10"/>
      <c r="B439" s="10"/>
    </row>
    <row r="440">
      <c r="A440" s="10"/>
      <c r="B440" s="10"/>
    </row>
    <row r="441">
      <c r="A441" s="10"/>
      <c r="B441" s="10"/>
    </row>
    <row r="442">
      <c r="A442" s="10"/>
      <c r="B442" s="10"/>
    </row>
    <row r="443">
      <c r="A443" s="10"/>
      <c r="B443" s="10"/>
    </row>
    <row r="444">
      <c r="A444" s="10"/>
      <c r="B444" s="10"/>
    </row>
    <row r="445">
      <c r="A445" s="10"/>
      <c r="B445" s="10"/>
    </row>
    <row r="446">
      <c r="A446" s="10"/>
      <c r="B446" s="10"/>
    </row>
    <row r="447">
      <c r="A447" s="10"/>
      <c r="B447" s="10"/>
    </row>
    <row r="448">
      <c r="A448" s="10"/>
      <c r="B448" s="10"/>
    </row>
    <row r="449">
      <c r="A449" s="10"/>
      <c r="B449" s="10"/>
    </row>
    <row r="450">
      <c r="A450" s="10"/>
      <c r="B450" s="10"/>
    </row>
    <row r="451">
      <c r="A451" s="10"/>
      <c r="B451" s="10"/>
    </row>
    <row r="452">
      <c r="A452" s="10"/>
      <c r="B452" s="10"/>
    </row>
    <row r="453">
      <c r="A453" s="10"/>
      <c r="B453" s="10"/>
    </row>
    <row r="454">
      <c r="A454" s="10"/>
      <c r="B454" s="10"/>
    </row>
    <row r="455">
      <c r="A455" s="10"/>
      <c r="B455" s="10"/>
    </row>
    <row r="456">
      <c r="A456" s="10"/>
      <c r="B456" s="10"/>
    </row>
    <row r="457">
      <c r="A457" s="10"/>
      <c r="B457" s="10"/>
    </row>
    <row r="458">
      <c r="A458" s="10"/>
      <c r="B458" s="10"/>
    </row>
    <row r="459">
      <c r="A459" s="10"/>
      <c r="B459" s="10"/>
    </row>
    <row r="460">
      <c r="A460" s="10"/>
      <c r="B460" s="10"/>
    </row>
    <row r="461">
      <c r="A461" s="10"/>
      <c r="B461" s="10"/>
    </row>
    <row r="462">
      <c r="A462" s="10"/>
      <c r="B462" s="10"/>
    </row>
    <row r="463">
      <c r="A463" s="10"/>
      <c r="B463" s="10"/>
    </row>
    <row r="464">
      <c r="A464" s="10"/>
      <c r="B464" s="10"/>
    </row>
    <row r="465">
      <c r="A465" s="10"/>
      <c r="B465" s="10"/>
    </row>
    <row r="466">
      <c r="A466" s="10"/>
      <c r="B466" s="10"/>
    </row>
    <row r="467">
      <c r="A467" s="10"/>
      <c r="B467" s="10"/>
    </row>
    <row r="468">
      <c r="A468" s="10"/>
      <c r="B468" s="10"/>
    </row>
    <row r="469">
      <c r="A469" s="10"/>
      <c r="B469" s="10"/>
    </row>
    <row r="470">
      <c r="A470" s="10"/>
      <c r="B470" s="10"/>
    </row>
    <row r="471">
      <c r="A471" s="10"/>
      <c r="B471" s="10"/>
    </row>
    <row r="472">
      <c r="A472" s="10"/>
      <c r="B472" s="10"/>
    </row>
    <row r="473">
      <c r="A473" s="10"/>
      <c r="B473" s="10"/>
    </row>
    <row r="474">
      <c r="A474" s="10"/>
      <c r="B474" s="10"/>
    </row>
    <row r="475">
      <c r="A475" s="10"/>
      <c r="B475" s="10"/>
    </row>
    <row r="476">
      <c r="A476" s="10"/>
      <c r="B476" s="10"/>
    </row>
    <row r="477">
      <c r="A477" s="10"/>
      <c r="B477" s="10"/>
    </row>
    <row r="478">
      <c r="A478" s="10"/>
      <c r="B478" s="10"/>
    </row>
    <row r="479">
      <c r="A479" s="10"/>
      <c r="B479" s="10"/>
    </row>
    <row r="480">
      <c r="A480" s="10"/>
      <c r="B480" s="10"/>
    </row>
    <row r="481">
      <c r="A481" s="10"/>
      <c r="B481" s="10"/>
    </row>
    <row r="482">
      <c r="A482" s="10"/>
      <c r="B482" s="10"/>
    </row>
    <row r="483">
      <c r="A483" s="10"/>
      <c r="B483" s="10"/>
    </row>
    <row r="484">
      <c r="A484" s="10"/>
      <c r="B484" s="10"/>
    </row>
    <row r="485">
      <c r="A485" s="10"/>
      <c r="B485" s="10"/>
    </row>
    <row r="486">
      <c r="A486" s="10"/>
      <c r="B486" s="10"/>
    </row>
    <row r="487">
      <c r="A487" s="10"/>
      <c r="B487" s="10"/>
    </row>
    <row r="488">
      <c r="A488" s="10"/>
      <c r="B488" s="10"/>
    </row>
    <row r="489">
      <c r="A489" s="10"/>
      <c r="B489" s="10"/>
    </row>
    <row r="490">
      <c r="A490" s="10"/>
      <c r="B490" s="10"/>
    </row>
    <row r="491">
      <c r="A491" s="10"/>
      <c r="B491" s="10"/>
    </row>
    <row r="492">
      <c r="A492" s="10"/>
      <c r="B492" s="10"/>
    </row>
    <row r="493">
      <c r="A493" s="10"/>
      <c r="B493" s="10"/>
    </row>
    <row r="494">
      <c r="A494" s="10"/>
      <c r="B494" s="10"/>
    </row>
    <row r="495">
      <c r="A495" s="10"/>
      <c r="B495" s="10"/>
    </row>
    <row r="496">
      <c r="A496" s="10"/>
      <c r="B496" s="10"/>
    </row>
    <row r="497">
      <c r="A497" s="10"/>
      <c r="B497" s="10"/>
    </row>
    <row r="498">
      <c r="A498" s="10"/>
      <c r="B498" s="10"/>
    </row>
    <row r="499">
      <c r="A499" s="10"/>
      <c r="B499" s="10"/>
    </row>
    <row r="500">
      <c r="A500" s="10"/>
      <c r="B500" s="10"/>
    </row>
    <row r="501">
      <c r="A501" s="10"/>
      <c r="B501" s="10"/>
    </row>
    <row r="502">
      <c r="A502" s="10"/>
      <c r="B502" s="10"/>
    </row>
    <row r="503">
      <c r="A503" s="10"/>
      <c r="B503" s="10"/>
    </row>
    <row r="504">
      <c r="A504" s="10"/>
      <c r="B504" s="10"/>
    </row>
    <row r="505">
      <c r="A505" s="10"/>
      <c r="B505" s="10"/>
    </row>
    <row r="506">
      <c r="A506" s="10"/>
      <c r="B506" s="10"/>
    </row>
    <row r="507">
      <c r="A507" s="10"/>
      <c r="B507" s="10"/>
    </row>
    <row r="508">
      <c r="A508" s="10"/>
      <c r="B508" s="10"/>
    </row>
    <row r="509">
      <c r="A509" s="10"/>
      <c r="B509" s="10"/>
    </row>
    <row r="510">
      <c r="A510" s="10"/>
      <c r="B510" s="10"/>
    </row>
    <row r="511">
      <c r="A511" s="10"/>
      <c r="B511" s="10"/>
    </row>
    <row r="512">
      <c r="A512" s="10"/>
      <c r="B512" s="10"/>
    </row>
    <row r="513">
      <c r="A513" s="10"/>
      <c r="B513" s="10"/>
    </row>
    <row r="514">
      <c r="A514" s="10"/>
      <c r="B514" s="10"/>
    </row>
    <row r="515">
      <c r="A515" s="10"/>
      <c r="B515" s="10"/>
    </row>
    <row r="516">
      <c r="A516" s="10"/>
      <c r="B516" s="10"/>
    </row>
    <row r="517">
      <c r="A517" s="10"/>
      <c r="B517" s="10"/>
    </row>
    <row r="518">
      <c r="A518" s="10"/>
      <c r="B518" s="10"/>
    </row>
    <row r="519">
      <c r="A519" s="10"/>
      <c r="B519" s="10"/>
    </row>
    <row r="520">
      <c r="A520" s="10"/>
      <c r="B520" s="10"/>
    </row>
    <row r="521">
      <c r="A521" s="10"/>
      <c r="B521" s="10"/>
    </row>
    <row r="522">
      <c r="A522" s="10"/>
      <c r="B522" s="10"/>
    </row>
    <row r="523">
      <c r="A523" s="10"/>
      <c r="B523" s="10"/>
    </row>
    <row r="524">
      <c r="A524" s="10"/>
      <c r="B524" s="10"/>
    </row>
    <row r="525">
      <c r="A525" s="10"/>
      <c r="B525" s="10"/>
    </row>
    <row r="526">
      <c r="A526" s="10"/>
      <c r="B526" s="10"/>
    </row>
    <row r="527">
      <c r="A527" s="10"/>
      <c r="B527" s="10"/>
    </row>
    <row r="528">
      <c r="A528" s="10"/>
      <c r="B528" s="10"/>
    </row>
    <row r="529">
      <c r="A529" s="10"/>
      <c r="B529" s="10"/>
    </row>
    <row r="530">
      <c r="A530" s="10"/>
      <c r="B530" s="10"/>
    </row>
    <row r="531">
      <c r="A531" s="10"/>
      <c r="B531" s="10"/>
    </row>
    <row r="532">
      <c r="A532" s="10"/>
      <c r="B532" s="10"/>
    </row>
    <row r="533">
      <c r="A533" s="10"/>
      <c r="B533" s="10"/>
    </row>
    <row r="534">
      <c r="A534" s="10"/>
      <c r="B534" s="10"/>
    </row>
    <row r="535">
      <c r="A535" s="10"/>
      <c r="B535" s="10"/>
    </row>
    <row r="536">
      <c r="A536" s="10"/>
      <c r="B536" s="10"/>
    </row>
    <row r="537">
      <c r="A537" s="10"/>
      <c r="B537" s="10"/>
    </row>
    <row r="538">
      <c r="A538" s="10"/>
      <c r="B538" s="10"/>
    </row>
    <row r="539">
      <c r="A539" s="10"/>
      <c r="B539" s="10"/>
    </row>
    <row r="540">
      <c r="A540" s="10"/>
      <c r="B540" s="10"/>
    </row>
    <row r="541">
      <c r="A541" s="10"/>
      <c r="B541" s="10"/>
    </row>
    <row r="542">
      <c r="A542" s="10"/>
      <c r="B542" s="10"/>
    </row>
    <row r="543">
      <c r="A543" s="10"/>
      <c r="B543" s="10"/>
    </row>
    <row r="544">
      <c r="A544" s="10"/>
      <c r="B544" s="10"/>
    </row>
    <row r="545">
      <c r="A545" s="10"/>
      <c r="B545" s="10"/>
    </row>
    <row r="546">
      <c r="A546" s="10"/>
      <c r="B546" s="10"/>
    </row>
    <row r="547">
      <c r="A547" s="10"/>
      <c r="B547" s="10"/>
    </row>
    <row r="548">
      <c r="A548" s="10"/>
      <c r="B548" s="10"/>
    </row>
    <row r="549">
      <c r="A549" s="10"/>
      <c r="B549" s="10"/>
    </row>
    <row r="550">
      <c r="A550" s="10"/>
      <c r="B550" s="10"/>
    </row>
    <row r="551">
      <c r="A551" s="10"/>
      <c r="B551" s="10"/>
    </row>
    <row r="552">
      <c r="A552" s="10"/>
      <c r="B552" s="10"/>
    </row>
    <row r="553">
      <c r="A553" s="10"/>
      <c r="B553" s="10"/>
    </row>
    <row r="554">
      <c r="A554" s="10"/>
      <c r="B554" s="10"/>
    </row>
    <row r="555">
      <c r="A555" s="10"/>
      <c r="B555" s="10"/>
    </row>
    <row r="556">
      <c r="A556" s="10"/>
      <c r="B556" s="10"/>
    </row>
    <row r="557">
      <c r="A557" s="10"/>
      <c r="B557" s="10"/>
    </row>
    <row r="558">
      <c r="A558" s="10"/>
      <c r="B558" s="10"/>
    </row>
    <row r="559">
      <c r="A559" s="10"/>
      <c r="B559" s="10"/>
    </row>
    <row r="560">
      <c r="A560" s="10"/>
      <c r="B560" s="10"/>
    </row>
    <row r="561">
      <c r="A561" s="10"/>
      <c r="B561" s="10"/>
    </row>
    <row r="562">
      <c r="A562" s="10"/>
      <c r="B562" s="10"/>
    </row>
    <row r="563">
      <c r="A563" s="10"/>
      <c r="B563" s="10"/>
    </row>
    <row r="564">
      <c r="A564" s="10"/>
      <c r="B564" s="10"/>
    </row>
    <row r="565">
      <c r="A565" s="10"/>
      <c r="B565" s="10"/>
    </row>
    <row r="566">
      <c r="A566" s="10"/>
      <c r="B566" s="10"/>
    </row>
    <row r="567">
      <c r="A567" s="10"/>
      <c r="B567" s="10"/>
    </row>
    <row r="568">
      <c r="A568" s="10"/>
      <c r="B568" s="10"/>
    </row>
    <row r="569">
      <c r="A569" s="10"/>
      <c r="B569" s="10"/>
    </row>
    <row r="570">
      <c r="A570" s="10"/>
      <c r="B570" s="10"/>
    </row>
    <row r="571">
      <c r="A571" s="10"/>
      <c r="B571" s="10"/>
    </row>
    <row r="572">
      <c r="A572" s="10"/>
      <c r="B572" s="10"/>
    </row>
    <row r="573">
      <c r="A573" s="10"/>
      <c r="B573" s="10"/>
    </row>
    <row r="574">
      <c r="A574" s="10"/>
      <c r="B574" s="10"/>
    </row>
    <row r="575">
      <c r="A575" s="10"/>
      <c r="B575" s="10"/>
    </row>
    <row r="576">
      <c r="A576" s="10"/>
      <c r="B576" s="10"/>
    </row>
    <row r="577">
      <c r="A577" s="10"/>
      <c r="B577" s="10"/>
    </row>
    <row r="578">
      <c r="A578" s="10"/>
      <c r="B578" s="10"/>
    </row>
    <row r="579">
      <c r="A579" s="10"/>
      <c r="B579" s="10"/>
    </row>
    <row r="580">
      <c r="A580" s="10"/>
      <c r="B580" s="10"/>
    </row>
    <row r="581">
      <c r="A581" s="10"/>
      <c r="B581" s="10"/>
    </row>
    <row r="582">
      <c r="A582" s="10"/>
      <c r="B582" s="10"/>
    </row>
    <row r="583">
      <c r="A583" s="10"/>
      <c r="B583" s="10"/>
    </row>
    <row r="584">
      <c r="A584" s="10"/>
      <c r="B584" s="10"/>
    </row>
    <row r="585">
      <c r="A585" s="10"/>
      <c r="B585" s="10"/>
    </row>
    <row r="586">
      <c r="A586" s="10"/>
      <c r="B586" s="10"/>
    </row>
    <row r="587">
      <c r="A587" s="10"/>
      <c r="B587" s="10"/>
    </row>
    <row r="588">
      <c r="A588" s="10"/>
      <c r="B588" s="10"/>
    </row>
    <row r="589">
      <c r="A589" s="10"/>
      <c r="B589" s="10"/>
    </row>
    <row r="590">
      <c r="A590" s="10"/>
      <c r="B590" s="10"/>
    </row>
    <row r="591">
      <c r="A591" s="10"/>
      <c r="B591" s="10"/>
    </row>
    <row r="592">
      <c r="A592" s="10"/>
      <c r="B592" s="10"/>
    </row>
    <row r="593">
      <c r="A593" s="10"/>
      <c r="B593" s="10"/>
    </row>
    <row r="594">
      <c r="A594" s="10"/>
      <c r="B594" s="10"/>
    </row>
    <row r="595">
      <c r="A595" s="10"/>
      <c r="B595" s="10"/>
    </row>
    <row r="596">
      <c r="A596" s="10"/>
      <c r="B596" s="10"/>
    </row>
    <row r="597">
      <c r="A597" s="10"/>
      <c r="B597" s="10"/>
    </row>
    <row r="598">
      <c r="A598" s="10"/>
      <c r="B598" s="10"/>
    </row>
    <row r="599">
      <c r="A599" s="10"/>
      <c r="B599" s="10"/>
    </row>
    <row r="600">
      <c r="A600" s="10"/>
      <c r="B600" s="10"/>
    </row>
    <row r="601">
      <c r="A601" s="10"/>
      <c r="B601" s="10"/>
    </row>
    <row r="602">
      <c r="A602" s="10"/>
      <c r="B602" s="10"/>
    </row>
    <row r="603">
      <c r="A603" s="10"/>
      <c r="B603" s="10"/>
    </row>
    <row r="604">
      <c r="A604" s="10"/>
      <c r="B604" s="10"/>
    </row>
    <row r="605">
      <c r="A605" s="10"/>
      <c r="B605" s="10"/>
    </row>
    <row r="606">
      <c r="A606" s="10"/>
      <c r="B606" s="10"/>
    </row>
    <row r="607">
      <c r="A607" s="10"/>
      <c r="B607" s="10"/>
    </row>
    <row r="608">
      <c r="A608" s="10"/>
      <c r="B608" s="10"/>
    </row>
    <row r="609">
      <c r="A609" s="10"/>
      <c r="B609" s="10"/>
    </row>
    <row r="610">
      <c r="A610" s="10"/>
      <c r="B610" s="10"/>
    </row>
    <row r="611">
      <c r="A611" s="10"/>
      <c r="B611" s="10"/>
    </row>
    <row r="612">
      <c r="A612" s="10"/>
      <c r="B612" s="10"/>
    </row>
    <row r="613">
      <c r="A613" s="10"/>
      <c r="B613" s="10"/>
    </row>
    <row r="614">
      <c r="A614" s="10"/>
      <c r="B614" s="10"/>
    </row>
    <row r="615">
      <c r="A615" s="10"/>
      <c r="B615" s="10"/>
    </row>
    <row r="616">
      <c r="A616" s="10"/>
      <c r="B616" s="10"/>
    </row>
    <row r="617">
      <c r="A617" s="10"/>
      <c r="B617" s="10"/>
    </row>
    <row r="618">
      <c r="A618" s="10"/>
      <c r="B618" s="10"/>
    </row>
    <row r="619">
      <c r="A619" s="10"/>
      <c r="B619" s="10"/>
    </row>
    <row r="620">
      <c r="A620" s="10"/>
      <c r="B620" s="10"/>
    </row>
    <row r="621">
      <c r="A621" s="10"/>
      <c r="B621" s="10"/>
    </row>
    <row r="622">
      <c r="A622" s="10"/>
      <c r="B622" s="10"/>
    </row>
    <row r="623">
      <c r="A623" s="10"/>
      <c r="B623" s="10"/>
    </row>
    <row r="624">
      <c r="A624" s="10"/>
      <c r="B624" s="10"/>
    </row>
    <row r="625">
      <c r="A625" s="10"/>
      <c r="B625" s="10"/>
    </row>
    <row r="626">
      <c r="A626" s="10"/>
      <c r="B626" s="10"/>
    </row>
    <row r="627">
      <c r="A627" s="10"/>
      <c r="B627" s="10"/>
    </row>
    <row r="628">
      <c r="A628" s="10"/>
      <c r="B628" s="10"/>
    </row>
    <row r="629">
      <c r="A629" s="10"/>
      <c r="B629" s="10"/>
    </row>
    <row r="630">
      <c r="A630" s="10"/>
      <c r="B630" s="10"/>
    </row>
    <row r="631">
      <c r="A631" s="10"/>
      <c r="B631" s="10"/>
    </row>
    <row r="632">
      <c r="A632" s="10"/>
      <c r="B632" s="10"/>
    </row>
    <row r="633">
      <c r="A633" s="10"/>
      <c r="B633" s="10"/>
    </row>
    <row r="634">
      <c r="A634" s="10"/>
      <c r="B634" s="10"/>
    </row>
    <row r="635">
      <c r="A635" s="10"/>
      <c r="B635" s="10"/>
    </row>
    <row r="636">
      <c r="A636" s="10"/>
      <c r="B636" s="10"/>
    </row>
    <row r="637">
      <c r="A637" s="10"/>
      <c r="B637" s="10"/>
    </row>
    <row r="638">
      <c r="A638" s="10"/>
      <c r="B638" s="10"/>
    </row>
    <row r="639">
      <c r="A639" s="10"/>
      <c r="B639" s="10"/>
    </row>
    <row r="640">
      <c r="A640" s="10"/>
      <c r="B640" s="10"/>
    </row>
    <row r="641">
      <c r="A641" s="10"/>
      <c r="B641" s="10"/>
    </row>
    <row r="642">
      <c r="A642" s="10"/>
      <c r="B642" s="10"/>
    </row>
    <row r="643">
      <c r="A643" s="10"/>
      <c r="B643" s="10"/>
    </row>
    <row r="644">
      <c r="A644" s="10"/>
      <c r="B644" s="10"/>
    </row>
    <row r="645">
      <c r="A645" s="10"/>
      <c r="B645" s="10"/>
    </row>
    <row r="646">
      <c r="A646" s="10"/>
      <c r="B646" s="10"/>
    </row>
    <row r="647">
      <c r="A647" s="10"/>
      <c r="B647" s="10"/>
    </row>
    <row r="648">
      <c r="A648" s="10"/>
      <c r="B648" s="10"/>
    </row>
    <row r="649">
      <c r="A649" s="10"/>
      <c r="B649" s="10"/>
    </row>
    <row r="650">
      <c r="A650" s="10"/>
      <c r="B650" s="10"/>
    </row>
    <row r="651">
      <c r="A651" s="10"/>
      <c r="B651" s="10"/>
    </row>
    <row r="652">
      <c r="A652" s="10"/>
      <c r="B652" s="10"/>
    </row>
    <row r="653">
      <c r="A653" s="10"/>
      <c r="B653" s="10"/>
    </row>
    <row r="654">
      <c r="A654" s="10"/>
      <c r="B654" s="10"/>
    </row>
    <row r="655">
      <c r="A655" s="10"/>
      <c r="B655" s="10"/>
    </row>
    <row r="656">
      <c r="A656" s="10"/>
      <c r="B656" s="10"/>
    </row>
    <row r="657">
      <c r="A657" s="10"/>
      <c r="B657" s="10"/>
    </row>
    <row r="658">
      <c r="A658" s="10"/>
      <c r="B658" s="10"/>
    </row>
    <row r="659">
      <c r="A659" s="10"/>
      <c r="B659" s="10"/>
    </row>
    <row r="660">
      <c r="A660" s="10"/>
      <c r="B660" s="10"/>
    </row>
    <row r="661">
      <c r="A661" s="10"/>
      <c r="B661" s="10"/>
    </row>
    <row r="662">
      <c r="A662" s="10"/>
      <c r="B662" s="10"/>
    </row>
    <row r="663">
      <c r="A663" s="10"/>
      <c r="B663" s="10"/>
    </row>
    <row r="664">
      <c r="A664" s="10"/>
      <c r="B664" s="10"/>
    </row>
    <row r="665">
      <c r="A665" s="10"/>
      <c r="B665" s="10"/>
    </row>
    <row r="666">
      <c r="A666" s="10"/>
      <c r="B666" s="10"/>
    </row>
    <row r="667">
      <c r="A667" s="10"/>
      <c r="B667" s="10"/>
    </row>
    <row r="668">
      <c r="A668" s="10"/>
      <c r="B668" s="10"/>
    </row>
    <row r="669">
      <c r="A669" s="10"/>
      <c r="B669" s="10"/>
    </row>
    <row r="670">
      <c r="A670" s="10"/>
      <c r="B670" s="10"/>
    </row>
    <row r="671">
      <c r="A671" s="10"/>
      <c r="B671" s="10"/>
    </row>
    <row r="672">
      <c r="A672" s="10"/>
      <c r="B672" s="10"/>
    </row>
    <row r="673">
      <c r="A673" s="10"/>
      <c r="B673" s="10"/>
    </row>
    <row r="674">
      <c r="A674" s="10"/>
      <c r="B674" s="10"/>
    </row>
    <row r="675">
      <c r="A675" s="10"/>
      <c r="B675" s="10"/>
    </row>
    <row r="676">
      <c r="A676" s="10"/>
      <c r="B676" s="10"/>
    </row>
    <row r="677">
      <c r="A677" s="10"/>
      <c r="B677" s="10"/>
    </row>
    <row r="678">
      <c r="A678" s="10"/>
      <c r="B678" s="10"/>
    </row>
    <row r="679">
      <c r="A679" s="10"/>
      <c r="B679" s="10"/>
    </row>
    <row r="680">
      <c r="A680" s="10"/>
      <c r="B680" s="10"/>
    </row>
    <row r="681">
      <c r="A681" s="10"/>
      <c r="B681" s="10"/>
    </row>
    <row r="682">
      <c r="A682" s="10"/>
      <c r="B682" s="10"/>
    </row>
    <row r="683">
      <c r="A683" s="10"/>
      <c r="B683" s="10"/>
    </row>
    <row r="684">
      <c r="A684" s="10"/>
      <c r="B684" s="10"/>
    </row>
    <row r="685">
      <c r="A685" s="10"/>
      <c r="B685" s="10"/>
    </row>
    <row r="686">
      <c r="A686" s="10"/>
      <c r="B686" s="10"/>
    </row>
    <row r="687">
      <c r="A687" s="10"/>
      <c r="B687" s="10"/>
    </row>
    <row r="688">
      <c r="A688" s="10"/>
      <c r="B688" s="10"/>
    </row>
    <row r="689">
      <c r="A689" s="10"/>
      <c r="B689" s="10"/>
    </row>
    <row r="690">
      <c r="A690" s="10"/>
      <c r="B690" s="10"/>
    </row>
    <row r="691">
      <c r="A691" s="10"/>
      <c r="B691" s="10"/>
    </row>
    <row r="692">
      <c r="A692" s="10"/>
      <c r="B692" s="10"/>
    </row>
    <row r="693">
      <c r="A693" s="10"/>
      <c r="B693" s="10"/>
    </row>
    <row r="694">
      <c r="A694" s="10"/>
      <c r="B694" s="10"/>
    </row>
    <row r="695">
      <c r="A695" s="10"/>
      <c r="B695" s="10"/>
    </row>
    <row r="696">
      <c r="A696" s="10"/>
      <c r="B696" s="10"/>
    </row>
    <row r="697">
      <c r="A697" s="10"/>
      <c r="B697" s="10"/>
    </row>
    <row r="698">
      <c r="A698" s="10"/>
      <c r="B698" s="10"/>
    </row>
    <row r="699">
      <c r="A699" s="10"/>
      <c r="B699" s="10"/>
    </row>
    <row r="700">
      <c r="A700" s="10"/>
      <c r="B700" s="10"/>
    </row>
    <row r="701">
      <c r="A701" s="10"/>
      <c r="B701" s="10"/>
    </row>
    <row r="702">
      <c r="A702" s="10"/>
      <c r="B702" s="10"/>
    </row>
    <row r="703">
      <c r="A703" s="10"/>
      <c r="B703" s="10"/>
    </row>
    <row r="704">
      <c r="A704" s="10"/>
      <c r="B704" s="10"/>
    </row>
    <row r="705">
      <c r="A705" s="10"/>
      <c r="B705" s="10"/>
    </row>
    <row r="706">
      <c r="A706" s="10"/>
      <c r="B706" s="10"/>
    </row>
    <row r="707">
      <c r="A707" s="10"/>
      <c r="B707" s="10"/>
    </row>
    <row r="708">
      <c r="A708" s="10"/>
      <c r="B708" s="10"/>
    </row>
    <row r="709">
      <c r="A709" s="10"/>
      <c r="B709" s="10"/>
    </row>
    <row r="710">
      <c r="A710" s="10"/>
      <c r="B710" s="10"/>
    </row>
    <row r="711">
      <c r="A711" s="10"/>
      <c r="B711" s="10"/>
    </row>
    <row r="712">
      <c r="A712" s="10"/>
      <c r="B712" s="10"/>
    </row>
    <row r="713">
      <c r="A713" s="10"/>
      <c r="B713" s="10"/>
    </row>
    <row r="714">
      <c r="A714" s="10"/>
      <c r="B714" s="10"/>
    </row>
    <row r="715">
      <c r="A715" s="10"/>
      <c r="B715" s="10"/>
    </row>
    <row r="716">
      <c r="A716" s="10"/>
      <c r="B716" s="10"/>
    </row>
    <row r="717">
      <c r="A717" s="10"/>
      <c r="B717" s="10"/>
    </row>
    <row r="718">
      <c r="A718" s="10"/>
      <c r="B718" s="10"/>
    </row>
    <row r="719">
      <c r="A719" s="10"/>
      <c r="B719" s="10"/>
    </row>
    <row r="720">
      <c r="A720" s="10"/>
      <c r="B720" s="10"/>
    </row>
    <row r="721">
      <c r="A721" s="10"/>
      <c r="B721" s="10"/>
    </row>
    <row r="722">
      <c r="A722" s="10"/>
      <c r="B722" s="10"/>
    </row>
    <row r="723">
      <c r="A723" s="10"/>
      <c r="B723" s="10"/>
    </row>
    <row r="724">
      <c r="A724" s="10"/>
      <c r="B724" s="10"/>
    </row>
    <row r="725">
      <c r="A725" s="10"/>
      <c r="B725" s="10"/>
    </row>
    <row r="726">
      <c r="A726" s="10"/>
      <c r="B726" s="10"/>
    </row>
    <row r="727">
      <c r="A727" s="10"/>
      <c r="B727" s="10"/>
    </row>
    <row r="728">
      <c r="A728" s="10"/>
      <c r="B728" s="10"/>
    </row>
    <row r="729">
      <c r="A729" s="10"/>
      <c r="B729" s="10"/>
    </row>
    <row r="730">
      <c r="A730" s="10"/>
      <c r="B730" s="10"/>
    </row>
    <row r="731">
      <c r="A731" s="10"/>
      <c r="B731" s="10"/>
    </row>
    <row r="732">
      <c r="A732" s="10"/>
      <c r="B732" s="10"/>
    </row>
    <row r="733">
      <c r="A733" s="10"/>
      <c r="B733" s="10"/>
    </row>
    <row r="734">
      <c r="A734" s="10"/>
      <c r="B734" s="10"/>
    </row>
    <row r="735">
      <c r="A735" s="10"/>
      <c r="B735" s="10"/>
    </row>
    <row r="736">
      <c r="A736" s="10"/>
      <c r="B736" s="10"/>
    </row>
    <row r="737">
      <c r="A737" s="10"/>
      <c r="B737" s="10"/>
    </row>
    <row r="738">
      <c r="A738" s="10"/>
      <c r="B738" s="10"/>
    </row>
    <row r="739">
      <c r="A739" s="10"/>
      <c r="B739" s="10"/>
    </row>
    <row r="740">
      <c r="A740" s="10"/>
      <c r="B740" s="10"/>
    </row>
    <row r="741">
      <c r="A741" s="10"/>
      <c r="B741" s="10"/>
    </row>
    <row r="742">
      <c r="A742" s="10"/>
      <c r="B742" s="10"/>
    </row>
    <row r="743">
      <c r="A743" s="10"/>
      <c r="B743" s="10"/>
    </row>
    <row r="744">
      <c r="A744" s="10"/>
      <c r="B744" s="10"/>
    </row>
    <row r="745">
      <c r="A745" s="10"/>
      <c r="B745" s="10"/>
    </row>
    <row r="746">
      <c r="A746" s="10"/>
      <c r="B746" s="10"/>
    </row>
    <row r="747">
      <c r="A747" s="10"/>
      <c r="B747" s="10"/>
    </row>
    <row r="748">
      <c r="A748" s="10"/>
      <c r="B748" s="10"/>
    </row>
    <row r="749">
      <c r="A749" s="10"/>
      <c r="B749" s="10"/>
    </row>
    <row r="750">
      <c r="A750" s="10"/>
      <c r="B750" s="10"/>
    </row>
    <row r="751">
      <c r="A751" s="10"/>
      <c r="B751" s="10"/>
    </row>
    <row r="752">
      <c r="A752" s="10"/>
      <c r="B752" s="10"/>
    </row>
    <row r="753">
      <c r="A753" s="10"/>
      <c r="B753" s="10"/>
    </row>
    <row r="754">
      <c r="A754" s="10"/>
      <c r="B754" s="10"/>
    </row>
    <row r="755">
      <c r="A755" s="10"/>
      <c r="B755" s="10"/>
    </row>
    <row r="756">
      <c r="A756" s="10"/>
      <c r="B756" s="10"/>
    </row>
    <row r="757">
      <c r="A757" s="10"/>
      <c r="B757" s="10"/>
    </row>
    <row r="758">
      <c r="A758" s="10"/>
      <c r="B758" s="10"/>
    </row>
    <row r="759">
      <c r="A759" s="10"/>
      <c r="B759" s="10"/>
    </row>
    <row r="760">
      <c r="A760" s="10"/>
      <c r="B760" s="10"/>
    </row>
    <row r="761">
      <c r="A761" s="10"/>
      <c r="B761" s="10"/>
    </row>
    <row r="762">
      <c r="A762" s="10"/>
      <c r="B762" s="10"/>
    </row>
    <row r="763">
      <c r="A763" s="10"/>
      <c r="B763" s="10"/>
    </row>
    <row r="764">
      <c r="A764" s="10"/>
      <c r="B764" s="10"/>
    </row>
    <row r="765">
      <c r="A765" s="10"/>
      <c r="B765" s="10"/>
    </row>
    <row r="766">
      <c r="A766" s="10"/>
      <c r="B766" s="10"/>
    </row>
    <row r="767">
      <c r="A767" s="10"/>
      <c r="B767" s="10"/>
    </row>
    <row r="768">
      <c r="A768" s="10"/>
      <c r="B768" s="10"/>
    </row>
    <row r="769">
      <c r="A769" s="10"/>
      <c r="B769" s="10"/>
    </row>
    <row r="770">
      <c r="A770" s="10"/>
      <c r="B770" s="10"/>
    </row>
    <row r="771">
      <c r="A771" s="10"/>
      <c r="B771" s="10"/>
    </row>
    <row r="772">
      <c r="A772" s="10"/>
      <c r="B772" s="10"/>
    </row>
    <row r="773">
      <c r="A773" s="10"/>
      <c r="B773" s="10"/>
    </row>
    <row r="774">
      <c r="A774" s="10"/>
      <c r="B774" s="10"/>
    </row>
    <row r="775">
      <c r="A775" s="10"/>
      <c r="B775" s="10"/>
    </row>
    <row r="776">
      <c r="A776" s="10"/>
      <c r="B776" s="10"/>
    </row>
    <row r="777">
      <c r="A777" s="10"/>
      <c r="B777" s="10"/>
    </row>
    <row r="778">
      <c r="A778" s="10"/>
      <c r="B778" s="10"/>
    </row>
    <row r="779">
      <c r="A779" s="10"/>
      <c r="B779" s="10"/>
    </row>
    <row r="780">
      <c r="A780" s="10"/>
      <c r="B780" s="10"/>
    </row>
    <row r="781">
      <c r="A781" s="10"/>
      <c r="B781" s="10"/>
    </row>
    <row r="782">
      <c r="A782" s="10"/>
      <c r="B782" s="10"/>
    </row>
    <row r="783">
      <c r="A783" s="10"/>
      <c r="B783" s="10"/>
    </row>
    <row r="784">
      <c r="A784" s="10"/>
      <c r="B784" s="10"/>
    </row>
    <row r="785">
      <c r="A785" s="10"/>
      <c r="B785" s="10"/>
    </row>
    <row r="786">
      <c r="A786" s="10"/>
      <c r="B786" s="10"/>
    </row>
    <row r="787">
      <c r="A787" s="10"/>
      <c r="B787" s="10"/>
    </row>
    <row r="788">
      <c r="A788" s="10"/>
      <c r="B788" s="10"/>
    </row>
    <row r="789">
      <c r="A789" s="10"/>
      <c r="B789" s="10"/>
    </row>
    <row r="790">
      <c r="A790" s="10"/>
      <c r="B790" s="10"/>
    </row>
    <row r="791">
      <c r="A791" s="10"/>
      <c r="B791" s="10"/>
    </row>
    <row r="792">
      <c r="A792" s="10"/>
      <c r="B792" s="10"/>
    </row>
    <row r="793">
      <c r="A793" s="10"/>
      <c r="B793" s="10"/>
    </row>
    <row r="794">
      <c r="A794" s="10"/>
      <c r="B794" s="10"/>
    </row>
    <row r="795">
      <c r="A795" s="10"/>
      <c r="B795" s="10"/>
    </row>
    <row r="796">
      <c r="A796" s="10"/>
      <c r="B796" s="10"/>
    </row>
    <row r="797">
      <c r="A797" s="10"/>
      <c r="B797" s="10"/>
    </row>
    <row r="798">
      <c r="A798" s="10"/>
      <c r="B798" s="10"/>
    </row>
    <row r="799">
      <c r="A799" s="10"/>
      <c r="B799" s="10"/>
    </row>
    <row r="800">
      <c r="A800" s="10"/>
      <c r="B800" s="10"/>
    </row>
    <row r="801">
      <c r="A801" s="10"/>
      <c r="B801" s="10"/>
    </row>
    <row r="802">
      <c r="A802" s="10"/>
      <c r="B802" s="10"/>
    </row>
    <row r="803">
      <c r="A803" s="10"/>
      <c r="B803" s="10"/>
    </row>
    <row r="804">
      <c r="A804" s="10"/>
      <c r="B804" s="10"/>
    </row>
    <row r="805">
      <c r="A805" s="10"/>
      <c r="B805" s="10"/>
    </row>
    <row r="806">
      <c r="A806" s="10"/>
      <c r="B806" s="10"/>
    </row>
    <row r="807">
      <c r="A807" s="10"/>
      <c r="B807" s="10"/>
    </row>
    <row r="808">
      <c r="A808" s="10"/>
      <c r="B808" s="10"/>
    </row>
    <row r="809">
      <c r="A809" s="10"/>
      <c r="B809" s="10"/>
    </row>
    <row r="810">
      <c r="A810" s="10"/>
      <c r="B810" s="10"/>
    </row>
    <row r="811">
      <c r="A811" s="10"/>
      <c r="B811" s="10"/>
    </row>
    <row r="812">
      <c r="A812" s="10"/>
      <c r="B812" s="10"/>
    </row>
    <row r="813">
      <c r="A813" s="10"/>
      <c r="B813" s="10"/>
    </row>
    <row r="814">
      <c r="A814" s="10"/>
      <c r="B814" s="10"/>
    </row>
    <row r="815">
      <c r="A815" s="10"/>
      <c r="B815" s="10"/>
    </row>
    <row r="816">
      <c r="A816" s="10"/>
      <c r="B816" s="10"/>
    </row>
    <row r="817">
      <c r="A817" s="10"/>
      <c r="B817" s="10"/>
    </row>
    <row r="818">
      <c r="A818" s="10"/>
      <c r="B818" s="10"/>
    </row>
    <row r="819">
      <c r="A819" s="10"/>
      <c r="B819" s="10"/>
    </row>
    <row r="820">
      <c r="A820" s="10"/>
      <c r="B820" s="10"/>
    </row>
    <row r="821">
      <c r="A821" s="10"/>
      <c r="B821" s="10"/>
    </row>
    <row r="822">
      <c r="A822" s="10"/>
      <c r="B822" s="10"/>
    </row>
    <row r="823">
      <c r="A823" s="10"/>
      <c r="B823" s="10"/>
    </row>
    <row r="824">
      <c r="A824" s="10"/>
      <c r="B824" s="10"/>
    </row>
    <row r="825">
      <c r="A825" s="10"/>
      <c r="B825" s="10"/>
    </row>
    <row r="826">
      <c r="A826" s="10"/>
      <c r="B826" s="10"/>
    </row>
    <row r="827">
      <c r="A827" s="10"/>
      <c r="B827" s="10"/>
    </row>
    <row r="828">
      <c r="A828" s="10"/>
      <c r="B828" s="10"/>
    </row>
    <row r="829">
      <c r="A829" s="10"/>
      <c r="B829" s="10"/>
    </row>
    <row r="830">
      <c r="A830" s="10"/>
      <c r="B830" s="10"/>
    </row>
    <row r="831">
      <c r="A831" s="10"/>
      <c r="B831" s="10"/>
    </row>
    <row r="832">
      <c r="A832" s="10"/>
      <c r="B832" s="10"/>
    </row>
    <row r="833">
      <c r="A833" s="10"/>
      <c r="B833" s="10"/>
    </row>
    <row r="834">
      <c r="A834" s="10"/>
      <c r="B834" s="10"/>
    </row>
    <row r="835">
      <c r="A835" s="10"/>
      <c r="B835" s="10"/>
    </row>
    <row r="836">
      <c r="A836" s="10"/>
      <c r="B836" s="10"/>
    </row>
    <row r="837">
      <c r="A837" s="10"/>
      <c r="B837" s="10"/>
    </row>
    <row r="838">
      <c r="A838" s="10"/>
      <c r="B838" s="10"/>
    </row>
    <row r="839">
      <c r="A839" s="10"/>
      <c r="B839" s="10"/>
    </row>
    <row r="840">
      <c r="A840" s="10"/>
      <c r="B840" s="10"/>
    </row>
    <row r="841">
      <c r="A841" s="10"/>
      <c r="B841" s="10"/>
    </row>
    <row r="842">
      <c r="A842" s="10"/>
      <c r="B842" s="10"/>
    </row>
    <row r="843">
      <c r="A843" s="10"/>
      <c r="B843" s="10"/>
    </row>
    <row r="844">
      <c r="A844" s="10"/>
      <c r="B844" s="10"/>
    </row>
    <row r="845">
      <c r="A845" s="10"/>
      <c r="B845" s="10"/>
    </row>
    <row r="846">
      <c r="A846" s="10"/>
      <c r="B846" s="10"/>
    </row>
    <row r="847">
      <c r="A847" s="10"/>
      <c r="B847" s="10"/>
    </row>
    <row r="848">
      <c r="A848" s="10"/>
      <c r="B848" s="10"/>
    </row>
    <row r="849">
      <c r="A849" s="10"/>
      <c r="B849" s="10"/>
    </row>
    <row r="850">
      <c r="A850" s="10"/>
      <c r="B850" s="10"/>
    </row>
    <row r="851">
      <c r="A851" s="10"/>
      <c r="B851" s="10"/>
    </row>
    <row r="852">
      <c r="A852" s="10"/>
      <c r="B852" s="10"/>
    </row>
    <row r="853">
      <c r="A853" s="10"/>
      <c r="B853" s="10"/>
    </row>
    <row r="854">
      <c r="A854" s="10"/>
      <c r="B854" s="10"/>
    </row>
    <row r="855">
      <c r="A855" s="10"/>
      <c r="B855" s="10"/>
    </row>
    <row r="856">
      <c r="A856" s="10"/>
      <c r="B856" s="10"/>
    </row>
    <row r="857">
      <c r="A857" s="10"/>
      <c r="B857" s="10"/>
    </row>
    <row r="858">
      <c r="A858" s="10"/>
      <c r="B858" s="10"/>
    </row>
    <row r="859">
      <c r="A859" s="10"/>
      <c r="B859" s="10"/>
    </row>
    <row r="860">
      <c r="A860" s="10"/>
      <c r="B860" s="10"/>
    </row>
    <row r="861">
      <c r="A861" s="10"/>
      <c r="B861" s="10"/>
    </row>
    <row r="862">
      <c r="A862" s="10"/>
      <c r="B862" s="10"/>
    </row>
    <row r="863">
      <c r="A863" s="10"/>
      <c r="B863" s="10"/>
    </row>
    <row r="864">
      <c r="A864" s="10"/>
      <c r="B864" s="10"/>
    </row>
    <row r="865">
      <c r="A865" s="10"/>
      <c r="B865" s="10"/>
    </row>
    <row r="866">
      <c r="A866" s="10"/>
      <c r="B866" s="10"/>
    </row>
    <row r="867">
      <c r="A867" s="10"/>
      <c r="B867" s="10"/>
    </row>
    <row r="868">
      <c r="A868" s="10"/>
      <c r="B868" s="10"/>
    </row>
    <row r="869">
      <c r="A869" s="10"/>
      <c r="B869" s="10"/>
    </row>
    <row r="870">
      <c r="A870" s="10"/>
      <c r="B870" s="10"/>
    </row>
    <row r="871">
      <c r="A871" s="10"/>
      <c r="B871" s="10"/>
    </row>
    <row r="872">
      <c r="A872" s="10"/>
      <c r="B872" s="10"/>
    </row>
    <row r="873">
      <c r="A873" s="10"/>
      <c r="B873" s="10"/>
    </row>
    <row r="874">
      <c r="A874" s="10"/>
      <c r="B874" s="10"/>
    </row>
    <row r="875">
      <c r="A875" s="10"/>
      <c r="B875" s="10"/>
    </row>
    <row r="876">
      <c r="A876" s="10"/>
      <c r="B876" s="10"/>
    </row>
    <row r="877">
      <c r="A877" s="10"/>
      <c r="B877" s="10"/>
    </row>
    <row r="878">
      <c r="A878" s="10"/>
      <c r="B878" s="10"/>
    </row>
    <row r="879">
      <c r="A879" s="10"/>
      <c r="B879" s="10"/>
    </row>
    <row r="880">
      <c r="A880" s="10"/>
      <c r="B880" s="10"/>
    </row>
    <row r="881">
      <c r="A881" s="10"/>
      <c r="B881" s="10"/>
    </row>
    <row r="882">
      <c r="A882" s="10"/>
      <c r="B882" s="10"/>
    </row>
    <row r="883">
      <c r="A883" s="10"/>
      <c r="B883" s="10"/>
    </row>
    <row r="884">
      <c r="A884" s="10"/>
      <c r="B884" s="10"/>
    </row>
    <row r="885">
      <c r="A885" s="10"/>
      <c r="B885" s="10"/>
    </row>
    <row r="886">
      <c r="A886" s="10"/>
      <c r="B886" s="10"/>
    </row>
    <row r="887">
      <c r="A887" s="10"/>
      <c r="B887" s="10"/>
    </row>
    <row r="888">
      <c r="A888" s="10"/>
      <c r="B888" s="10"/>
    </row>
    <row r="889">
      <c r="A889" s="10"/>
      <c r="B889" s="10"/>
    </row>
    <row r="890">
      <c r="A890" s="10"/>
      <c r="B890" s="10"/>
    </row>
    <row r="891">
      <c r="A891" s="10"/>
      <c r="B891" s="10"/>
    </row>
    <row r="892">
      <c r="A892" s="10"/>
      <c r="B892" s="10"/>
    </row>
    <row r="893">
      <c r="A893" s="10"/>
      <c r="B893" s="10"/>
    </row>
    <row r="894">
      <c r="A894" s="10"/>
      <c r="B894" s="10"/>
    </row>
    <row r="895">
      <c r="A895" s="10"/>
      <c r="B895" s="10"/>
    </row>
    <row r="896">
      <c r="A896" s="10"/>
      <c r="B896" s="10"/>
    </row>
    <row r="897">
      <c r="A897" s="10"/>
      <c r="B897" s="10"/>
    </row>
    <row r="898">
      <c r="A898" s="10"/>
      <c r="B898" s="10"/>
    </row>
    <row r="899">
      <c r="A899" s="10"/>
      <c r="B899" s="10"/>
    </row>
    <row r="900">
      <c r="A900" s="10"/>
      <c r="B900" s="10"/>
    </row>
    <row r="901">
      <c r="A901" s="10"/>
      <c r="B901" s="10"/>
    </row>
    <row r="902">
      <c r="A902" s="10"/>
      <c r="B902" s="10"/>
    </row>
    <row r="903">
      <c r="A903" s="10"/>
      <c r="B903" s="10"/>
    </row>
    <row r="904">
      <c r="A904" s="10"/>
      <c r="B904" s="10"/>
    </row>
    <row r="905">
      <c r="A905" s="10"/>
      <c r="B905" s="10"/>
    </row>
    <row r="906">
      <c r="A906" s="10"/>
      <c r="B906" s="10"/>
    </row>
    <row r="907">
      <c r="A907" s="10"/>
      <c r="B907" s="10"/>
    </row>
    <row r="908">
      <c r="A908" s="10"/>
      <c r="B908" s="10"/>
    </row>
    <row r="909">
      <c r="A909" s="10"/>
      <c r="B909" s="10"/>
    </row>
    <row r="910">
      <c r="A910" s="10"/>
      <c r="B910" s="10"/>
    </row>
    <row r="911">
      <c r="A911" s="10"/>
      <c r="B911" s="10"/>
    </row>
    <row r="912">
      <c r="A912" s="10"/>
      <c r="B912" s="10"/>
    </row>
    <row r="913">
      <c r="A913" s="10"/>
      <c r="B913" s="10"/>
    </row>
    <row r="914">
      <c r="A914" s="10"/>
      <c r="B914" s="10"/>
    </row>
    <row r="915">
      <c r="A915" s="10"/>
      <c r="B915" s="10"/>
    </row>
    <row r="916">
      <c r="A916" s="10"/>
      <c r="B916" s="10"/>
    </row>
    <row r="917">
      <c r="A917" s="10"/>
      <c r="B917" s="10"/>
    </row>
    <row r="918">
      <c r="A918" s="10"/>
      <c r="B918" s="10"/>
    </row>
    <row r="919">
      <c r="A919" s="10"/>
      <c r="B919" s="10"/>
    </row>
    <row r="920">
      <c r="A920" s="10"/>
      <c r="B920" s="10"/>
    </row>
    <row r="921">
      <c r="A921" s="10"/>
      <c r="B921" s="10"/>
    </row>
    <row r="922">
      <c r="A922" s="10"/>
      <c r="B922" s="10"/>
    </row>
    <row r="923">
      <c r="A923" s="10"/>
      <c r="B923" s="10"/>
    </row>
    <row r="924">
      <c r="A924" s="10"/>
      <c r="B924" s="10"/>
    </row>
    <row r="925">
      <c r="A925" s="10"/>
      <c r="B925" s="10"/>
    </row>
    <row r="926">
      <c r="A926" s="10"/>
      <c r="B926" s="10"/>
    </row>
    <row r="927">
      <c r="A927" s="10"/>
      <c r="B927" s="10"/>
    </row>
    <row r="928">
      <c r="A928" s="10"/>
      <c r="B928" s="10"/>
    </row>
    <row r="929">
      <c r="A929" s="10"/>
      <c r="B929" s="10"/>
    </row>
    <row r="930">
      <c r="A930" s="10"/>
      <c r="B930" s="10"/>
    </row>
    <row r="931">
      <c r="A931" s="10"/>
      <c r="B931" s="10"/>
    </row>
    <row r="932">
      <c r="A932" s="10"/>
      <c r="B932" s="10"/>
    </row>
    <row r="933">
      <c r="A933" s="10"/>
      <c r="B933" s="10"/>
    </row>
    <row r="934">
      <c r="A934" s="10"/>
      <c r="B934" s="10"/>
    </row>
    <row r="935">
      <c r="A935" s="10"/>
      <c r="B935" s="10"/>
    </row>
    <row r="936">
      <c r="A936" s="10"/>
      <c r="B936" s="10"/>
    </row>
    <row r="937">
      <c r="A937" s="10"/>
      <c r="B937" s="10"/>
    </row>
    <row r="938">
      <c r="A938" s="10"/>
      <c r="B938" s="10"/>
    </row>
    <row r="939">
      <c r="A939" s="10"/>
      <c r="B939" s="10"/>
    </row>
    <row r="940">
      <c r="A940" s="10"/>
      <c r="B940" s="10"/>
    </row>
    <row r="941">
      <c r="A941" s="10"/>
      <c r="B941" s="10"/>
    </row>
    <row r="942">
      <c r="A942" s="10"/>
      <c r="B942" s="10"/>
    </row>
    <row r="943">
      <c r="A943" s="10"/>
      <c r="B943" s="10"/>
    </row>
    <row r="944">
      <c r="A944" s="10"/>
      <c r="B944" s="10"/>
    </row>
    <row r="945">
      <c r="A945" s="10"/>
      <c r="B945" s="10"/>
    </row>
    <row r="946">
      <c r="A946" s="10"/>
      <c r="B946" s="10"/>
    </row>
    <row r="947">
      <c r="A947" s="10"/>
      <c r="B947" s="10"/>
    </row>
    <row r="948">
      <c r="A948" s="10"/>
      <c r="B948" s="10"/>
    </row>
    <row r="949">
      <c r="A949" s="10"/>
      <c r="B949" s="10"/>
    </row>
    <row r="950">
      <c r="A950" s="10"/>
      <c r="B950" s="10"/>
    </row>
    <row r="951">
      <c r="A951" s="10"/>
      <c r="B951" s="10"/>
    </row>
    <row r="952">
      <c r="A952" s="10"/>
      <c r="B952" s="10"/>
    </row>
    <row r="953">
      <c r="A953" s="10"/>
      <c r="B953" s="10"/>
    </row>
    <row r="954">
      <c r="A954" s="10"/>
      <c r="B954" s="10"/>
    </row>
    <row r="955">
      <c r="A955" s="10"/>
      <c r="B955" s="10"/>
    </row>
    <row r="956">
      <c r="A956" s="10"/>
      <c r="B956" s="10"/>
    </row>
    <row r="957">
      <c r="A957" s="10"/>
      <c r="B957" s="10"/>
    </row>
    <row r="958">
      <c r="A958" s="10"/>
      <c r="B958" s="10"/>
    </row>
    <row r="959">
      <c r="A959" s="10"/>
      <c r="B959" s="10"/>
    </row>
    <row r="960">
      <c r="A960" s="10"/>
      <c r="B960" s="10"/>
    </row>
    <row r="961">
      <c r="A961" s="10"/>
      <c r="B961" s="10"/>
    </row>
    <row r="962">
      <c r="A962" s="10"/>
      <c r="B962" s="10"/>
    </row>
    <row r="963">
      <c r="A963" s="10"/>
      <c r="B963" s="10"/>
    </row>
    <row r="964">
      <c r="A964" s="10"/>
      <c r="B964" s="10"/>
    </row>
    <row r="965">
      <c r="A965" s="10"/>
      <c r="B965" s="10"/>
    </row>
    <row r="966">
      <c r="A966" s="10"/>
      <c r="B966" s="10"/>
    </row>
    <row r="967">
      <c r="A967" s="10"/>
      <c r="B967" s="10"/>
    </row>
    <row r="968">
      <c r="A968" s="10"/>
      <c r="B968" s="10"/>
    </row>
    <row r="969">
      <c r="A969" s="10"/>
      <c r="B969" s="10"/>
    </row>
    <row r="970">
      <c r="A970" s="10"/>
      <c r="B970" s="10"/>
    </row>
    <row r="971">
      <c r="A971" s="10"/>
      <c r="B971" s="10"/>
    </row>
    <row r="972">
      <c r="A972" s="10"/>
      <c r="B972" s="10"/>
    </row>
    <row r="973">
      <c r="A973" s="10"/>
      <c r="B973" s="10"/>
    </row>
    <row r="974">
      <c r="A974" s="10"/>
      <c r="B974" s="10"/>
    </row>
    <row r="975">
      <c r="A975" s="10"/>
      <c r="B975" s="10"/>
    </row>
    <row r="976">
      <c r="A976" s="10"/>
      <c r="B976" s="10"/>
    </row>
    <row r="977">
      <c r="A977" s="10"/>
      <c r="B977" s="10"/>
    </row>
    <row r="978">
      <c r="A978" s="10"/>
      <c r="B978" s="10"/>
    </row>
    <row r="979">
      <c r="A979" s="10"/>
      <c r="B979" s="10"/>
    </row>
    <row r="980">
      <c r="A980" s="10"/>
      <c r="B980" s="10"/>
    </row>
    <row r="981">
      <c r="A981" s="10"/>
      <c r="B981" s="10"/>
    </row>
    <row r="982">
      <c r="A982" s="10"/>
      <c r="B982" s="10"/>
    </row>
    <row r="983">
      <c r="A983" s="10"/>
      <c r="B983" s="10"/>
    </row>
    <row r="984">
      <c r="A984" s="10"/>
      <c r="B984" s="10"/>
    </row>
    <row r="985">
      <c r="A985" s="10"/>
      <c r="B985" s="10"/>
    </row>
    <row r="986">
      <c r="A986" s="10"/>
      <c r="B986" s="10"/>
    </row>
    <row r="987">
      <c r="A987" s="10"/>
      <c r="B987" s="10"/>
    </row>
    <row r="988">
      <c r="A988" s="10"/>
      <c r="B988" s="10"/>
    </row>
    <row r="989">
      <c r="A989" s="10"/>
      <c r="B989" s="10"/>
    </row>
    <row r="990">
      <c r="A990" s="10"/>
      <c r="B990" s="10"/>
    </row>
    <row r="991">
      <c r="A991" s="10"/>
      <c r="B991" s="10"/>
    </row>
    <row r="992">
      <c r="A992" s="10"/>
      <c r="B992" s="10"/>
    </row>
    <row r="993">
      <c r="A993" s="10"/>
      <c r="B993" s="10"/>
    </row>
    <row r="994">
      <c r="A994" s="10"/>
      <c r="B994" s="10"/>
    </row>
    <row r="995">
      <c r="A995" s="10"/>
      <c r="B995" s="10"/>
    </row>
    <row r="996">
      <c r="A996" s="10"/>
      <c r="B996" s="10"/>
    </row>
    <row r="997">
      <c r="A997" s="10"/>
      <c r="B997" s="10"/>
    </row>
    <row r="998">
      <c r="A998" s="10"/>
      <c r="B998" s="10"/>
    </row>
    <row r="999">
      <c r="A999" s="10"/>
      <c r="B999" s="10"/>
    </row>
    <row r="1000">
      <c r="A1000" s="10"/>
      <c r="B1000" s="10"/>
    </row>
    <row r="1001">
      <c r="A1001" s="10"/>
      <c r="B1001" s="10"/>
    </row>
    <row r="1002">
      <c r="A1002" s="10"/>
      <c r="B1002" s="10"/>
    </row>
    <row r="1003">
      <c r="A1003" s="10"/>
      <c r="B1003" s="10"/>
    </row>
  </sheetData>
  <mergeCells count="11">
    <mergeCell ref="B28:F28"/>
    <mergeCell ref="B31:F31"/>
    <mergeCell ref="B42:F42"/>
    <mergeCell ref="B44:F44"/>
    <mergeCell ref="B1:E1"/>
    <mergeCell ref="B3:F3"/>
    <mergeCell ref="B5:F5"/>
    <mergeCell ref="B8:F8"/>
    <mergeCell ref="B21:E21"/>
    <mergeCell ref="B23:F23"/>
    <mergeCell ref="B26:F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38"/>
    <col customWidth="1" min="2" max="2" width="33.5"/>
    <col customWidth="1" min="3" max="3" width="19.63"/>
    <col customWidth="1" min="4" max="4" width="21.25"/>
    <col customWidth="1" min="5" max="5" width="25.38"/>
    <col customWidth="1" min="6" max="6" width="14.38"/>
    <col customWidth="1" min="7" max="7" width="11.63"/>
    <col customWidth="1" min="8" max="8" width="11.0"/>
    <col customWidth="1" min="9" max="9" width="14.5"/>
    <col customWidth="1" min="10" max="10" width="8.38"/>
    <col customWidth="1" min="11" max="11" width="16.0"/>
    <col customWidth="1" min="12" max="12" width="12.88"/>
    <col customWidth="1" min="13" max="13" width="14.0"/>
    <col customWidth="1" hidden="1" min="14" max="14" width="71.25"/>
    <col customWidth="1" min="15" max="15" width="16.88"/>
    <col customWidth="1" min="16" max="17" width="13.75"/>
    <col customWidth="1" min="18" max="18" width="66.13"/>
    <col customWidth="1" hidden="1" min="19" max="19" width="18.75"/>
    <col customWidth="1" min="20" max="25" width="18.75"/>
    <col customWidth="1" min="26" max="26" width="6.13"/>
    <col customWidth="1" min="27" max="29" width="18.75"/>
  </cols>
  <sheetData>
    <row r="1">
      <c r="A1" s="4" t="s">
        <v>1</v>
      </c>
      <c r="B1" s="5" t="s">
        <v>5</v>
      </c>
      <c r="C1" s="5" t="s">
        <v>8</v>
      </c>
      <c r="D1" s="5" t="s">
        <v>11</v>
      </c>
      <c r="E1" s="5" t="s">
        <v>13</v>
      </c>
      <c r="F1" s="5" t="s">
        <v>14</v>
      </c>
      <c r="G1" s="9" t="s">
        <v>15</v>
      </c>
      <c r="H1" s="9" t="s">
        <v>17</v>
      </c>
      <c r="I1" s="11" t="s">
        <v>19</v>
      </c>
      <c r="J1" s="12" t="s">
        <v>22</v>
      </c>
      <c r="K1" s="5" t="s">
        <v>25</v>
      </c>
      <c r="L1" s="17" t="s">
        <v>26</v>
      </c>
      <c r="M1" s="17" t="s">
        <v>28</v>
      </c>
      <c r="N1" s="5" t="s">
        <v>12</v>
      </c>
      <c r="O1" s="5" t="s">
        <v>34</v>
      </c>
      <c r="P1" s="5" t="s">
        <v>37</v>
      </c>
      <c r="Q1" s="5" t="s">
        <v>39</v>
      </c>
      <c r="R1" s="5" t="s">
        <v>41</v>
      </c>
      <c r="S1" s="5" t="s">
        <v>4</v>
      </c>
      <c r="T1" s="21"/>
      <c r="U1" s="3"/>
      <c r="V1" s="3"/>
      <c r="W1" s="3"/>
      <c r="X1" s="3"/>
      <c r="Y1" s="3"/>
      <c r="Z1" s="3"/>
      <c r="AA1" s="3"/>
      <c r="AB1" s="3"/>
      <c r="AC1" s="3"/>
    </row>
    <row r="2">
      <c r="A2" s="24">
        <v>46053.0</v>
      </c>
      <c r="B2" s="26" t="s">
        <v>64</v>
      </c>
      <c r="C2" s="26" t="s">
        <v>67</v>
      </c>
      <c r="D2" s="26" t="s">
        <v>60</v>
      </c>
      <c r="E2" s="26" t="s">
        <v>42</v>
      </c>
      <c r="F2" s="26" t="s">
        <v>44</v>
      </c>
      <c r="G2" s="29">
        <v>0.875</v>
      </c>
      <c r="H2" s="29">
        <v>0.9166666666666666</v>
      </c>
      <c r="I2" s="31">
        <v>1.0416666666666667</v>
      </c>
      <c r="J2" s="45">
        <f t="array" ref="J2:J990">IF(A2:A992="","",
 IF(F2:F992="Total Hours",
   IF(I2:I992="","",I2:I992*24),
   IF(F2:F992="Start / End Time",
     IF((G2:G992="")+(H2:H992=""),"",24*MOD(H2:H992-G2:G992,1)),
     ""
   )
 )
)</f>
        <v>25</v>
      </c>
      <c r="K2" s="47" t="str">
        <f t="array" ref="K2:K990">MAP(C2:C991,LAMBDA(name,
IF(name="","",
IFERROR(
_xlfn.XLOOKUP(
TRIM(CLEAN(name)),
TRIM(CLEAN(Volunteers!D2:D999)),
Volunteers!I2:I999
),
""
))))</f>
        <v>Utah Volunteer Rate</v>
      </c>
      <c r="L2" s="48">
        <f t="array" ref="L2:L990">IF(C2:C991="","",
IFNA(VLOOKUP(C2:C991,Volunteers!D:K,8,FALSE),"")
)</f>
        <v>35.47</v>
      </c>
      <c r="M2" s="48">
        <f t="array" ref="M2:M990">IF((J2:J991="")+(L2:L991=""),"",
J2:J991*L2:L991
)</f>
        <v>886.75</v>
      </c>
      <c r="N2" s="26" t="s">
        <v>151</v>
      </c>
      <c r="O2" s="26" t="s">
        <v>152</v>
      </c>
      <c r="P2" s="24">
        <v>46053.0</v>
      </c>
      <c r="Q2" s="24"/>
      <c r="R2" s="26" t="s">
        <v>153</v>
      </c>
      <c r="S2" s="28"/>
      <c r="T2" s="28">
        <f t="array" ref="T2:T238">IF(I2:I238="","",I2:I238/24)</f>
        <v>0.04340277778</v>
      </c>
    </row>
    <row r="3">
      <c r="A3" s="49">
        <v>46053.0</v>
      </c>
      <c r="B3" s="41" t="s">
        <v>64</v>
      </c>
      <c r="C3" s="41" t="s">
        <v>158</v>
      </c>
      <c r="D3" s="41" t="s">
        <v>60</v>
      </c>
      <c r="E3" s="41" t="s">
        <v>42</v>
      </c>
      <c r="F3" s="41" t="s">
        <v>44</v>
      </c>
      <c r="G3" s="50">
        <v>0.875</v>
      </c>
      <c r="H3" s="50">
        <v>0.9166666666666666</v>
      </c>
      <c r="I3" s="51">
        <v>1.0416666666666667</v>
      </c>
      <c r="J3" s="45">
        <v>25.0</v>
      </c>
      <c r="K3" s="47" t="s">
        <v>29</v>
      </c>
      <c r="L3" s="48">
        <v>35.47</v>
      </c>
      <c r="M3" s="48">
        <v>886.75</v>
      </c>
      <c r="N3" s="41" t="s">
        <v>151</v>
      </c>
      <c r="O3" s="41" t="s">
        <v>152</v>
      </c>
      <c r="P3" s="49">
        <v>46053.0</v>
      </c>
      <c r="Q3" s="49"/>
      <c r="R3" s="41" t="s">
        <v>161</v>
      </c>
      <c r="S3" s="40"/>
      <c r="T3" s="40">
        <v>0.04340277777777778</v>
      </c>
    </row>
    <row r="4">
      <c r="A4" s="24">
        <v>46053.0</v>
      </c>
      <c r="B4" s="26" t="s">
        <v>164</v>
      </c>
      <c r="C4" s="26" t="s">
        <v>165</v>
      </c>
      <c r="D4" s="26" t="s">
        <v>65</v>
      </c>
      <c r="E4" s="26" t="s">
        <v>48</v>
      </c>
      <c r="F4" s="26" t="s">
        <v>44</v>
      </c>
      <c r="G4" s="29">
        <v>0.7590277777777777</v>
      </c>
      <c r="H4" s="29">
        <v>0.17569444444444443</v>
      </c>
      <c r="I4" s="31">
        <v>30.416666666666668</v>
      </c>
      <c r="J4" s="45">
        <v>730.0</v>
      </c>
      <c r="K4" s="47" t="s">
        <v>29</v>
      </c>
      <c r="L4" s="48">
        <v>35.47</v>
      </c>
      <c r="M4" s="48">
        <v>25893.1</v>
      </c>
      <c r="N4" s="26" t="s">
        <v>168</v>
      </c>
      <c r="O4" s="26" t="s">
        <v>152</v>
      </c>
      <c r="P4" s="24">
        <v>46053.0</v>
      </c>
      <c r="Q4" s="24"/>
      <c r="R4" s="26" t="s">
        <v>169</v>
      </c>
      <c r="S4" s="28" t="str">
        <f t="array" ref="S4">IF(C4="","",IFERROR(_xlfn.XLOOKUP(C4,Volunteers!D:D,Volunteers!A:A),""))</f>
        <v>001</v>
      </c>
      <c r="T4" s="28">
        <v>1.2673611111111112</v>
      </c>
    </row>
    <row r="5">
      <c r="A5" s="49">
        <v>46053.0</v>
      </c>
      <c r="B5" s="41" t="s">
        <v>64</v>
      </c>
      <c r="C5" s="41" t="s">
        <v>170</v>
      </c>
      <c r="D5" s="41" t="s">
        <v>60</v>
      </c>
      <c r="E5" s="41" t="s">
        <v>42</v>
      </c>
      <c r="F5" s="41" t="s">
        <v>44</v>
      </c>
      <c r="G5" s="50">
        <v>0.375</v>
      </c>
      <c r="H5" s="50">
        <v>0.4166666666666667</v>
      </c>
      <c r="I5" s="51">
        <v>1.0416666666666667</v>
      </c>
      <c r="J5" s="45">
        <v>25.0</v>
      </c>
      <c r="K5" s="47" t="s">
        <v>29</v>
      </c>
      <c r="L5" s="48">
        <v>35.47</v>
      </c>
      <c r="M5" s="48">
        <v>886.75</v>
      </c>
      <c r="N5" s="41" t="s">
        <v>151</v>
      </c>
      <c r="O5" s="41" t="s">
        <v>152</v>
      </c>
      <c r="P5" s="49">
        <v>46053.0</v>
      </c>
      <c r="Q5" s="49"/>
      <c r="R5" s="41" t="s">
        <v>171</v>
      </c>
      <c r="S5" s="40" t="str">
        <f t="array" ref="S5">IF(C5="","",IFERROR(_xlfn.XLOOKUP(C5,Volunteers!D:D,Volunteers!A:A),""))</f>
        <v>007</v>
      </c>
      <c r="T5" s="40">
        <v>0.04340277777777778</v>
      </c>
    </row>
    <row r="6">
      <c r="A6" s="24">
        <v>46053.0</v>
      </c>
      <c r="B6" s="26" t="s">
        <v>64</v>
      </c>
      <c r="C6" s="26" t="s">
        <v>170</v>
      </c>
      <c r="D6" s="26" t="s">
        <v>60</v>
      </c>
      <c r="E6" s="26" t="s">
        <v>48</v>
      </c>
      <c r="F6" s="26" t="s">
        <v>44</v>
      </c>
      <c r="G6" s="29">
        <v>0.375</v>
      </c>
      <c r="H6" s="29">
        <v>0.8541666666666666</v>
      </c>
      <c r="I6" s="31">
        <v>4.479166666666667</v>
      </c>
      <c r="J6" s="45">
        <v>107.5</v>
      </c>
      <c r="K6" s="47" t="s">
        <v>29</v>
      </c>
      <c r="L6" s="48">
        <v>35.47</v>
      </c>
      <c r="M6" s="48">
        <v>3813.025</v>
      </c>
      <c r="N6" s="26" t="s">
        <v>172</v>
      </c>
      <c r="O6" s="26" t="s">
        <v>152</v>
      </c>
      <c r="P6" s="24">
        <v>46053.0</v>
      </c>
      <c r="Q6" s="24"/>
      <c r="R6" s="26" t="s">
        <v>173</v>
      </c>
      <c r="S6" s="28" t="str">
        <f t="array" ref="S6">IF(C6="","",IFERROR(_xlfn.XLOOKUP(C6,Volunteers!D:D,Volunteers!A:A),""))</f>
        <v>007</v>
      </c>
      <c r="T6" s="28">
        <v>0.18663194444444445</v>
      </c>
    </row>
    <row r="7">
      <c r="A7" s="49">
        <v>46050.0</v>
      </c>
      <c r="B7" s="41" t="s">
        <v>174</v>
      </c>
      <c r="C7" s="41" t="s">
        <v>175</v>
      </c>
      <c r="D7" s="41" t="s">
        <v>53</v>
      </c>
      <c r="E7" s="41" t="s">
        <v>42</v>
      </c>
      <c r="F7" s="41" t="s">
        <v>44</v>
      </c>
      <c r="G7" s="50">
        <v>0.5416666666666666</v>
      </c>
      <c r="H7" s="50">
        <v>0.5868055555555556</v>
      </c>
      <c r="I7" s="51">
        <v>0.045138875</v>
      </c>
      <c r="J7" s="45">
        <v>1.083333</v>
      </c>
      <c r="K7" s="47" t="s">
        <v>29</v>
      </c>
      <c r="L7" s="48">
        <v>35.47</v>
      </c>
      <c r="M7" s="48">
        <v>38.425821510000006</v>
      </c>
      <c r="N7" s="41" t="s">
        <v>176</v>
      </c>
      <c r="O7" s="41" t="s">
        <v>152</v>
      </c>
      <c r="P7" s="49">
        <v>46050.0</v>
      </c>
      <c r="Q7" s="49"/>
      <c r="R7" s="41" t="s">
        <v>177</v>
      </c>
      <c r="S7" s="40" t="str">
        <f t="array" ref="S7">IF(C7="","",IFERROR(_xlfn.XLOOKUP(C7,Volunteers!D:D,Volunteers!A:A),""))</f>
        <v>003</v>
      </c>
      <c r="T7" s="40">
        <v>0.0018807864583333335</v>
      </c>
    </row>
    <row r="8">
      <c r="A8" s="24">
        <v>46046.0</v>
      </c>
      <c r="B8" s="26" t="s">
        <v>64</v>
      </c>
      <c r="C8" s="26" t="s">
        <v>170</v>
      </c>
      <c r="D8" s="26" t="s">
        <v>60</v>
      </c>
      <c r="E8" s="26" t="s">
        <v>48</v>
      </c>
      <c r="F8" s="26" t="s">
        <v>44</v>
      </c>
      <c r="G8" s="29">
        <v>0.375</v>
      </c>
      <c r="H8" s="29">
        <v>0.375</v>
      </c>
      <c r="I8" s="31">
        <v>5.0</v>
      </c>
      <c r="J8" s="45">
        <v>120.0</v>
      </c>
      <c r="K8" s="47" t="s">
        <v>29</v>
      </c>
      <c r="L8" s="48">
        <v>35.47</v>
      </c>
      <c r="M8" s="48">
        <v>4256.4</v>
      </c>
      <c r="N8" s="26" t="s">
        <v>172</v>
      </c>
      <c r="O8" s="26" t="s">
        <v>152</v>
      </c>
      <c r="P8" s="24">
        <v>46046.0</v>
      </c>
      <c r="Q8" s="24"/>
      <c r="R8" s="26" t="s">
        <v>173</v>
      </c>
      <c r="S8" s="28" t="str">
        <f t="array" ref="S8">IF(C8="","",IFERROR(_xlfn.XLOOKUP(C8,Volunteers!D:D,Volunteers!A:A),""))</f>
        <v>007</v>
      </c>
      <c r="T8" s="28">
        <v>0.20833333333333334</v>
      </c>
    </row>
    <row r="9">
      <c r="A9" s="49">
        <v>46043.0</v>
      </c>
      <c r="B9" s="41" t="s">
        <v>174</v>
      </c>
      <c r="C9" s="41" t="s">
        <v>175</v>
      </c>
      <c r="D9" s="41" t="s">
        <v>53</v>
      </c>
      <c r="E9" s="41" t="s">
        <v>42</v>
      </c>
      <c r="F9" s="41" t="s">
        <v>44</v>
      </c>
      <c r="G9" s="50">
        <v>0.5416666666666666</v>
      </c>
      <c r="H9" s="50">
        <v>0.6388888888888888</v>
      </c>
      <c r="I9" s="51">
        <v>0.09722220833333334</v>
      </c>
      <c r="J9" s="45">
        <v>2.333333</v>
      </c>
      <c r="K9" s="47" t="s">
        <v>29</v>
      </c>
      <c r="L9" s="48">
        <v>35.47</v>
      </c>
      <c r="M9" s="48">
        <v>82.76332151</v>
      </c>
      <c r="N9" s="41" t="s">
        <v>178</v>
      </c>
      <c r="O9" s="41" t="s">
        <v>152</v>
      </c>
      <c r="P9" s="49">
        <v>46043.0</v>
      </c>
      <c r="Q9" s="49"/>
      <c r="R9" s="41" t="s">
        <v>177</v>
      </c>
      <c r="S9" s="40" t="str">
        <f t="array" ref="S9">IF(C9="","",IFERROR(_xlfn.XLOOKUP(C9,Volunteers!D:D,Volunteers!A:A),""))</f>
        <v>003</v>
      </c>
      <c r="T9" s="40">
        <v>0.004050925347222223</v>
      </c>
    </row>
    <row r="10">
      <c r="A10" s="24">
        <v>46039.0</v>
      </c>
      <c r="B10" s="26" t="s">
        <v>64</v>
      </c>
      <c r="C10" s="26" t="s">
        <v>170</v>
      </c>
      <c r="D10" s="26" t="s">
        <v>60</v>
      </c>
      <c r="E10" s="26" t="s">
        <v>48</v>
      </c>
      <c r="F10" s="26" t="s">
        <v>44</v>
      </c>
      <c r="G10" s="29">
        <v>0.375</v>
      </c>
      <c r="H10" s="29">
        <v>0.5416666666666666</v>
      </c>
      <c r="I10" s="31">
        <v>4.166666666666667</v>
      </c>
      <c r="J10" s="45">
        <v>100.0</v>
      </c>
      <c r="K10" s="47" t="s">
        <v>29</v>
      </c>
      <c r="L10" s="48">
        <v>35.47</v>
      </c>
      <c r="M10" s="48">
        <v>3547.0</v>
      </c>
      <c r="N10" s="26" t="s">
        <v>172</v>
      </c>
      <c r="O10" s="26" t="s">
        <v>152</v>
      </c>
      <c r="P10" s="24">
        <v>46039.0</v>
      </c>
      <c r="Q10" s="24"/>
      <c r="R10" s="26" t="s">
        <v>173</v>
      </c>
      <c r="S10" s="28" t="str">
        <f t="array" ref="S10">IF(C10="","",IFERROR(_xlfn.XLOOKUP(C10,Volunteers!D:D,Volunteers!A:A),""))</f>
        <v>007</v>
      </c>
      <c r="T10" s="28">
        <v>0.17361111111111113</v>
      </c>
    </row>
    <row r="11">
      <c r="A11" s="49">
        <v>46032.0</v>
      </c>
      <c r="B11" s="41" t="s">
        <v>64</v>
      </c>
      <c r="C11" s="41" t="s">
        <v>170</v>
      </c>
      <c r="D11" s="41" t="s">
        <v>60</v>
      </c>
      <c r="E11" s="41" t="s">
        <v>48</v>
      </c>
      <c r="F11" s="41" t="s">
        <v>44</v>
      </c>
      <c r="G11" s="50">
        <v>0.375</v>
      </c>
      <c r="H11" s="50">
        <v>0.6458333333333334</v>
      </c>
      <c r="I11" s="51">
        <v>4.270833333333333</v>
      </c>
      <c r="J11" s="45">
        <v>102.5</v>
      </c>
      <c r="K11" s="47" t="s">
        <v>29</v>
      </c>
      <c r="L11" s="48">
        <v>35.47</v>
      </c>
      <c r="M11" s="48">
        <v>3635.6749999999997</v>
      </c>
      <c r="N11" s="41" t="s">
        <v>172</v>
      </c>
      <c r="O11" s="41" t="s">
        <v>152</v>
      </c>
      <c r="P11" s="49">
        <v>46032.0</v>
      </c>
      <c r="Q11" s="49"/>
      <c r="R11" s="41" t="s">
        <v>173</v>
      </c>
      <c r="S11" s="40" t="str">
        <f t="array" ref="S11">IF(C11="","",IFERROR(_xlfn.XLOOKUP(C11,Volunteers!D:D,Volunteers!A:A),""))</f>
        <v>007</v>
      </c>
      <c r="T11" s="40">
        <v>0.17795138888888887</v>
      </c>
    </row>
    <row r="12">
      <c r="A12" s="24">
        <v>46081.0</v>
      </c>
      <c r="B12" s="26" t="s">
        <v>64</v>
      </c>
      <c r="C12" s="26"/>
      <c r="D12" s="26" t="s">
        <v>60</v>
      </c>
      <c r="E12" s="26" t="s">
        <v>42</v>
      </c>
      <c r="F12" s="26" t="s">
        <v>44</v>
      </c>
      <c r="G12" s="29">
        <v>0.9166666666666666</v>
      </c>
      <c r="H12" s="29">
        <v>0.9583333333333334</v>
      </c>
      <c r="I12" s="31">
        <v>1.0416666666666667</v>
      </c>
      <c r="J12" s="45">
        <v>25.0</v>
      </c>
      <c r="K12" s="47" t="s">
        <v>179</v>
      </c>
      <c r="L12" s="48" t="s">
        <v>179</v>
      </c>
      <c r="M12" s="48" t="s">
        <v>179</v>
      </c>
      <c r="N12" s="26" t="s">
        <v>151</v>
      </c>
      <c r="O12" s="26" t="s">
        <v>152</v>
      </c>
      <c r="P12" s="24">
        <v>46081.0</v>
      </c>
      <c r="Q12" s="24"/>
      <c r="R12" s="26" t="s">
        <v>171</v>
      </c>
      <c r="S12" s="28" t="str">
        <f t="array" ref="S12">IF(C12="","",IFERROR(_xlfn.XLOOKUP(C12,Volunteers!D:D,Volunteers!A:A),""))</f>
        <v/>
      </c>
      <c r="T12" s="28">
        <v>0.04340277777777778</v>
      </c>
    </row>
    <row r="13">
      <c r="A13" s="49">
        <v>46081.0</v>
      </c>
      <c r="B13" s="41" t="s">
        <v>64</v>
      </c>
      <c r="C13" s="41" t="s">
        <v>158</v>
      </c>
      <c r="D13" s="41" t="s">
        <v>60</v>
      </c>
      <c r="E13" s="41" t="s">
        <v>42</v>
      </c>
      <c r="F13" s="41" t="s">
        <v>44</v>
      </c>
      <c r="G13" s="50">
        <v>0.875</v>
      </c>
      <c r="H13" s="50">
        <v>0.9166666666666666</v>
      </c>
      <c r="I13" s="51">
        <v>1.0416666666666667</v>
      </c>
      <c r="J13" s="45">
        <v>25.0</v>
      </c>
      <c r="K13" s="47" t="s">
        <v>29</v>
      </c>
      <c r="L13" s="48">
        <v>35.47</v>
      </c>
      <c r="M13" s="48">
        <v>886.75</v>
      </c>
      <c r="N13" s="41" t="s">
        <v>151</v>
      </c>
      <c r="O13" s="41" t="s">
        <v>152</v>
      </c>
      <c r="P13" s="49">
        <v>46081.0</v>
      </c>
      <c r="Q13" s="49"/>
      <c r="R13" s="41" t="s">
        <v>180</v>
      </c>
      <c r="S13" s="40" t="str">
        <f t="array" ref="S13">IF(C13="","",IFERROR(_xlfn.XLOOKUP(C13,Volunteers!D:D,Volunteers!A:A),""))</f>
        <v>015</v>
      </c>
      <c r="T13" s="40">
        <v>0.04340277777777778</v>
      </c>
    </row>
    <row r="14">
      <c r="A14" s="24">
        <v>46081.0</v>
      </c>
      <c r="B14" s="26" t="s">
        <v>64</v>
      </c>
      <c r="C14" s="26" t="s">
        <v>67</v>
      </c>
      <c r="D14" s="26" t="s">
        <v>60</v>
      </c>
      <c r="E14" s="26" t="s">
        <v>42</v>
      </c>
      <c r="F14" s="26" t="s">
        <v>44</v>
      </c>
      <c r="G14" s="29">
        <v>0.875</v>
      </c>
      <c r="H14" s="29">
        <v>0.9166666666666666</v>
      </c>
      <c r="I14" s="31">
        <v>1.0416666666666667</v>
      </c>
      <c r="J14" s="45">
        <v>25.0</v>
      </c>
      <c r="K14" s="47" t="s">
        <v>29</v>
      </c>
      <c r="L14" s="48">
        <v>35.47</v>
      </c>
      <c r="M14" s="48">
        <v>886.75</v>
      </c>
      <c r="N14" s="26" t="s">
        <v>151</v>
      </c>
      <c r="O14" s="26" t="s">
        <v>152</v>
      </c>
      <c r="P14" s="24">
        <v>46081.0</v>
      </c>
      <c r="Q14" s="24"/>
      <c r="R14" s="26" t="s">
        <v>181</v>
      </c>
      <c r="S14" s="28" t="str">
        <f t="array" ref="S14">IF(C14="","",IFERROR(_xlfn.XLOOKUP(C14,Volunteers!D:D,Volunteers!A:A),""))</f>
        <v>016</v>
      </c>
      <c r="T14" s="28">
        <v>0.04340277777777778</v>
      </c>
    </row>
    <row r="15">
      <c r="A15" s="49">
        <v>46081.0</v>
      </c>
      <c r="B15" s="41" t="s">
        <v>164</v>
      </c>
      <c r="C15" s="41" t="s">
        <v>165</v>
      </c>
      <c r="D15" s="41" t="s">
        <v>65</v>
      </c>
      <c r="E15" s="41" t="s">
        <v>48</v>
      </c>
      <c r="F15" s="41" t="s">
        <v>44</v>
      </c>
      <c r="G15" s="50">
        <v>0.8423611111111111</v>
      </c>
      <c r="H15" s="50">
        <v>0.009027777777777777</v>
      </c>
      <c r="I15" s="51">
        <v>2.1666666666666665</v>
      </c>
      <c r="J15" s="45">
        <v>52.0</v>
      </c>
      <c r="K15" s="47" t="s">
        <v>29</v>
      </c>
      <c r="L15" s="48">
        <v>35.47</v>
      </c>
      <c r="M15" s="48">
        <v>1844.44</v>
      </c>
      <c r="N15" s="41" t="s">
        <v>182</v>
      </c>
      <c r="O15" s="41" t="s">
        <v>152</v>
      </c>
      <c r="P15" s="49">
        <v>46081.0</v>
      </c>
      <c r="Q15" s="49"/>
      <c r="R15" s="41" t="s">
        <v>183</v>
      </c>
      <c r="S15" s="40" t="str">
        <f t="array" ref="S15">IF(C15="","",IFERROR(_xlfn.XLOOKUP(C15,Volunteers!D:D,Volunteers!A:A),""))</f>
        <v>001</v>
      </c>
      <c r="T15" s="40">
        <v>0.09027777777777778</v>
      </c>
    </row>
    <row r="16">
      <c r="A16" s="52">
        <v>46081.0</v>
      </c>
      <c r="B16" s="28" t="s">
        <v>64</v>
      </c>
      <c r="C16" s="28" t="s">
        <v>170</v>
      </c>
      <c r="D16" s="28" t="s">
        <v>60</v>
      </c>
      <c r="E16" s="28" t="s">
        <v>48</v>
      </c>
      <c r="F16" s="28" t="s">
        <v>44</v>
      </c>
      <c r="G16" s="53">
        <v>0.75</v>
      </c>
      <c r="H16" s="53">
        <v>0.4375</v>
      </c>
      <c r="I16" s="31">
        <v>4.6875</v>
      </c>
      <c r="J16" s="54">
        <v>112.5</v>
      </c>
      <c r="K16" s="55" t="s">
        <v>29</v>
      </c>
      <c r="L16" s="56">
        <v>35.47</v>
      </c>
      <c r="M16" s="56">
        <v>3990.375</v>
      </c>
      <c r="N16" s="28" t="s">
        <v>172</v>
      </c>
      <c r="O16" s="28" t="s">
        <v>152</v>
      </c>
      <c r="P16" s="52">
        <v>46081.0</v>
      </c>
      <c r="Q16" s="52"/>
      <c r="R16" s="28" t="s">
        <v>184</v>
      </c>
      <c r="S16" s="28" t="str">
        <f t="array" ref="S16">IF(C16="","",IFERROR(_xlfn.XLOOKUP(C16,Volunteers!D:D,Volunteers!A:A),""))</f>
        <v>007</v>
      </c>
      <c r="T16" s="28">
        <v>0.1953125</v>
      </c>
    </row>
    <row r="17">
      <c r="A17" s="57">
        <v>46081.0</v>
      </c>
      <c r="B17" s="40" t="s">
        <v>185</v>
      </c>
      <c r="C17" s="40" t="s">
        <v>186</v>
      </c>
      <c r="D17" s="40" t="s">
        <v>53</v>
      </c>
      <c r="E17" s="40" t="s">
        <v>42</v>
      </c>
      <c r="F17" s="40" t="s">
        <v>44</v>
      </c>
      <c r="G17" s="58">
        <v>0.5868055555555556</v>
      </c>
      <c r="H17" s="58">
        <v>0.65625</v>
      </c>
      <c r="I17" s="51">
        <v>0.06944445833333333</v>
      </c>
      <c r="J17" s="54">
        <v>1.666667</v>
      </c>
      <c r="K17" s="55" t="s">
        <v>29</v>
      </c>
      <c r="L17" s="56">
        <v>35.47</v>
      </c>
      <c r="M17" s="56">
        <v>59.11667848999999</v>
      </c>
      <c r="N17" s="40" t="s">
        <v>187</v>
      </c>
      <c r="O17" s="40" t="s">
        <v>152</v>
      </c>
      <c r="P17" s="57">
        <v>46081.0</v>
      </c>
      <c r="Q17" s="57"/>
      <c r="R17" s="40" t="s">
        <v>188</v>
      </c>
      <c r="S17" s="40" t="str">
        <f t="array" ref="S17">IF(C17="","",IFERROR(_xlfn.XLOOKUP(C17,Volunteers!D:D,Volunteers!A:A),""))</f>
        <v>002</v>
      </c>
      <c r="T17" s="40">
        <v>0.0028935190972222222</v>
      </c>
    </row>
    <row r="18">
      <c r="A18" s="52">
        <v>46081.0</v>
      </c>
      <c r="B18" s="28" t="s">
        <v>185</v>
      </c>
      <c r="C18" s="28" t="s">
        <v>189</v>
      </c>
      <c r="D18" s="28" t="s">
        <v>53</v>
      </c>
      <c r="E18" s="28" t="s">
        <v>42</v>
      </c>
      <c r="F18" s="28" t="s">
        <v>44</v>
      </c>
      <c r="G18" s="53">
        <v>0.5833333333333334</v>
      </c>
      <c r="H18" s="53">
        <v>0.6666666666666666</v>
      </c>
      <c r="I18" s="31">
        <v>0.08333333333333333</v>
      </c>
      <c r="J18" s="54">
        <v>2.0</v>
      </c>
      <c r="K18" s="55" t="s">
        <v>29</v>
      </c>
      <c r="L18" s="56">
        <v>35.47</v>
      </c>
      <c r="M18" s="56">
        <v>70.94</v>
      </c>
      <c r="N18" s="28" t="s">
        <v>187</v>
      </c>
      <c r="O18" s="28" t="s">
        <v>152</v>
      </c>
      <c r="P18" s="52">
        <v>46081.0</v>
      </c>
      <c r="Q18" s="52"/>
      <c r="R18" s="28" t="s">
        <v>190</v>
      </c>
      <c r="S18" s="28" t="str">
        <f t="array" ref="S18">IF(C18="","",IFERROR(_xlfn.XLOOKUP(C18,Volunteers!D:D,Volunteers!A:A),""))</f>
        <v>013</v>
      </c>
      <c r="T18" s="28">
        <v>0.003472222222222222</v>
      </c>
    </row>
    <row r="19">
      <c r="A19" s="57">
        <v>46081.0</v>
      </c>
      <c r="B19" s="41" t="s">
        <v>191</v>
      </c>
      <c r="C19" s="40" t="s">
        <v>175</v>
      </c>
      <c r="D19" s="40" t="s">
        <v>53</v>
      </c>
      <c r="E19" s="40" t="s">
        <v>42</v>
      </c>
      <c r="F19" s="40" t="s">
        <v>44</v>
      </c>
      <c r="G19" s="58">
        <v>0.5833333333333334</v>
      </c>
      <c r="H19" s="58">
        <v>0.65625</v>
      </c>
      <c r="I19" s="51">
        <v>0.07291666666666667</v>
      </c>
      <c r="J19" s="54">
        <v>1.75</v>
      </c>
      <c r="K19" s="55" t="s">
        <v>29</v>
      </c>
      <c r="L19" s="56">
        <v>35.47</v>
      </c>
      <c r="M19" s="56">
        <v>62.0725</v>
      </c>
      <c r="N19" s="40" t="s">
        <v>176</v>
      </c>
      <c r="O19" s="40" t="s">
        <v>152</v>
      </c>
      <c r="P19" s="57">
        <v>46081.0</v>
      </c>
      <c r="Q19" s="57"/>
      <c r="R19" s="40" t="s">
        <v>192</v>
      </c>
      <c r="S19" s="40" t="str">
        <f t="array" ref="S19">IF(C19="","",IFERROR(_xlfn.XLOOKUP(C19,Volunteers!D:D,Volunteers!A:A),""))</f>
        <v>003</v>
      </c>
      <c r="T19" s="40">
        <v>0.0030381944444444445</v>
      </c>
    </row>
    <row r="20">
      <c r="A20" s="52">
        <v>46081.0</v>
      </c>
      <c r="B20" s="26" t="s">
        <v>193</v>
      </c>
      <c r="C20" s="28" t="s">
        <v>194</v>
      </c>
      <c r="D20" s="26" t="s">
        <v>33</v>
      </c>
      <c r="E20" s="28" t="s">
        <v>32</v>
      </c>
      <c r="F20" s="28" t="s">
        <v>44</v>
      </c>
      <c r="G20" s="53">
        <v>0.375</v>
      </c>
      <c r="H20" s="53">
        <v>0.7083333333333334</v>
      </c>
      <c r="I20" s="31">
        <v>0.3333333333333333</v>
      </c>
      <c r="J20" s="54">
        <v>8.0</v>
      </c>
      <c r="K20" s="55" t="s">
        <v>29</v>
      </c>
      <c r="L20" s="56">
        <v>35.47</v>
      </c>
      <c r="M20" s="56">
        <v>283.76</v>
      </c>
      <c r="N20" s="28" t="s">
        <v>195</v>
      </c>
      <c r="O20" s="28" t="s">
        <v>152</v>
      </c>
      <c r="P20" s="52">
        <v>46081.0</v>
      </c>
      <c r="Q20" s="52"/>
      <c r="R20" s="28" t="s">
        <v>32</v>
      </c>
      <c r="S20" s="28" t="str">
        <f t="array" ref="S20">IF(C20="","",IFERROR(_xlfn.XLOOKUP(C20,Volunteers!D:D,Volunteers!A:A),""))</f>
        <v>014</v>
      </c>
      <c r="T20" s="28">
        <v>0.013888888888888888</v>
      </c>
    </row>
    <row r="21">
      <c r="A21" s="57">
        <v>46081.0</v>
      </c>
      <c r="B21" s="40" t="s">
        <v>185</v>
      </c>
      <c r="C21" s="40" t="s">
        <v>194</v>
      </c>
      <c r="D21" s="40" t="s">
        <v>53</v>
      </c>
      <c r="E21" s="40" t="s">
        <v>42</v>
      </c>
      <c r="F21" s="40" t="s">
        <v>44</v>
      </c>
      <c r="G21" s="58">
        <v>0.375</v>
      </c>
      <c r="H21" s="58">
        <v>0.7916666666666666</v>
      </c>
      <c r="I21" s="51">
        <v>0.4166666666666667</v>
      </c>
      <c r="J21" s="54">
        <v>10.0</v>
      </c>
      <c r="K21" s="55" t="s">
        <v>29</v>
      </c>
      <c r="L21" s="56">
        <v>35.47</v>
      </c>
      <c r="M21" s="56">
        <v>354.7</v>
      </c>
      <c r="N21" s="40" t="s">
        <v>187</v>
      </c>
      <c r="O21" s="40" t="s">
        <v>152</v>
      </c>
      <c r="P21" s="57">
        <v>46081.0</v>
      </c>
      <c r="Q21" s="57"/>
      <c r="R21" s="40" t="s">
        <v>196</v>
      </c>
      <c r="S21" s="40" t="str">
        <f t="array" ref="S21">IF(C21="","",IFERROR(_xlfn.XLOOKUP(C21,Volunteers!D:D,Volunteers!A:A),""))</f>
        <v>014</v>
      </c>
      <c r="T21" s="40">
        <v>0.017361111111111112</v>
      </c>
    </row>
    <row r="22">
      <c r="A22" s="52">
        <v>46081.0</v>
      </c>
      <c r="B22" s="28" t="s">
        <v>64</v>
      </c>
      <c r="C22" s="28" t="s">
        <v>170</v>
      </c>
      <c r="D22" s="28" t="s">
        <v>60</v>
      </c>
      <c r="E22" s="28" t="s">
        <v>48</v>
      </c>
      <c r="F22" s="28" t="s">
        <v>44</v>
      </c>
      <c r="G22" s="53">
        <v>0.375</v>
      </c>
      <c r="H22" s="53">
        <v>0.16666666666666666</v>
      </c>
      <c r="I22" s="31">
        <v>4.791666666666667</v>
      </c>
      <c r="J22" s="54">
        <v>115.0</v>
      </c>
      <c r="K22" s="55" t="s">
        <v>29</v>
      </c>
      <c r="L22" s="56">
        <v>35.47</v>
      </c>
      <c r="M22" s="56">
        <v>4079.0499999999997</v>
      </c>
      <c r="N22" s="28" t="s">
        <v>172</v>
      </c>
      <c r="O22" s="28" t="s">
        <v>152</v>
      </c>
      <c r="P22" s="52">
        <v>46081.0</v>
      </c>
      <c r="Q22" s="52"/>
      <c r="R22" s="28" t="s">
        <v>173</v>
      </c>
      <c r="S22" s="28" t="str">
        <f t="array" ref="S22">IF(C22="","",IFERROR(_xlfn.XLOOKUP(C22,Volunteers!D:D,Volunteers!A:A),""))</f>
        <v>007</v>
      </c>
      <c r="T22" s="28">
        <v>0.1996527777777778</v>
      </c>
    </row>
    <row r="23">
      <c r="A23" s="57">
        <v>46081.0</v>
      </c>
      <c r="B23" s="40" t="s">
        <v>179</v>
      </c>
      <c r="C23" s="40" t="s">
        <v>197</v>
      </c>
      <c r="D23" s="40" t="s">
        <v>179</v>
      </c>
      <c r="E23" s="40" t="s">
        <v>32</v>
      </c>
      <c r="F23" s="40" t="s">
        <v>44</v>
      </c>
      <c r="G23" s="58">
        <v>0.3645833333333333</v>
      </c>
      <c r="H23" s="58">
        <v>0.42083333333333334</v>
      </c>
      <c r="I23" s="51">
        <v>0.05625</v>
      </c>
      <c r="J23" s="54">
        <v>1.35</v>
      </c>
      <c r="K23" s="55" t="s">
        <v>29</v>
      </c>
      <c r="L23" s="56">
        <v>35.47</v>
      </c>
      <c r="M23" s="56">
        <v>47.8845</v>
      </c>
      <c r="N23" s="40" t="s">
        <v>195</v>
      </c>
      <c r="O23" s="40" t="s">
        <v>152</v>
      </c>
      <c r="P23" s="57">
        <v>46081.0</v>
      </c>
      <c r="Q23" s="57"/>
      <c r="R23" s="40" t="s">
        <v>198</v>
      </c>
      <c r="S23" s="40" t="str">
        <f t="array" ref="S23">IF(C23="","",IFERROR(_xlfn.XLOOKUP(C23,Volunteers!D:D,Volunteers!A:A),""))</f>
        <v>011</v>
      </c>
      <c r="T23" s="40">
        <v>0.00234375</v>
      </c>
    </row>
    <row r="24">
      <c r="A24" s="52">
        <v>46081.0</v>
      </c>
      <c r="B24" s="28" t="s">
        <v>199</v>
      </c>
      <c r="C24" s="28" t="s">
        <v>200</v>
      </c>
      <c r="D24" s="28" t="s">
        <v>33</v>
      </c>
      <c r="E24" s="28" t="s">
        <v>32</v>
      </c>
      <c r="F24" s="28" t="s">
        <v>44</v>
      </c>
      <c r="G24" s="53">
        <v>0.29791666666666666</v>
      </c>
      <c r="H24" s="53">
        <v>0.9645833333333333</v>
      </c>
      <c r="I24" s="31">
        <v>0.6666666666666666</v>
      </c>
      <c r="J24" s="54">
        <v>16.0</v>
      </c>
      <c r="K24" s="55" t="s">
        <v>29</v>
      </c>
      <c r="L24" s="56">
        <v>35.47</v>
      </c>
      <c r="M24" s="56">
        <v>567.52</v>
      </c>
      <c r="N24" s="28" t="s">
        <v>201</v>
      </c>
      <c r="O24" s="28" t="s">
        <v>152</v>
      </c>
      <c r="P24" s="52">
        <v>46081.0</v>
      </c>
      <c r="Q24" s="52"/>
      <c r="R24" s="28" t="s">
        <v>202</v>
      </c>
      <c r="S24" s="28" t="str">
        <f t="array" ref="S24">IF(C24="","",IFERROR(_xlfn.XLOOKUP(C24,Volunteers!D:D,Volunteers!A:A),""))</f>
        <v>005</v>
      </c>
      <c r="T24" s="28">
        <v>0.027777777777777776</v>
      </c>
    </row>
    <row r="25">
      <c r="A25" s="57">
        <v>46081.0</v>
      </c>
      <c r="B25" s="40" t="s">
        <v>164</v>
      </c>
      <c r="C25" s="40" t="s">
        <v>165</v>
      </c>
      <c r="D25" s="40" t="s">
        <v>65</v>
      </c>
      <c r="E25" s="41" t="s">
        <v>48</v>
      </c>
      <c r="F25" s="40" t="s">
        <v>44</v>
      </c>
      <c r="G25" s="58">
        <v>0.17569444444444443</v>
      </c>
      <c r="H25" s="58">
        <v>0.8423611111111111</v>
      </c>
      <c r="I25" s="51">
        <v>41.625</v>
      </c>
      <c r="J25" s="54">
        <v>999.0</v>
      </c>
      <c r="K25" s="55" t="s">
        <v>29</v>
      </c>
      <c r="L25" s="56">
        <v>35.47</v>
      </c>
      <c r="M25" s="56">
        <v>35434.53</v>
      </c>
      <c r="N25" s="40" t="s">
        <v>168</v>
      </c>
      <c r="O25" s="40" t="s">
        <v>152</v>
      </c>
      <c r="P25" s="57">
        <v>46081.0</v>
      </c>
      <c r="Q25" s="57"/>
      <c r="R25" s="40" t="s">
        <v>183</v>
      </c>
      <c r="S25" s="40" t="str">
        <f t="array" ref="S25">IF(C25="","",IFERROR(_xlfn.XLOOKUP(C25,Volunteers!D:D,Volunteers!A:A),""))</f>
        <v>001</v>
      </c>
      <c r="T25" s="40">
        <v>1.734375</v>
      </c>
    </row>
    <row r="26">
      <c r="A26" s="52">
        <v>46079.0</v>
      </c>
      <c r="B26" s="28" t="s">
        <v>179</v>
      </c>
      <c r="C26" s="28" t="s">
        <v>197</v>
      </c>
      <c r="D26" s="28" t="s">
        <v>179</v>
      </c>
      <c r="E26" s="28" t="s">
        <v>32</v>
      </c>
      <c r="F26" s="28" t="s">
        <v>44</v>
      </c>
      <c r="G26" s="53">
        <v>0.40625</v>
      </c>
      <c r="H26" s="53">
        <v>0.4340277777777778</v>
      </c>
      <c r="I26" s="31">
        <v>0.027777791666666666</v>
      </c>
      <c r="J26" s="54">
        <v>0.666667</v>
      </c>
      <c r="K26" s="55" t="s">
        <v>29</v>
      </c>
      <c r="L26" s="56">
        <v>35.47</v>
      </c>
      <c r="M26" s="56">
        <v>23.64667849</v>
      </c>
      <c r="N26" s="28" t="s">
        <v>195</v>
      </c>
      <c r="O26" s="28" t="s">
        <v>152</v>
      </c>
      <c r="P26" s="52">
        <v>46079.0</v>
      </c>
      <c r="Q26" s="52"/>
      <c r="R26" s="28" t="s">
        <v>198</v>
      </c>
      <c r="S26" s="28" t="str">
        <f t="array" ref="S26">IF(C26="","",IFERROR(_xlfn.XLOOKUP(C26,Volunteers!D:D,Volunteers!A:A),""))</f>
        <v>011</v>
      </c>
      <c r="T26" s="28">
        <v>0.001157407986111111</v>
      </c>
    </row>
    <row r="27">
      <c r="A27" s="57">
        <v>46078.0</v>
      </c>
      <c r="B27" s="41" t="s">
        <v>191</v>
      </c>
      <c r="C27" s="40" t="s">
        <v>175</v>
      </c>
      <c r="D27" s="40" t="s">
        <v>53</v>
      </c>
      <c r="E27" s="40" t="s">
        <v>42</v>
      </c>
      <c r="F27" s="40" t="s">
        <v>44</v>
      </c>
      <c r="G27" s="58">
        <v>0.49027777777777776</v>
      </c>
      <c r="H27" s="58">
        <v>0.5104166666666666</v>
      </c>
      <c r="I27" s="51">
        <v>0.020138875</v>
      </c>
      <c r="J27" s="54">
        <v>0.483333</v>
      </c>
      <c r="K27" s="55" t="s">
        <v>29</v>
      </c>
      <c r="L27" s="56">
        <v>35.47</v>
      </c>
      <c r="M27" s="56">
        <v>17.14382151</v>
      </c>
      <c r="N27" s="40" t="s">
        <v>176</v>
      </c>
      <c r="O27" s="40" t="s">
        <v>152</v>
      </c>
      <c r="P27" s="57">
        <v>46078.0</v>
      </c>
      <c r="Q27" s="57"/>
      <c r="R27" s="40" t="s">
        <v>203</v>
      </c>
      <c r="S27" s="40" t="str">
        <f t="array" ref="S27">IF(C27="","",IFERROR(_xlfn.XLOOKUP(C27,Volunteers!D:D,Volunteers!A:A),""))</f>
        <v>003</v>
      </c>
      <c r="T27" s="40">
        <v>8.391197916666667E-4</v>
      </c>
    </row>
    <row r="28">
      <c r="A28" s="52">
        <v>46077.0</v>
      </c>
      <c r="B28" s="28" t="s">
        <v>179</v>
      </c>
      <c r="C28" s="28" t="s">
        <v>197</v>
      </c>
      <c r="D28" s="28" t="s">
        <v>179</v>
      </c>
      <c r="E28" s="28" t="s">
        <v>32</v>
      </c>
      <c r="F28" s="28" t="s">
        <v>44</v>
      </c>
      <c r="G28" s="53">
        <v>0.3784722222222222</v>
      </c>
      <c r="H28" s="53">
        <v>0.40625</v>
      </c>
      <c r="I28" s="31">
        <v>0.027777791666666666</v>
      </c>
      <c r="J28" s="54">
        <v>0.666667</v>
      </c>
      <c r="K28" s="55" t="s">
        <v>29</v>
      </c>
      <c r="L28" s="56">
        <v>35.47</v>
      </c>
      <c r="M28" s="56">
        <v>23.64667849</v>
      </c>
      <c r="N28" s="28" t="s">
        <v>195</v>
      </c>
      <c r="O28" s="28" t="s">
        <v>152</v>
      </c>
      <c r="P28" s="52">
        <v>46077.0</v>
      </c>
      <c r="Q28" s="52"/>
      <c r="R28" s="28" t="s">
        <v>198</v>
      </c>
      <c r="S28" s="28" t="str">
        <f t="array" ref="S28">IF(C28="","",IFERROR(_xlfn.XLOOKUP(C28,Volunteers!D:D,Volunteers!A:A),""))</f>
        <v>011</v>
      </c>
      <c r="T28" s="28">
        <v>0.001157407986111111</v>
      </c>
    </row>
    <row r="29">
      <c r="A29" s="57">
        <v>46074.0</v>
      </c>
      <c r="B29" s="40" t="s">
        <v>179</v>
      </c>
      <c r="C29" s="40" t="s">
        <v>197</v>
      </c>
      <c r="D29" s="40" t="s">
        <v>179</v>
      </c>
      <c r="E29" s="40" t="s">
        <v>32</v>
      </c>
      <c r="F29" s="40" t="s">
        <v>44</v>
      </c>
      <c r="G29" s="58">
        <v>0.5520833333333334</v>
      </c>
      <c r="H29" s="58">
        <v>0.6041666666666666</v>
      </c>
      <c r="I29" s="51">
        <v>0.052083333333333336</v>
      </c>
      <c r="J29" s="54">
        <v>1.25</v>
      </c>
      <c r="K29" s="55" t="s">
        <v>29</v>
      </c>
      <c r="L29" s="56">
        <v>35.47</v>
      </c>
      <c r="M29" s="56">
        <v>44.3375</v>
      </c>
      <c r="N29" s="40" t="s">
        <v>195</v>
      </c>
      <c r="O29" s="40" t="s">
        <v>152</v>
      </c>
      <c r="P29" s="57">
        <v>46074.0</v>
      </c>
      <c r="Q29" s="57"/>
      <c r="R29" s="40" t="s">
        <v>204</v>
      </c>
      <c r="S29" s="40" t="str">
        <f t="array" ref="S29">IF(C29="","",IFERROR(_xlfn.XLOOKUP(C29,Volunteers!D:D,Volunteers!A:A),""))</f>
        <v>011</v>
      </c>
      <c r="T29" s="40">
        <v>0.002170138888888889</v>
      </c>
    </row>
    <row r="30">
      <c r="A30" s="52">
        <v>46074.0</v>
      </c>
      <c r="B30" s="28" t="s">
        <v>179</v>
      </c>
      <c r="C30" s="28" t="s">
        <v>197</v>
      </c>
      <c r="D30" s="28" t="s">
        <v>179</v>
      </c>
      <c r="E30" s="28" t="s">
        <v>32</v>
      </c>
      <c r="F30" s="28" t="s">
        <v>44</v>
      </c>
      <c r="G30" s="53">
        <v>0.5</v>
      </c>
      <c r="H30" s="53">
        <v>0.5520833333333334</v>
      </c>
      <c r="I30" s="31">
        <v>0.052083333333333336</v>
      </c>
      <c r="J30" s="54">
        <v>1.25</v>
      </c>
      <c r="K30" s="55" t="s">
        <v>29</v>
      </c>
      <c r="L30" s="56">
        <v>35.47</v>
      </c>
      <c r="M30" s="56">
        <v>44.3375</v>
      </c>
      <c r="N30" s="28" t="s">
        <v>195</v>
      </c>
      <c r="O30" s="28" t="s">
        <v>152</v>
      </c>
      <c r="P30" s="52">
        <v>46074.0</v>
      </c>
      <c r="Q30" s="52"/>
      <c r="R30" s="28" t="s">
        <v>205</v>
      </c>
      <c r="S30" s="28" t="str">
        <f t="array" ref="S30">IF(C30="","",IFERROR(_xlfn.XLOOKUP(C30,Volunteers!D:D,Volunteers!A:A),""))</f>
        <v>011</v>
      </c>
      <c r="T30" s="28">
        <v>0.002170138888888889</v>
      </c>
    </row>
    <row r="31">
      <c r="A31" s="57">
        <v>46074.0</v>
      </c>
      <c r="B31" s="40" t="s">
        <v>64</v>
      </c>
      <c r="C31" s="40" t="s">
        <v>170</v>
      </c>
      <c r="D31" s="40" t="s">
        <v>60</v>
      </c>
      <c r="E31" s="40" t="s">
        <v>48</v>
      </c>
      <c r="F31" s="40" t="s">
        <v>44</v>
      </c>
      <c r="G31" s="58">
        <v>0.375</v>
      </c>
      <c r="H31" s="58">
        <v>0.0625</v>
      </c>
      <c r="I31" s="51">
        <v>4.6875</v>
      </c>
      <c r="J31" s="54">
        <v>112.5</v>
      </c>
      <c r="K31" s="55" t="s">
        <v>29</v>
      </c>
      <c r="L31" s="56">
        <v>35.47</v>
      </c>
      <c r="M31" s="56">
        <v>3990.375</v>
      </c>
      <c r="N31" s="40" t="s">
        <v>172</v>
      </c>
      <c r="O31" s="40" t="s">
        <v>152</v>
      </c>
      <c r="P31" s="57">
        <v>46074.0</v>
      </c>
      <c r="Q31" s="57"/>
      <c r="R31" s="40" t="s">
        <v>173</v>
      </c>
      <c r="S31" s="40" t="str">
        <f t="array" ref="S31">IF(C31="","",IFERROR(_xlfn.XLOOKUP(C31,Volunteers!D:D,Volunteers!A:A),""))</f>
        <v>007</v>
      </c>
      <c r="T31" s="40">
        <v>0.1953125</v>
      </c>
    </row>
    <row r="32">
      <c r="A32" s="52">
        <v>46071.0</v>
      </c>
      <c r="B32" s="26" t="s">
        <v>191</v>
      </c>
      <c r="C32" s="28" t="s">
        <v>175</v>
      </c>
      <c r="D32" s="28" t="s">
        <v>53</v>
      </c>
      <c r="E32" s="28" t="s">
        <v>42</v>
      </c>
      <c r="F32" s="28" t="s">
        <v>44</v>
      </c>
      <c r="G32" s="53">
        <v>0.3958333333333333</v>
      </c>
      <c r="H32" s="53">
        <v>0.4173611111111111</v>
      </c>
      <c r="I32" s="31">
        <v>0.021527791666666667</v>
      </c>
      <c r="J32" s="54">
        <v>0.516667</v>
      </c>
      <c r="K32" s="55" t="s">
        <v>29</v>
      </c>
      <c r="L32" s="56">
        <v>35.47</v>
      </c>
      <c r="M32" s="56">
        <v>18.32617849</v>
      </c>
      <c r="N32" s="28" t="s">
        <v>176</v>
      </c>
      <c r="O32" s="28" t="s">
        <v>152</v>
      </c>
      <c r="P32" s="52">
        <v>46071.0</v>
      </c>
      <c r="Q32" s="52"/>
      <c r="R32" s="28" t="s">
        <v>203</v>
      </c>
      <c r="S32" s="28" t="str">
        <f t="array" ref="S32">IF(C32="","",IFERROR(_xlfn.XLOOKUP(C32,Volunteers!D:D,Volunteers!A:A),""))</f>
        <v>003</v>
      </c>
      <c r="T32" s="28">
        <v>8.969913194444445E-4</v>
      </c>
    </row>
    <row r="33">
      <c r="A33" s="57">
        <v>46067.0</v>
      </c>
      <c r="B33" s="40" t="s">
        <v>64</v>
      </c>
      <c r="C33" s="40" t="s">
        <v>170</v>
      </c>
      <c r="D33" s="40" t="s">
        <v>60</v>
      </c>
      <c r="E33" s="40" t="s">
        <v>48</v>
      </c>
      <c r="F33" s="40" t="s">
        <v>44</v>
      </c>
      <c r="G33" s="58">
        <v>0.375</v>
      </c>
      <c r="H33" s="58">
        <v>0.4791666666666667</v>
      </c>
      <c r="I33" s="51">
        <v>5.104166666666667</v>
      </c>
      <c r="J33" s="54">
        <v>122.5</v>
      </c>
      <c r="K33" s="55" t="s">
        <v>29</v>
      </c>
      <c r="L33" s="56">
        <v>35.47</v>
      </c>
      <c r="M33" s="56">
        <v>4345.075</v>
      </c>
      <c r="N33" s="40" t="s">
        <v>172</v>
      </c>
      <c r="O33" s="40" t="s">
        <v>152</v>
      </c>
      <c r="P33" s="57">
        <v>46067.0</v>
      </c>
      <c r="Q33" s="57"/>
      <c r="R33" s="40" t="s">
        <v>173</v>
      </c>
      <c r="S33" s="40" t="str">
        <f t="array" ref="S33">IF(C33="","",IFERROR(_xlfn.XLOOKUP(C33,Volunteers!D:D,Volunteers!A:A),""))</f>
        <v>007</v>
      </c>
      <c r="T33" s="40">
        <v>0.21267361111111113</v>
      </c>
    </row>
    <row r="34">
      <c r="A34" s="52">
        <v>46066.0</v>
      </c>
      <c r="B34" s="28" t="s">
        <v>164</v>
      </c>
      <c r="C34" s="26" t="s">
        <v>206</v>
      </c>
      <c r="D34" s="28" t="s">
        <v>65</v>
      </c>
      <c r="E34" s="28" t="s">
        <v>42</v>
      </c>
      <c r="F34" s="28" t="s">
        <v>44</v>
      </c>
      <c r="G34" s="53">
        <v>0.8034722222222223</v>
      </c>
      <c r="H34" s="53">
        <v>0.8590277777777777</v>
      </c>
      <c r="I34" s="31">
        <v>0.05555554166666667</v>
      </c>
      <c r="J34" s="54">
        <v>1.333333</v>
      </c>
      <c r="K34" s="55" t="s">
        <v>29</v>
      </c>
      <c r="L34" s="56">
        <v>35.47</v>
      </c>
      <c r="M34" s="56">
        <v>47.293321510000006</v>
      </c>
      <c r="N34" s="28" t="s">
        <v>207</v>
      </c>
      <c r="O34" s="28" t="s">
        <v>152</v>
      </c>
      <c r="P34" s="52">
        <v>46066.0</v>
      </c>
      <c r="Q34" s="52"/>
      <c r="R34" s="28" t="s">
        <v>208</v>
      </c>
      <c r="S34" s="28" t="str">
        <f t="array" ref="S34">IF(C34="","",IFERROR(_xlfn.XLOOKUP(C34,Volunteers!D:D,Volunteers!A:A),""))</f>
        <v>004</v>
      </c>
      <c r="T34" s="28">
        <v>0.0023148142361111112</v>
      </c>
    </row>
    <row r="35">
      <c r="A35" s="57">
        <v>46064.0</v>
      </c>
      <c r="B35" s="41" t="s">
        <v>191</v>
      </c>
      <c r="C35" s="40" t="s">
        <v>175</v>
      </c>
      <c r="D35" s="40" t="s">
        <v>53</v>
      </c>
      <c r="E35" s="40" t="s">
        <v>42</v>
      </c>
      <c r="F35" s="40" t="s">
        <v>44</v>
      </c>
      <c r="G35" s="58">
        <v>0.9027777777777778</v>
      </c>
      <c r="H35" s="58">
        <v>0.9208333333333333</v>
      </c>
      <c r="I35" s="51">
        <v>0.018055541666666668</v>
      </c>
      <c r="J35" s="54">
        <v>0.433333</v>
      </c>
      <c r="K35" s="55" t="s">
        <v>29</v>
      </c>
      <c r="L35" s="56">
        <v>35.47</v>
      </c>
      <c r="M35" s="56">
        <v>15.37032151</v>
      </c>
      <c r="N35" s="40" t="s">
        <v>176</v>
      </c>
      <c r="O35" s="40" t="s">
        <v>152</v>
      </c>
      <c r="P35" s="57">
        <v>46064.0</v>
      </c>
      <c r="Q35" s="57"/>
      <c r="R35" s="40" t="s">
        <v>203</v>
      </c>
      <c r="S35" s="40" t="str">
        <f t="array" ref="S35">IF(C35="","",IFERROR(_xlfn.XLOOKUP(C35,Volunteers!D:D,Volunteers!A:A),""))</f>
        <v>003</v>
      </c>
      <c r="T35" s="40">
        <v>7.523142361111112E-4</v>
      </c>
    </row>
    <row r="36">
      <c r="A36" s="52">
        <v>46064.0</v>
      </c>
      <c r="B36" s="28" t="s">
        <v>64</v>
      </c>
      <c r="C36" s="28" t="s">
        <v>209</v>
      </c>
      <c r="D36" s="28" t="s">
        <v>60</v>
      </c>
      <c r="E36" s="28" t="s">
        <v>42</v>
      </c>
      <c r="F36" s="28" t="s">
        <v>44</v>
      </c>
      <c r="G36" s="53">
        <v>0.46111111111111114</v>
      </c>
      <c r="H36" s="53">
        <v>0.46875</v>
      </c>
      <c r="I36" s="31">
        <v>0.007638875</v>
      </c>
      <c r="J36" s="54">
        <v>0.183333</v>
      </c>
      <c r="K36" s="55" t="s">
        <v>29</v>
      </c>
      <c r="L36" s="56">
        <v>35.47</v>
      </c>
      <c r="M36" s="56">
        <v>6.5028215099999995</v>
      </c>
      <c r="N36" s="28" t="s">
        <v>187</v>
      </c>
      <c r="O36" s="28" t="s">
        <v>152</v>
      </c>
      <c r="P36" s="52">
        <v>46064.0</v>
      </c>
      <c r="Q36" s="52"/>
      <c r="R36" s="28" t="s">
        <v>210</v>
      </c>
      <c r="S36" s="28" t="str">
        <f t="array" ref="S36">IF(C36="","",IFERROR(_xlfn.XLOOKUP(C36,Volunteers!D:D,Volunteers!A:A),""))</f>
        <v>012</v>
      </c>
      <c r="T36" s="28">
        <v>3.1828645833333334E-4</v>
      </c>
    </row>
    <row r="37">
      <c r="A37" s="57">
        <v>46064.0</v>
      </c>
      <c r="B37" s="40" t="s">
        <v>64</v>
      </c>
      <c r="C37" s="40" t="s">
        <v>209</v>
      </c>
      <c r="D37" s="40" t="s">
        <v>60</v>
      </c>
      <c r="E37" s="40" t="s">
        <v>42</v>
      </c>
      <c r="F37" s="40" t="s">
        <v>44</v>
      </c>
      <c r="G37" s="58">
        <v>0.44305555555555554</v>
      </c>
      <c r="H37" s="58">
        <v>0.45416666666666666</v>
      </c>
      <c r="I37" s="51">
        <v>0.011111125</v>
      </c>
      <c r="J37" s="54">
        <v>0.266667</v>
      </c>
      <c r="K37" s="55" t="s">
        <v>29</v>
      </c>
      <c r="L37" s="56">
        <v>35.47</v>
      </c>
      <c r="M37" s="56">
        <v>9.458678489999999</v>
      </c>
      <c r="N37" s="40" t="s">
        <v>187</v>
      </c>
      <c r="O37" s="40" t="s">
        <v>152</v>
      </c>
      <c r="P37" s="57">
        <v>46064.0</v>
      </c>
      <c r="Q37" s="57"/>
      <c r="R37" s="40" t="s">
        <v>210</v>
      </c>
      <c r="S37" s="40" t="str">
        <f t="array" ref="S37">IF(C37="","",IFERROR(_xlfn.XLOOKUP(C37,Volunteers!D:D,Volunteers!A:A),""))</f>
        <v>012</v>
      </c>
      <c r="T37" s="40">
        <v>4.6296354166666664E-4</v>
      </c>
    </row>
    <row r="38">
      <c r="A38" s="52">
        <v>46064.0</v>
      </c>
      <c r="B38" s="28" t="s">
        <v>64</v>
      </c>
      <c r="C38" s="28" t="s">
        <v>209</v>
      </c>
      <c r="D38" s="28" t="s">
        <v>60</v>
      </c>
      <c r="E38" s="28" t="s">
        <v>42</v>
      </c>
      <c r="F38" s="28" t="s">
        <v>44</v>
      </c>
      <c r="G38" s="53">
        <v>0.43680555555555556</v>
      </c>
      <c r="H38" s="53">
        <v>0.4409722222222222</v>
      </c>
      <c r="I38" s="31">
        <v>0.004166666666666667</v>
      </c>
      <c r="J38" s="54">
        <v>0.1</v>
      </c>
      <c r="K38" s="55" t="s">
        <v>29</v>
      </c>
      <c r="L38" s="56">
        <v>35.47</v>
      </c>
      <c r="M38" s="56">
        <v>3.547</v>
      </c>
      <c r="N38" s="28" t="s">
        <v>187</v>
      </c>
      <c r="O38" s="28" t="s">
        <v>152</v>
      </c>
      <c r="P38" s="52">
        <v>46064.0</v>
      </c>
      <c r="Q38" s="52"/>
      <c r="R38" s="28" t="s">
        <v>211</v>
      </c>
      <c r="S38" s="28" t="str">
        <f t="array" ref="S38">IF(C38="","",IFERROR(_xlfn.XLOOKUP(C38,Volunteers!D:D,Volunteers!A:A),""))</f>
        <v>012</v>
      </c>
      <c r="T38" s="28">
        <v>1.7361111111111112E-4</v>
      </c>
    </row>
    <row r="39">
      <c r="A39" s="57">
        <v>46064.0</v>
      </c>
      <c r="B39" s="40" t="s">
        <v>64</v>
      </c>
      <c r="C39" s="40" t="s">
        <v>209</v>
      </c>
      <c r="D39" s="40" t="s">
        <v>60</v>
      </c>
      <c r="E39" s="40" t="s">
        <v>42</v>
      </c>
      <c r="F39" s="40" t="s">
        <v>44</v>
      </c>
      <c r="G39" s="58">
        <v>0.43194444444444446</v>
      </c>
      <c r="H39" s="58">
        <v>0.4361111111111111</v>
      </c>
      <c r="I39" s="51">
        <v>0.004166666666666667</v>
      </c>
      <c r="J39" s="54">
        <v>0.1</v>
      </c>
      <c r="K39" s="55" t="s">
        <v>29</v>
      </c>
      <c r="L39" s="56">
        <v>35.47</v>
      </c>
      <c r="M39" s="56">
        <v>3.547</v>
      </c>
      <c r="N39" s="40" t="s">
        <v>151</v>
      </c>
      <c r="O39" s="40" t="s">
        <v>152</v>
      </c>
      <c r="P39" s="57">
        <v>46064.0</v>
      </c>
      <c r="Q39" s="57"/>
      <c r="R39" s="40" t="s">
        <v>212</v>
      </c>
      <c r="S39" s="40" t="str">
        <f t="array" ref="S39">IF(C39="","",IFERROR(_xlfn.XLOOKUP(C39,Volunteers!D:D,Volunteers!A:A),""))</f>
        <v>012</v>
      </c>
      <c r="T39" s="40">
        <v>1.7361111111111112E-4</v>
      </c>
    </row>
    <row r="40">
      <c r="A40" s="52">
        <v>46063.0</v>
      </c>
      <c r="B40" s="28" t="s">
        <v>64</v>
      </c>
      <c r="C40" s="28" t="s">
        <v>213</v>
      </c>
      <c r="D40" s="28" t="s">
        <v>60</v>
      </c>
      <c r="E40" s="28" t="s">
        <v>52</v>
      </c>
      <c r="F40" s="28" t="s">
        <v>44</v>
      </c>
      <c r="G40" s="53">
        <v>0.75</v>
      </c>
      <c r="H40" s="53">
        <v>0.8020833333333334</v>
      </c>
      <c r="I40" s="31">
        <v>0.052083333333333336</v>
      </c>
      <c r="J40" s="54">
        <v>1.25</v>
      </c>
      <c r="K40" s="55" t="s">
        <v>29</v>
      </c>
      <c r="L40" s="56">
        <v>35.47</v>
      </c>
      <c r="M40" s="56">
        <v>44.3375</v>
      </c>
      <c r="N40" s="28" t="s">
        <v>214</v>
      </c>
      <c r="O40" s="28" t="s">
        <v>152</v>
      </c>
      <c r="P40" s="52">
        <v>46063.0</v>
      </c>
      <c r="Q40" s="52"/>
      <c r="R40" s="28" t="s">
        <v>215</v>
      </c>
      <c r="S40" s="28" t="str">
        <f t="array" ref="S40">IF(C40="","",IFERROR(_xlfn.XLOOKUP(C40,Volunteers!D:D,Volunteers!A:A),""))</f>
        <v>010</v>
      </c>
      <c r="T40" s="28">
        <v>0.002170138888888889</v>
      </c>
    </row>
    <row r="41">
      <c r="A41" s="57">
        <v>46061.0</v>
      </c>
      <c r="B41" s="40" t="s">
        <v>199</v>
      </c>
      <c r="C41" s="40" t="s">
        <v>194</v>
      </c>
      <c r="D41" s="40" t="s">
        <v>33</v>
      </c>
      <c r="E41" s="40" t="s">
        <v>32</v>
      </c>
      <c r="F41" s="40" t="s">
        <v>44</v>
      </c>
      <c r="G41" s="58">
        <v>0.7916666666666666</v>
      </c>
      <c r="H41" s="58">
        <v>0.375</v>
      </c>
      <c r="I41" s="51">
        <v>0.5833333333333334</v>
      </c>
      <c r="J41" s="54">
        <v>14.0</v>
      </c>
      <c r="K41" s="55" t="s">
        <v>29</v>
      </c>
      <c r="L41" s="56">
        <v>35.47</v>
      </c>
      <c r="M41" s="56">
        <v>496.58</v>
      </c>
      <c r="N41" s="40" t="s">
        <v>195</v>
      </c>
      <c r="O41" s="40" t="s">
        <v>152</v>
      </c>
      <c r="P41" s="57">
        <v>46061.0</v>
      </c>
      <c r="Q41" s="57"/>
      <c r="R41" s="40" t="s">
        <v>216</v>
      </c>
      <c r="S41" s="40" t="str">
        <f t="array" ref="S41">IF(C41="","",IFERROR(_xlfn.XLOOKUP(C41,Volunteers!D:D,Volunteers!A:A),""))</f>
        <v>014</v>
      </c>
      <c r="T41" s="40">
        <v>0.024305555555555556</v>
      </c>
    </row>
    <row r="42">
      <c r="A42" s="52">
        <v>46060.0</v>
      </c>
      <c r="B42" s="28" t="s">
        <v>64</v>
      </c>
      <c r="C42" s="28" t="s">
        <v>170</v>
      </c>
      <c r="D42" s="28" t="s">
        <v>60</v>
      </c>
      <c r="E42" s="28" t="s">
        <v>48</v>
      </c>
      <c r="F42" s="28" t="s">
        <v>44</v>
      </c>
      <c r="G42" s="53">
        <v>0.375</v>
      </c>
      <c r="H42" s="53">
        <v>0.8541666666666666</v>
      </c>
      <c r="I42" s="31">
        <v>4.479166666666667</v>
      </c>
      <c r="J42" s="54">
        <v>107.5</v>
      </c>
      <c r="K42" s="55" t="s">
        <v>29</v>
      </c>
      <c r="L42" s="56">
        <v>35.47</v>
      </c>
      <c r="M42" s="56">
        <v>3813.025</v>
      </c>
      <c r="N42" s="28" t="s">
        <v>172</v>
      </c>
      <c r="O42" s="28" t="s">
        <v>152</v>
      </c>
      <c r="P42" s="52">
        <v>46060.0</v>
      </c>
      <c r="Q42" s="52"/>
      <c r="R42" s="28" t="s">
        <v>173</v>
      </c>
      <c r="S42" s="28" t="str">
        <f t="array" ref="S42">IF(C42="","",IFERROR(_xlfn.XLOOKUP(C42,Volunteers!D:D,Volunteers!A:A),""))</f>
        <v>007</v>
      </c>
      <c r="T42" s="28">
        <v>0.18663194444444445</v>
      </c>
    </row>
    <row r="43">
      <c r="A43" s="57">
        <v>46059.0</v>
      </c>
      <c r="B43" s="40" t="s">
        <v>185</v>
      </c>
      <c r="C43" s="40" t="s">
        <v>189</v>
      </c>
      <c r="D43" s="40" t="s">
        <v>53</v>
      </c>
      <c r="E43" s="40" t="s">
        <v>42</v>
      </c>
      <c r="F43" s="40" t="s">
        <v>44</v>
      </c>
      <c r="G43" s="58">
        <v>0.5</v>
      </c>
      <c r="H43" s="58">
        <v>0.5833333333333334</v>
      </c>
      <c r="I43" s="51">
        <v>0.08333333333333333</v>
      </c>
      <c r="J43" s="54">
        <v>2.0</v>
      </c>
      <c r="K43" s="55" t="s">
        <v>29</v>
      </c>
      <c r="L43" s="56">
        <v>35.47</v>
      </c>
      <c r="M43" s="56">
        <v>70.94</v>
      </c>
      <c r="N43" s="40" t="s">
        <v>217</v>
      </c>
      <c r="O43" s="40" t="s">
        <v>152</v>
      </c>
      <c r="P43" s="57">
        <v>46059.0</v>
      </c>
      <c r="Q43" s="57"/>
      <c r="R43" s="40" t="s">
        <v>218</v>
      </c>
      <c r="S43" s="40" t="str">
        <f t="array" ref="S43">IF(C43="","",IFERROR(_xlfn.XLOOKUP(C43,Volunteers!D:D,Volunteers!A:A),""))</f>
        <v>013</v>
      </c>
      <c r="T43" s="40">
        <v>0.003472222222222222</v>
      </c>
    </row>
    <row r="44">
      <c r="A44" s="52">
        <v>46058.0</v>
      </c>
      <c r="B44" s="26" t="s">
        <v>191</v>
      </c>
      <c r="C44" s="28" t="s">
        <v>175</v>
      </c>
      <c r="D44" s="28" t="s">
        <v>53</v>
      </c>
      <c r="E44" s="28" t="s">
        <v>42</v>
      </c>
      <c r="F44" s="28" t="s">
        <v>44</v>
      </c>
      <c r="G44" s="53">
        <v>0.5833333333333334</v>
      </c>
      <c r="H44" s="53">
        <v>0.6069444444444444</v>
      </c>
      <c r="I44" s="31">
        <v>0.023611125</v>
      </c>
      <c r="J44" s="54">
        <v>0.566667</v>
      </c>
      <c r="K44" s="55" t="s">
        <v>29</v>
      </c>
      <c r="L44" s="56">
        <v>35.47</v>
      </c>
      <c r="M44" s="56">
        <v>20.09967849</v>
      </c>
      <c r="N44" s="28" t="s">
        <v>178</v>
      </c>
      <c r="O44" s="28" t="s">
        <v>152</v>
      </c>
      <c r="P44" s="52">
        <v>46058.0</v>
      </c>
      <c r="Q44" s="52"/>
      <c r="R44" s="28" t="s">
        <v>203</v>
      </c>
      <c r="S44" s="28" t="str">
        <f t="array" ref="S44">IF(C44="","",IFERROR(_xlfn.XLOOKUP(C44,Volunteers!D:D,Volunteers!A:A),""))</f>
        <v>003</v>
      </c>
      <c r="T44" s="28">
        <v>9.83796875E-4</v>
      </c>
    </row>
    <row r="45">
      <c r="A45" s="57">
        <v>46058.0</v>
      </c>
      <c r="B45" s="41" t="s">
        <v>191</v>
      </c>
      <c r="C45" s="40" t="s">
        <v>175</v>
      </c>
      <c r="D45" s="40" t="s">
        <v>53</v>
      </c>
      <c r="E45" s="40" t="s">
        <v>42</v>
      </c>
      <c r="F45" s="40" t="s">
        <v>44</v>
      </c>
      <c r="G45" s="58">
        <v>0.5</v>
      </c>
      <c r="H45" s="58">
        <v>0.5625</v>
      </c>
      <c r="I45" s="51">
        <v>0.0625</v>
      </c>
      <c r="J45" s="54">
        <v>1.5</v>
      </c>
      <c r="K45" s="55" t="s">
        <v>29</v>
      </c>
      <c r="L45" s="56">
        <v>35.47</v>
      </c>
      <c r="M45" s="56">
        <v>53.205</v>
      </c>
      <c r="N45" s="40" t="s">
        <v>176</v>
      </c>
      <c r="O45" s="40" t="s">
        <v>152</v>
      </c>
      <c r="P45" s="57">
        <v>46058.0</v>
      </c>
      <c r="Q45" s="57"/>
      <c r="R45" s="40" t="s">
        <v>219</v>
      </c>
      <c r="S45" s="40" t="str">
        <f t="array" ref="S45">IF(C45="","",IFERROR(_xlfn.XLOOKUP(C45,Volunteers!D:D,Volunteers!A:A),""))</f>
        <v>003</v>
      </c>
      <c r="T45" s="40">
        <v>0.0026041666666666665</v>
      </c>
    </row>
    <row r="46">
      <c r="A46" s="52">
        <v>46056.0</v>
      </c>
      <c r="B46" s="28" t="s">
        <v>199</v>
      </c>
      <c r="C46" s="28" t="s">
        <v>220</v>
      </c>
      <c r="D46" s="28" t="s">
        <v>33</v>
      </c>
      <c r="E46" s="28" t="s">
        <v>32</v>
      </c>
      <c r="F46" s="28" t="s">
        <v>44</v>
      </c>
      <c r="G46" s="53">
        <v>0.3506944444444444</v>
      </c>
      <c r="H46" s="53">
        <v>0.3923611111111111</v>
      </c>
      <c r="I46" s="31">
        <v>0.041666666666666664</v>
      </c>
      <c r="J46" s="54">
        <v>1.0</v>
      </c>
      <c r="K46" s="55" t="s">
        <v>29</v>
      </c>
      <c r="L46" s="56">
        <v>35.47</v>
      </c>
      <c r="M46" s="56">
        <v>35.47</v>
      </c>
      <c r="N46" s="28" t="s">
        <v>195</v>
      </c>
      <c r="O46" s="28" t="s">
        <v>152</v>
      </c>
      <c r="P46" s="52">
        <v>46056.0</v>
      </c>
      <c r="Q46" s="52"/>
      <c r="R46" s="28" t="s">
        <v>221</v>
      </c>
      <c r="S46" s="28" t="str">
        <f t="array" ref="S46">IF(C46="","",IFERROR(_xlfn.XLOOKUP(C46,Volunteers!D:D,Volunteers!A:A),""))</f>
        <v>008</v>
      </c>
      <c r="T46" s="28">
        <v>0.001736111111111111</v>
      </c>
    </row>
    <row r="47">
      <c r="A47" s="57">
        <v>46112.0</v>
      </c>
      <c r="B47" s="40" t="s">
        <v>164</v>
      </c>
      <c r="C47" s="40" t="s">
        <v>165</v>
      </c>
      <c r="D47" s="40" t="s">
        <v>65</v>
      </c>
      <c r="E47" s="41" t="s">
        <v>48</v>
      </c>
      <c r="F47" s="40" t="s">
        <v>44</v>
      </c>
      <c r="G47" s="58">
        <v>0.8486111111111111</v>
      </c>
      <c r="H47" s="58">
        <v>0.4736111111111111</v>
      </c>
      <c r="I47" s="51">
        <v>41.625</v>
      </c>
      <c r="J47" s="54">
        <v>999.0</v>
      </c>
      <c r="K47" s="55" t="s">
        <v>29</v>
      </c>
      <c r="L47" s="56">
        <v>35.47</v>
      </c>
      <c r="M47" s="56">
        <v>35434.53</v>
      </c>
      <c r="N47" s="40" t="s">
        <v>168</v>
      </c>
      <c r="O47" s="40" t="s">
        <v>152</v>
      </c>
      <c r="P47" s="57">
        <v>46112.0</v>
      </c>
      <c r="Q47" s="57"/>
      <c r="R47" s="40" t="s">
        <v>222</v>
      </c>
      <c r="S47" s="40" t="str">
        <f t="array" ref="S47">IF(C47="","",IFERROR(_xlfn.XLOOKUP(C47,Volunteers!D:D,Volunteers!A:A),""))</f>
        <v>001</v>
      </c>
      <c r="T47" s="40">
        <v>1.734375</v>
      </c>
    </row>
    <row r="48">
      <c r="A48" s="52">
        <v>46112.0</v>
      </c>
      <c r="B48" s="28" t="s">
        <v>164</v>
      </c>
      <c r="C48" s="28" t="s">
        <v>165</v>
      </c>
      <c r="D48" s="28" t="s">
        <v>65</v>
      </c>
      <c r="E48" s="26" t="s">
        <v>48</v>
      </c>
      <c r="F48" s="28" t="s">
        <v>44</v>
      </c>
      <c r="G48" s="53">
        <v>0.5152777777777777</v>
      </c>
      <c r="H48" s="53">
        <v>0.5986111111111111</v>
      </c>
      <c r="I48" s="31">
        <v>15.083333333333334</v>
      </c>
      <c r="J48" s="54">
        <v>362.0</v>
      </c>
      <c r="K48" s="55" t="s">
        <v>29</v>
      </c>
      <c r="L48" s="56">
        <v>35.47</v>
      </c>
      <c r="M48" s="56">
        <v>12840.14</v>
      </c>
      <c r="N48" s="28" t="s">
        <v>168</v>
      </c>
      <c r="O48" s="28" t="s">
        <v>152</v>
      </c>
      <c r="P48" s="52">
        <v>46112.0</v>
      </c>
      <c r="Q48" s="52"/>
      <c r="R48" s="28" t="s">
        <v>223</v>
      </c>
      <c r="S48" s="28" t="str">
        <f t="array" ref="S48">IF(C48="","",IFERROR(_xlfn.XLOOKUP(C48,Volunteers!D:D,Volunteers!A:A),""))</f>
        <v>001</v>
      </c>
      <c r="T48" s="28">
        <v>0.6284722222222222</v>
      </c>
    </row>
    <row r="49">
      <c r="A49" s="57">
        <v>46112.0</v>
      </c>
      <c r="B49" s="40" t="s">
        <v>199</v>
      </c>
      <c r="C49" s="40" t="s">
        <v>200</v>
      </c>
      <c r="D49" s="40" t="s">
        <v>33</v>
      </c>
      <c r="E49" s="40" t="s">
        <v>32</v>
      </c>
      <c r="F49" s="40" t="s">
        <v>44</v>
      </c>
      <c r="G49" s="58">
        <v>0.4513888888888889</v>
      </c>
      <c r="H49" s="58">
        <v>0.46875</v>
      </c>
      <c r="I49" s="51">
        <v>0.017361125</v>
      </c>
      <c r="J49" s="54">
        <v>0.416667</v>
      </c>
      <c r="K49" s="55" t="s">
        <v>29</v>
      </c>
      <c r="L49" s="56">
        <v>35.47</v>
      </c>
      <c r="M49" s="56">
        <v>14.77917849</v>
      </c>
      <c r="N49" s="40" t="s">
        <v>224</v>
      </c>
      <c r="O49" s="40" t="s">
        <v>152</v>
      </c>
      <c r="P49" s="57">
        <v>46112.0</v>
      </c>
      <c r="Q49" s="57"/>
      <c r="R49" s="40" t="s">
        <v>225</v>
      </c>
      <c r="S49" s="40" t="str">
        <f t="array" ref="S49">IF(C49="","",IFERROR(_xlfn.XLOOKUP(C49,Volunteers!D:D,Volunteers!A:A),""))</f>
        <v>005</v>
      </c>
      <c r="T49" s="40">
        <v>7.233802083333334E-4</v>
      </c>
    </row>
    <row r="50">
      <c r="A50" s="52">
        <v>46112.0</v>
      </c>
      <c r="B50" s="26" t="s">
        <v>199</v>
      </c>
      <c r="C50" s="28" t="s">
        <v>194</v>
      </c>
      <c r="D50" s="26" t="s">
        <v>33</v>
      </c>
      <c r="E50" s="28" t="s">
        <v>32</v>
      </c>
      <c r="F50" s="28" t="s">
        <v>44</v>
      </c>
      <c r="G50" s="53">
        <v>0.375</v>
      </c>
      <c r="H50" s="53">
        <v>0.5</v>
      </c>
      <c r="I50" s="31">
        <v>0.125</v>
      </c>
      <c r="J50" s="54">
        <v>3.0</v>
      </c>
      <c r="K50" s="55" t="s">
        <v>29</v>
      </c>
      <c r="L50" s="56">
        <v>35.47</v>
      </c>
      <c r="M50" s="56">
        <v>106.41</v>
      </c>
      <c r="N50" s="28" t="s">
        <v>195</v>
      </c>
      <c r="O50" s="28" t="s">
        <v>152</v>
      </c>
      <c r="P50" s="52">
        <v>46112.0</v>
      </c>
      <c r="Q50" s="52"/>
      <c r="R50" s="28" t="s">
        <v>32</v>
      </c>
      <c r="S50" s="28" t="str">
        <f t="array" ref="S50">IF(C50="","",IFERROR(_xlfn.XLOOKUP(C50,Volunteers!D:D,Volunteers!A:A),""))</f>
        <v>014</v>
      </c>
      <c r="T50" s="28">
        <v>0.005208333333333333</v>
      </c>
    </row>
    <row r="51">
      <c r="A51" s="57">
        <v>46112.0</v>
      </c>
      <c r="B51" s="40" t="s">
        <v>185</v>
      </c>
      <c r="C51" s="40" t="s">
        <v>194</v>
      </c>
      <c r="D51" s="40" t="s">
        <v>53</v>
      </c>
      <c r="E51" s="40" t="s">
        <v>42</v>
      </c>
      <c r="F51" s="40" t="s">
        <v>44</v>
      </c>
      <c r="G51" s="58">
        <v>0.375</v>
      </c>
      <c r="H51" s="58">
        <v>0.7916666666666666</v>
      </c>
      <c r="I51" s="51">
        <v>0.4166666666666667</v>
      </c>
      <c r="J51" s="54">
        <v>10.0</v>
      </c>
      <c r="K51" s="55" t="s">
        <v>29</v>
      </c>
      <c r="L51" s="56">
        <v>35.47</v>
      </c>
      <c r="M51" s="56">
        <v>354.7</v>
      </c>
      <c r="N51" s="40" t="s">
        <v>187</v>
      </c>
      <c r="O51" s="40" t="s">
        <v>152</v>
      </c>
      <c r="P51" s="57">
        <v>46112.0</v>
      </c>
      <c r="Q51" s="57"/>
      <c r="R51" s="40" t="s">
        <v>196</v>
      </c>
      <c r="S51" s="40" t="str">
        <f t="array" ref="S51">IF(C51="","",IFERROR(_xlfn.XLOOKUP(C51,Volunteers!D:D,Volunteers!A:A),""))</f>
        <v>014</v>
      </c>
      <c r="T51" s="40">
        <v>0.017361111111111112</v>
      </c>
    </row>
    <row r="52">
      <c r="A52" s="52">
        <v>46111.0</v>
      </c>
      <c r="B52" s="28" t="s">
        <v>199</v>
      </c>
      <c r="C52" s="28" t="s">
        <v>200</v>
      </c>
      <c r="D52" s="28" t="s">
        <v>33</v>
      </c>
      <c r="E52" s="28" t="s">
        <v>32</v>
      </c>
      <c r="F52" s="28" t="s">
        <v>44</v>
      </c>
      <c r="G52" s="53">
        <v>0.4895833333333333</v>
      </c>
      <c r="H52" s="53">
        <v>0.5104166666666666</v>
      </c>
      <c r="I52" s="31">
        <v>0.020833333333333332</v>
      </c>
      <c r="J52" s="54">
        <v>0.5</v>
      </c>
      <c r="K52" s="55" t="s">
        <v>29</v>
      </c>
      <c r="L52" s="56">
        <v>35.47</v>
      </c>
      <c r="M52" s="56">
        <v>17.735</v>
      </c>
      <c r="N52" s="28" t="s">
        <v>224</v>
      </c>
      <c r="O52" s="28" t="s">
        <v>152</v>
      </c>
      <c r="P52" s="52">
        <v>46111.0</v>
      </c>
      <c r="Q52" s="52"/>
      <c r="R52" s="28" t="s">
        <v>225</v>
      </c>
      <c r="S52" s="28" t="str">
        <f t="array" ref="S52">IF(C52="","",IFERROR(_xlfn.XLOOKUP(C52,Volunteers!D:D,Volunteers!A:A),""))</f>
        <v>005</v>
      </c>
      <c r="T52" s="28">
        <v>8.680555555555555E-4</v>
      </c>
    </row>
    <row r="53">
      <c r="A53" s="57">
        <v>46111.0</v>
      </c>
      <c r="B53" s="40" t="s">
        <v>185</v>
      </c>
      <c r="C53" s="40" t="s">
        <v>186</v>
      </c>
      <c r="D53" s="40" t="s">
        <v>53</v>
      </c>
      <c r="E53" s="40" t="s">
        <v>42</v>
      </c>
      <c r="F53" s="40" t="s">
        <v>44</v>
      </c>
      <c r="G53" s="58">
        <v>0.3888888888888889</v>
      </c>
      <c r="H53" s="58">
        <v>0.4236111111111111</v>
      </c>
      <c r="I53" s="51">
        <v>0.03472220833333333</v>
      </c>
      <c r="J53" s="54">
        <v>0.8333329999999999</v>
      </c>
      <c r="K53" s="55" t="s">
        <v>29</v>
      </c>
      <c r="L53" s="56">
        <v>35.47</v>
      </c>
      <c r="M53" s="56">
        <v>29.558321509999995</v>
      </c>
      <c r="N53" s="40" t="s">
        <v>187</v>
      </c>
      <c r="O53" s="40" t="s">
        <v>152</v>
      </c>
      <c r="P53" s="57">
        <v>46111.0</v>
      </c>
      <c r="Q53" s="57"/>
      <c r="R53" s="40" t="s">
        <v>226</v>
      </c>
      <c r="S53" s="40" t="str">
        <f t="array" ref="S53">IF(C53="","",IFERROR(_xlfn.XLOOKUP(C53,Volunteers!D:D,Volunteers!A:A),""))</f>
        <v>002</v>
      </c>
      <c r="T53" s="40">
        <v>0.0014467586805555555</v>
      </c>
    </row>
    <row r="54">
      <c r="A54" s="52">
        <v>46110.0</v>
      </c>
      <c r="B54" s="28" t="s">
        <v>227</v>
      </c>
      <c r="C54" s="28" t="s">
        <v>228</v>
      </c>
      <c r="D54" s="28" t="s">
        <v>49</v>
      </c>
      <c r="E54" s="28" t="s">
        <v>42</v>
      </c>
      <c r="F54" s="28" t="s">
        <v>44</v>
      </c>
      <c r="G54" s="53">
        <v>0.7708333333333334</v>
      </c>
      <c r="H54" s="53">
        <v>0.9791666666666666</v>
      </c>
      <c r="I54" s="31">
        <v>0.20833333333333334</v>
      </c>
      <c r="J54" s="54">
        <v>5.0</v>
      </c>
      <c r="K54" s="55" t="s">
        <v>29</v>
      </c>
      <c r="L54" s="56">
        <v>35.47</v>
      </c>
      <c r="M54" s="56">
        <v>177.35</v>
      </c>
      <c r="N54" s="28" t="s">
        <v>187</v>
      </c>
      <c r="O54" s="28" t="s">
        <v>152</v>
      </c>
      <c r="P54" s="52">
        <v>46110.0</v>
      </c>
      <c r="Q54" s="52"/>
      <c r="R54" s="28" t="s">
        <v>229</v>
      </c>
      <c r="S54" s="28" t="str">
        <f t="array" ref="S54">IF(C54="","",IFERROR(_xlfn.XLOOKUP(C54,Volunteers!D:D,Volunteers!A:A),""))</f>
        <v>009</v>
      </c>
      <c r="T54" s="28">
        <v>0.008680555555555556</v>
      </c>
    </row>
    <row r="55">
      <c r="A55" s="57">
        <v>46110.0</v>
      </c>
      <c r="B55" s="40" t="s">
        <v>174</v>
      </c>
      <c r="C55" s="40" t="s">
        <v>175</v>
      </c>
      <c r="D55" s="40" t="s">
        <v>53</v>
      </c>
      <c r="E55" s="40" t="s">
        <v>42</v>
      </c>
      <c r="F55" s="40" t="s">
        <v>44</v>
      </c>
      <c r="G55" s="58">
        <v>0.425</v>
      </c>
      <c r="H55" s="58">
        <v>0.4354166666666667</v>
      </c>
      <c r="I55" s="51">
        <v>0.010416666666666666</v>
      </c>
      <c r="J55" s="54">
        <v>0.25</v>
      </c>
      <c r="K55" s="55" t="s">
        <v>29</v>
      </c>
      <c r="L55" s="56">
        <v>35.47</v>
      </c>
      <c r="M55" s="56">
        <v>8.8675</v>
      </c>
      <c r="N55" s="40" t="s">
        <v>176</v>
      </c>
      <c r="O55" s="40" t="s">
        <v>152</v>
      </c>
      <c r="P55" s="57">
        <v>46110.0</v>
      </c>
      <c r="Q55" s="57"/>
      <c r="R55" s="40" t="s">
        <v>230</v>
      </c>
      <c r="S55" s="40" t="str">
        <f t="array" ref="S55">IF(C55="","",IFERROR(_xlfn.XLOOKUP(C55,Volunteers!D:D,Volunteers!A:A),""))</f>
        <v>003</v>
      </c>
      <c r="T55" s="40">
        <v>4.3402777777777775E-4</v>
      </c>
    </row>
    <row r="56">
      <c r="A56" s="52">
        <v>46109.0</v>
      </c>
      <c r="B56" s="28" t="s">
        <v>64</v>
      </c>
      <c r="C56" s="28" t="s">
        <v>170</v>
      </c>
      <c r="D56" s="28" t="s">
        <v>60</v>
      </c>
      <c r="E56" s="28" t="s">
        <v>48</v>
      </c>
      <c r="F56" s="28" t="s">
        <v>44</v>
      </c>
      <c r="G56" s="53">
        <v>0.375</v>
      </c>
      <c r="H56" s="53">
        <v>0.0</v>
      </c>
      <c r="I56" s="31">
        <v>5.625</v>
      </c>
      <c r="J56" s="54">
        <v>135.0</v>
      </c>
      <c r="K56" s="55" t="s">
        <v>29</v>
      </c>
      <c r="L56" s="56">
        <v>35.47</v>
      </c>
      <c r="M56" s="56">
        <v>4788.45</v>
      </c>
      <c r="N56" s="28" t="s">
        <v>172</v>
      </c>
      <c r="O56" s="28" t="s">
        <v>152</v>
      </c>
      <c r="P56" s="52">
        <v>46109.0</v>
      </c>
      <c r="Q56" s="52"/>
      <c r="R56" s="28" t="s">
        <v>173</v>
      </c>
      <c r="S56" s="28" t="str">
        <f t="array" ref="S56">IF(C56="","",IFERROR(_xlfn.XLOOKUP(C56,Volunteers!D:D,Volunteers!A:A),""))</f>
        <v>007</v>
      </c>
      <c r="T56" s="28">
        <v>0.234375</v>
      </c>
    </row>
    <row r="57">
      <c r="A57" s="57">
        <v>46107.0</v>
      </c>
      <c r="B57" s="40" t="s">
        <v>227</v>
      </c>
      <c r="C57" s="40" t="s">
        <v>228</v>
      </c>
      <c r="D57" s="40" t="s">
        <v>49</v>
      </c>
      <c r="E57" s="40" t="s">
        <v>42</v>
      </c>
      <c r="F57" s="40" t="s">
        <v>44</v>
      </c>
      <c r="G57" s="58">
        <v>0.7291666666666666</v>
      </c>
      <c r="H57" s="58">
        <v>0.7638888888888888</v>
      </c>
      <c r="I57" s="51">
        <v>0.03472220833333333</v>
      </c>
      <c r="J57" s="54">
        <v>0.8333329999999999</v>
      </c>
      <c r="K57" s="55" t="s">
        <v>29</v>
      </c>
      <c r="L57" s="56">
        <v>35.47</v>
      </c>
      <c r="M57" s="56">
        <v>29.558321509999995</v>
      </c>
      <c r="N57" s="40" t="s">
        <v>187</v>
      </c>
      <c r="O57" s="40" t="s">
        <v>152</v>
      </c>
      <c r="P57" s="57">
        <v>46107.0</v>
      </c>
      <c r="Q57" s="57"/>
      <c r="R57" s="40" t="s">
        <v>238</v>
      </c>
      <c r="S57" s="40" t="str">
        <f t="array" ref="S57">IF(C57="","",IFERROR(_xlfn.XLOOKUP(C57,Volunteers!D:D,Volunteers!A:A),""))</f>
        <v>009</v>
      </c>
      <c r="T57" s="40">
        <v>0.0014467586805555555</v>
      </c>
    </row>
    <row r="58">
      <c r="A58" s="52">
        <v>46106.0</v>
      </c>
      <c r="B58" s="28" t="s">
        <v>227</v>
      </c>
      <c r="C58" s="28" t="s">
        <v>228</v>
      </c>
      <c r="D58" s="28" t="s">
        <v>49</v>
      </c>
      <c r="E58" s="28" t="s">
        <v>42</v>
      </c>
      <c r="F58" s="28" t="s">
        <v>44</v>
      </c>
      <c r="G58" s="53">
        <v>0.7708333333333334</v>
      </c>
      <c r="H58" s="53">
        <v>0.9166666666666666</v>
      </c>
      <c r="I58" s="31">
        <v>0.14583333333333334</v>
      </c>
      <c r="J58" s="54">
        <v>3.5</v>
      </c>
      <c r="K58" s="55" t="s">
        <v>29</v>
      </c>
      <c r="L58" s="56">
        <v>35.47</v>
      </c>
      <c r="M58" s="56">
        <v>124.145</v>
      </c>
      <c r="N58" s="28" t="s">
        <v>187</v>
      </c>
      <c r="O58" s="28" t="s">
        <v>152</v>
      </c>
      <c r="P58" s="52">
        <v>46106.0</v>
      </c>
      <c r="Q58" s="52"/>
      <c r="R58" s="28" t="s">
        <v>261</v>
      </c>
      <c r="S58" s="28" t="str">
        <f t="array" ref="S58">IF(C58="","",IFERROR(_xlfn.XLOOKUP(C58,Volunteers!D:D,Volunteers!A:A),""))</f>
        <v>009</v>
      </c>
      <c r="T58" s="28">
        <v>0.006076388888888889</v>
      </c>
      <c r="Z58" s="38" t="str">
        <f>EXACT(C2,#REF!)</f>
        <v>#REF!</v>
      </c>
    </row>
    <row r="59">
      <c r="A59" s="57">
        <v>46106.0</v>
      </c>
      <c r="B59" s="40" t="s">
        <v>185</v>
      </c>
      <c r="C59" s="40" t="s">
        <v>189</v>
      </c>
      <c r="D59" s="40" t="s">
        <v>53</v>
      </c>
      <c r="E59" s="40" t="s">
        <v>42</v>
      </c>
      <c r="F59" s="40" t="s">
        <v>44</v>
      </c>
      <c r="G59" s="58">
        <v>0.5625</v>
      </c>
      <c r="H59" s="58">
        <v>0.6458333333333334</v>
      </c>
      <c r="I59" s="51">
        <v>0.08333333333333333</v>
      </c>
      <c r="J59" s="54">
        <v>2.0</v>
      </c>
      <c r="K59" s="55" t="s">
        <v>29</v>
      </c>
      <c r="L59" s="56">
        <v>35.47</v>
      </c>
      <c r="M59" s="56">
        <v>70.94</v>
      </c>
      <c r="N59" s="40" t="s">
        <v>217</v>
      </c>
      <c r="O59" s="40" t="s">
        <v>152</v>
      </c>
      <c r="P59" s="57">
        <v>46106.0</v>
      </c>
      <c r="Q59" s="57"/>
      <c r="R59" s="40" t="s">
        <v>264</v>
      </c>
      <c r="S59" s="40" t="str">
        <f t="array" ref="S59">IF(C59="","",IFERROR(_xlfn.XLOOKUP(C59,Volunteers!D:D,Volunteers!A:A),""))</f>
        <v>013</v>
      </c>
      <c r="T59" s="40">
        <v>0.003472222222222222</v>
      </c>
    </row>
    <row r="60">
      <c r="A60" s="52">
        <v>46104.0</v>
      </c>
      <c r="B60" s="28" t="s">
        <v>227</v>
      </c>
      <c r="C60" s="28" t="s">
        <v>228</v>
      </c>
      <c r="D60" s="28" t="s">
        <v>49</v>
      </c>
      <c r="E60" s="28" t="s">
        <v>42</v>
      </c>
      <c r="F60" s="28" t="s">
        <v>44</v>
      </c>
      <c r="G60" s="53">
        <v>0.7708333333333334</v>
      </c>
      <c r="H60" s="53">
        <v>0.9166666666666666</v>
      </c>
      <c r="I60" s="31">
        <v>0.14583333333333334</v>
      </c>
      <c r="J60" s="54">
        <v>3.5</v>
      </c>
      <c r="K60" s="55" t="s">
        <v>29</v>
      </c>
      <c r="L60" s="56">
        <v>35.47</v>
      </c>
      <c r="M60" s="56">
        <v>124.145</v>
      </c>
      <c r="N60" s="28" t="s">
        <v>187</v>
      </c>
      <c r="O60" s="28" t="s">
        <v>152</v>
      </c>
      <c r="P60" s="52">
        <v>46104.0</v>
      </c>
      <c r="Q60" s="52"/>
      <c r="R60" s="28" t="s">
        <v>261</v>
      </c>
      <c r="S60" s="28" t="str">
        <f t="array" ref="S60">IF(C60="","",IFERROR(_xlfn.XLOOKUP(C60,Volunteers!D:D,Volunteers!A:A),""))</f>
        <v>009</v>
      </c>
      <c r="T60" s="28">
        <v>0.006076388888888889</v>
      </c>
    </row>
    <row r="61">
      <c r="A61" s="57">
        <v>46104.0</v>
      </c>
      <c r="B61" s="40" t="s">
        <v>199</v>
      </c>
      <c r="C61" s="40" t="s">
        <v>200</v>
      </c>
      <c r="D61" s="40" t="s">
        <v>33</v>
      </c>
      <c r="E61" s="40" t="s">
        <v>32</v>
      </c>
      <c r="F61" s="40" t="s">
        <v>44</v>
      </c>
      <c r="G61" s="58">
        <v>0.4895833333333333</v>
      </c>
      <c r="H61" s="58">
        <v>0.5104166666666666</v>
      </c>
      <c r="I61" s="51">
        <v>0.020833333333333332</v>
      </c>
      <c r="J61" s="54">
        <v>0.5</v>
      </c>
      <c r="K61" s="55" t="s">
        <v>29</v>
      </c>
      <c r="L61" s="56">
        <v>35.47</v>
      </c>
      <c r="M61" s="56">
        <v>17.735</v>
      </c>
      <c r="N61" s="40" t="s">
        <v>224</v>
      </c>
      <c r="O61" s="40" t="s">
        <v>152</v>
      </c>
      <c r="P61" s="57">
        <v>46104.0</v>
      </c>
      <c r="Q61" s="57"/>
      <c r="R61" s="40" t="s">
        <v>225</v>
      </c>
      <c r="S61" s="40" t="str">
        <f t="array" ref="S61">IF(C61="","",IFERROR(_xlfn.XLOOKUP(C61,Volunteers!D:D,Volunteers!A:A),""))</f>
        <v>005</v>
      </c>
      <c r="T61" s="40">
        <v>8.680555555555555E-4</v>
      </c>
    </row>
    <row r="62">
      <c r="A62" s="52">
        <v>46102.0</v>
      </c>
      <c r="B62" s="28" t="s">
        <v>64</v>
      </c>
      <c r="C62" s="28" t="s">
        <v>170</v>
      </c>
      <c r="D62" s="28" t="s">
        <v>60</v>
      </c>
      <c r="E62" s="28" t="s">
        <v>48</v>
      </c>
      <c r="F62" s="28" t="s">
        <v>44</v>
      </c>
      <c r="G62" s="53">
        <v>0.375</v>
      </c>
      <c r="H62" s="53">
        <v>0.0</v>
      </c>
      <c r="I62" s="31">
        <v>5.625</v>
      </c>
      <c r="J62" s="54">
        <v>135.0</v>
      </c>
      <c r="K62" s="55" t="s">
        <v>29</v>
      </c>
      <c r="L62" s="56">
        <v>35.47</v>
      </c>
      <c r="M62" s="56">
        <v>4788.45</v>
      </c>
      <c r="N62" s="28" t="s">
        <v>172</v>
      </c>
      <c r="O62" s="28" t="s">
        <v>152</v>
      </c>
      <c r="P62" s="52">
        <v>46102.0</v>
      </c>
      <c r="Q62" s="52"/>
      <c r="R62" s="28" t="s">
        <v>173</v>
      </c>
      <c r="S62" s="28" t="str">
        <f t="array" ref="S62">IF(C62="","",IFERROR(_xlfn.XLOOKUP(C62,Volunteers!D:D,Volunteers!A:A),""))</f>
        <v>007</v>
      </c>
      <c r="T62" s="28">
        <v>0.234375</v>
      </c>
    </row>
    <row r="63">
      <c r="A63" s="57">
        <v>46101.0</v>
      </c>
      <c r="B63" s="40" t="s">
        <v>174</v>
      </c>
      <c r="C63" s="40" t="s">
        <v>175</v>
      </c>
      <c r="D63" s="40" t="s">
        <v>53</v>
      </c>
      <c r="E63" s="40" t="s">
        <v>42</v>
      </c>
      <c r="F63" s="40" t="s">
        <v>44</v>
      </c>
      <c r="G63" s="58">
        <v>0.7958333333333333</v>
      </c>
      <c r="H63" s="58">
        <v>0.8541666666666666</v>
      </c>
      <c r="I63" s="51">
        <v>0.05833333333333333</v>
      </c>
      <c r="J63" s="54">
        <v>1.4</v>
      </c>
      <c r="K63" s="55" t="s">
        <v>29</v>
      </c>
      <c r="L63" s="56">
        <v>35.47</v>
      </c>
      <c r="M63" s="56">
        <v>49.657999999999994</v>
      </c>
      <c r="N63" s="40" t="s">
        <v>176</v>
      </c>
      <c r="O63" s="40" t="s">
        <v>152</v>
      </c>
      <c r="P63" s="57">
        <v>46101.0</v>
      </c>
      <c r="Q63" s="57"/>
      <c r="R63" s="40" t="s">
        <v>265</v>
      </c>
      <c r="S63" s="40" t="str">
        <f t="array" ref="S63">IF(C63="","",IFERROR(_xlfn.XLOOKUP(C63,Volunteers!D:D,Volunteers!A:A),""))</f>
        <v>003</v>
      </c>
      <c r="T63" s="40">
        <v>0.002430555555555555</v>
      </c>
    </row>
    <row r="64">
      <c r="A64" s="52">
        <v>46101.0</v>
      </c>
      <c r="B64" s="28" t="s">
        <v>227</v>
      </c>
      <c r="C64" s="28" t="s">
        <v>228</v>
      </c>
      <c r="D64" s="28" t="s">
        <v>49</v>
      </c>
      <c r="E64" s="28" t="s">
        <v>42</v>
      </c>
      <c r="F64" s="28" t="s">
        <v>44</v>
      </c>
      <c r="G64" s="53">
        <v>0.7708333333333334</v>
      </c>
      <c r="H64" s="53">
        <v>0.9166666666666666</v>
      </c>
      <c r="I64" s="31">
        <v>0.14583333333333334</v>
      </c>
      <c r="J64" s="54">
        <v>3.5</v>
      </c>
      <c r="K64" s="55" t="s">
        <v>29</v>
      </c>
      <c r="L64" s="56">
        <v>35.47</v>
      </c>
      <c r="M64" s="56">
        <v>124.145</v>
      </c>
      <c r="N64" s="28" t="s">
        <v>187</v>
      </c>
      <c r="O64" s="28" t="s">
        <v>152</v>
      </c>
      <c r="P64" s="52">
        <v>46101.0</v>
      </c>
      <c r="Q64" s="52"/>
      <c r="R64" s="28" t="s">
        <v>261</v>
      </c>
      <c r="S64" s="28" t="str">
        <f t="array" ref="S64">IF(C64="","",IFERROR(_xlfn.XLOOKUP(C64,Volunteers!D:D,Volunteers!A:A),""))</f>
        <v>009</v>
      </c>
      <c r="T64" s="28">
        <v>0.006076388888888889</v>
      </c>
    </row>
    <row r="65">
      <c r="A65" s="57">
        <v>46101.0</v>
      </c>
      <c r="B65" s="40" t="s">
        <v>227</v>
      </c>
      <c r="C65" s="40" t="s">
        <v>228</v>
      </c>
      <c r="D65" s="40" t="s">
        <v>49</v>
      </c>
      <c r="E65" s="40" t="s">
        <v>42</v>
      </c>
      <c r="F65" s="40" t="s">
        <v>44</v>
      </c>
      <c r="G65" s="58">
        <v>0.7291666666666666</v>
      </c>
      <c r="H65" s="58">
        <v>0.7638888888888888</v>
      </c>
      <c r="I65" s="51">
        <v>0.03472220833333333</v>
      </c>
      <c r="J65" s="54">
        <v>0.8333329999999999</v>
      </c>
      <c r="K65" s="55" t="s">
        <v>29</v>
      </c>
      <c r="L65" s="56">
        <v>35.47</v>
      </c>
      <c r="M65" s="56">
        <v>29.558321509999995</v>
      </c>
      <c r="N65" s="40" t="s">
        <v>187</v>
      </c>
      <c r="O65" s="40" t="s">
        <v>152</v>
      </c>
      <c r="P65" s="57">
        <v>46101.0</v>
      </c>
      <c r="Q65" s="57"/>
      <c r="R65" s="40" t="s">
        <v>238</v>
      </c>
      <c r="S65" s="40" t="str">
        <f t="array" ref="S65">IF(C65="","",IFERROR(_xlfn.XLOOKUP(C65,Volunteers!D:D,Volunteers!A:A),""))</f>
        <v>009</v>
      </c>
      <c r="T65" s="40">
        <v>0.0014467586805555555</v>
      </c>
    </row>
    <row r="66">
      <c r="A66" s="52">
        <v>46101.0</v>
      </c>
      <c r="B66" s="28" t="s">
        <v>185</v>
      </c>
      <c r="C66" s="28" t="s">
        <v>189</v>
      </c>
      <c r="D66" s="28" t="s">
        <v>53</v>
      </c>
      <c r="E66" s="28" t="s">
        <v>42</v>
      </c>
      <c r="F66" s="28" t="s">
        <v>44</v>
      </c>
      <c r="G66" s="53">
        <v>0.7083333333333334</v>
      </c>
      <c r="H66" s="53">
        <v>0.8541666666666666</v>
      </c>
      <c r="I66" s="31">
        <v>0.14583333333333334</v>
      </c>
      <c r="J66" s="54">
        <v>3.5</v>
      </c>
      <c r="K66" s="55" t="s">
        <v>29</v>
      </c>
      <c r="L66" s="56">
        <v>35.47</v>
      </c>
      <c r="M66" s="56">
        <v>124.145</v>
      </c>
      <c r="N66" s="28" t="s">
        <v>187</v>
      </c>
      <c r="O66" s="28" t="s">
        <v>152</v>
      </c>
      <c r="P66" s="52">
        <v>46101.0</v>
      </c>
      <c r="Q66" s="52"/>
      <c r="R66" s="28" t="s">
        <v>266</v>
      </c>
      <c r="S66" s="28" t="str">
        <f t="array" ref="S66">IF(C66="","",IFERROR(_xlfn.XLOOKUP(C66,Volunteers!D:D,Volunteers!A:A),""))</f>
        <v>013</v>
      </c>
      <c r="T66" s="28">
        <v>0.006076388888888889</v>
      </c>
    </row>
    <row r="67">
      <c r="A67" s="57">
        <v>46101.0</v>
      </c>
      <c r="B67" s="40" t="s">
        <v>185</v>
      </c>
      <c r="C67" s="40" t="s">
        <v>186</v>
      </c>
      <c r="D67" s="40" t="s">
        <v>53</v>
      </c>
      <c r="E67" s="40" t="s">
        <v>42</v>
      </c>
      <c r="F67" s="40" t="s">
        <v>44</v>
      </c>
      <c r="G67" s="58">
        <v>0.37222222222222223</v>
      </c>
      <c r="H67" s="58">
        <v>0.3840277777777778</v>
      </c>
      <c r="I67" s="51">
        <v>0.011805541666666667</v>
      </c>
      <c r="J67" s="54">
        <v>0.283333</v>
      </c>
      <c r="K67" s="55" t="s">
        <v>29</v>
      </c>
      <c r="L67" s="56">
        <v>35.47</v>
      </c>
      <c r="M67" s="56">
        <v>10.04982151</v>
      </c>
      <c r="N67" s="40" t="s">
        <v>187</v>
      </c>
      <c r="O67" s="40" t="s">
        <v>152</v>
      </c>
      <c r="P67" s="57">
        <v>46101.0</v>
      </c>
      <c r="Q67" s="57"/>
      <c r="R67" s="40" t="s">
        <v>267</v>
      </c>
      <c r="S67" s="40" t="str">
        <f t="array" ref="S67">IF(C67="","",IFERROR(_xlfn.XLOOKUP(C67,Volunteers!D:D,Volunteers!A:A),""))</f>
        <v>002</v>
      </c>
      <c r="T67" s="40">
        <v>4.918975694444444E-4</v>
      </c>
    </row>
    <row r="68">
      <c r="A68" s="52">
        <v>46100.0</v>
      </c>
      <c r="B68" s="28" t="s">
        <v>227</v>
      </c>
      <c r="C68" s="28" t="s">
        <v>228</v>
      </c>
      <c r="D68" s="28" t="s">
        <v>49</v>
      </c>
      <c r="E68" s="28" t="s">
        <v>42</v>
      </c>
      <c r="F68" s="28" t="s">
        <v>44</v>
      </c>
      <c r="G68" s="53">
        <v>0.7708333333333334</v>
      </c>
      <c r="H68" s="53">
        <v>0.9166666666666666</v>
      </c>
      <c r="I68" s="31">
        <v>0.14583333333333334</v>
      </c>
      <c r="J68" s="54">
        <v>3.5</v>
      </c>
      <c r="K68" s="55" t="s">
        <v>29</v>
      </c>
      <c r="L68" s="56">
        <v>35.47</v>
      </c>
      <c r="M68" s="56">
        <v>124.145</v>
      </c>
      <c r="N68" s="28" t="s">
        <v>187</v>
      </c>
      <c r="O68" s="28" t="s">
        <v>152</v>
      </c>
      <c r="P68" s="52">
        <v>46100.0</v>
      </c>
      <c r="Q68" s="52"/>
      <c r="R68" s="28" t="s">
        <v>261</v>
      </c>
      <c r="S68" s="28" t="str">
        <f t="array" ref="S68">IF(C68="","",IFERROR(_xlfn.XLOOKUP(C68,Volunteers!D:D,Volunteers!A:A),""))</f>
        <v>009</v>
      </c>
      <c r="T68" s="28">
        <v>0.006076388888888889</v>
      </c>
    </row>
    <row r="69">
      <c r="A69" s="57">
        <v>46098.0</v>
      </c>
      <c r="B69" s="40" t="s">
        <v>185</v>
      </c>
      <c r="C69" s="40" t="s">
        <v>189</v>
      </c>
      <c r="D69" s="40" t="s">
        <v>53</v>
      </c>
      <c r="E69" s="40" t="s">
        <v>42</v>
      </c>
      <c r="F69" s="40" t="s">
        <v>44</v>
      </c>
      <c r="G69" s="58">
        <v>0.5625</v>
      </c>
      <c r="H69" s="58">
        <v>0.6458333333333334</v>
      </c>
      <c r="I69" s="51">
        <v>0.08333333333333333</v>
      </c>
      <c r="J69" s="54">
        <v>2.0</v>
      </c>
      <c r="K69" s="55" t="s">
        <v>29</v>
      </c>
      <c r="L69" s="56">
        <v>35.47</v>
      </c>
      <c r="M69" s="56">
        <v>70.94</v>
      </c>
      <c r="N69" s="40" t="s">
        <v>187</v>
      </c>
      <c r="O69" s="40" t="s">
        <v>152</v>
      </c>
      <c r="P69" s="57">
        <v>46098.0</v>
      </c>
      <c r="Q69" s="57"/>
      <c r="R69" s="40" t="s">
        <v>268</v>
      </c>
      <c r="S69" s="40" t="str">
        <f t="array" ref="S69">IF(C69="","",IFERROR(_xlfn.XLOOKUP(C69,Volunteers!D:D,Volunteers!A:A),""))</f>
        <v>013</v>
      </c>
      <c r="T69" s="40">
        <v>0.003472222222222222</v>
      </c>
    </row>
    <row r="70">
      <c r="A70" s="52">
        <v>46097.0</v>
      </c>
      <c r="B70" s="28" t="s">
        <v>199</v>
      </c>
      <c r="C70" s="28" t="s">
        <v>200</v>
      </c>
      <c r="D70" s="28" t="s">
        <v>33</v>
      </c>
      <c r="E70" s="28" t="s">
        <v>32</v>
      </c>
      <c r="F70" s="28" t="s">
        <v>44</v>
      </c>
      <c r="G70" s="53">
        <v>0.9298611111111111</v>
      </c>
      <c r="H70" s="53">
        <v>0.95</v>
      </c>
      <c r="I70" s="31">
        <v>0.020138875</v>
      </c>
      <c r="J70" s="54">
        <v>0.483333</v>
      </c>
      <c r="K70" s="55" t="s">
        <v>29</v>
      </c>
      <c r="L70" s="56">
        <v>35.47</v>
      </c>
      <c r="M70" s="56">
        <v>17.14382151</v>
      </c>
      <c r="N70" s="28" t="s">
        <v>224</v>
      </c>
      <c r="O70" s="28" t="s">
        <v>152</v>
      </c>
      <c r="P70" s="52">
        <v>46097.0</v>
      </c>
      <c r="Q70" s="52"/>
      <c r="R70" s="28" t="s">
        <v>225</v>
      </c>
      <c r="S70" s="28" t="str">
        <f t="array" ref="S70">IF(C70="","",IFERROR(_xlfn.XLOOKUP(C70,Volunteers!D:D,Volunteers!A:A),""))</f>
        <v>005</v>
      </c>
      <c r="T70" s="28">
        <v>8.391197916666667E-4</v>
      </c>
    </row>
    <row r="71">
      <c r="A71" s="57">
        <v>46097.0</v>
      </c>
      <c r="B71" s="40" t="s">
        <v>199</v>
      </c>
      <c r="C71" s="40" t="s">
        <v>200</v>
      </c>
      <c r="D71" s="40" t="s">
        <v>33</v>
      </c>
      <c r="E71" s="40" t="s">
        <v>32</v>
      </c>
      <c r="F71" s="40" t="s">
        <v>44</v>
      </c>
      <c r="G71" s="58">
        <v>0.875</v>
      </c>
      <c r="H71" s="58">
        <v>0.90625</v>
      </c>
      <c r="I71" s="51">
        <v>0.03125</v>
      </c>
      <c r="J71" s="54">
        <v>0.75</v>
      </c>
      <c r="K71" s="55" t="s">
        <v>29</v>
      </c>
      <c r="L71" s="56">
        <v>35.47</v>
      </c>
      <c r="M71" s="56">
        <v>26.6025</v>
      </c>
      <c r="N71" s="40" t="s">
        <v>224</v>
      </c>
      <c r="O71" s="40" t="s">
        <v>152</v>
      </c>
      <c r="P71" s="57">
        <v>46097.0</v>
      </c>
      <c r="Q71" s="57"/>
      <c r="R71" s="40" t="s">
        <v>225</v>
      </c>
      <c r="S71" s="40" t="str">
        <f t="array" ref="S71">IF(C71="","",IFERROR(_xlfn.XLOOKUP(C71,Volunteers!D:D,Volunteers!A:A),""))</f>
        <v>005</v>
      </c>
      <c r="T71" s="40">
        <v>0.0013020833333333333</v>
      </c>
    </row>
    <row r="72">
      <c r="A72" s="52">
        <v>46097.0</v>
      </c>
      <c r="B72" s="28" t="s">
        <v>199</v>
      </c>
      <c r="C72" s="28" t="s">
        <v>200</v>
      </c>
      <c r="D72" s="28" t="s">
        <v>33</v>
      </c>
      <c r="E72" s="28" t="s">
        <v>32</v>
      </c>
      <c r="F72" s="28" t="s">
        <v>44</v>
      </c>
      <c r="G72" s="53">
        <v>0.4895833333333333</v>
      </c>
      <c r="H72" s="53">
        <v>0.5104166666666666</v>
      </c>
      <c r="I72" s="31">
        <v>0.020833333333333332</v>
      </c>
      <c r="J72" s="54">
        <v>0.5</v>
      </c>
      <c r="K72" s="55" t="s">
        <v>29</v>
      </c>
      <c r="L72" s="56">
        <v>35.47</v>
      </c>
      <c r="M72" s="56">
        <v>17.735</v>
      </c>
      <c r="N72" s="28" t="s">
        <v>224</v>
      </c>
      <c r="O72" s="28" t="s">
        <v>152</v>
      </c>
      <c r="P72" s="52">
        <v>46097.0</v>
      </c>
      <c r="Q72" s="52"/>
      <c r="R72" s="28" t="s">
        <v>225</v>
      </c>
      <c r="S72" s="28" t="str">
        <f t="array" ref="S72">IF(C72="","",IFERROR(_xlfn.XLOOKUP(C72,Volunteers!D:D,Volunteers!A:A),""))</f>
        <v>005</v>
      </c>
      <c r="T72" s="28">
        <v>8.680555555555555E-4</v>
      </c>
    </row>
    <row r="73">
      <c r="A73" s="57">
        <v>46097.0</v>
      </c>
      <c r="B73" s="40" t="s">
        <v>199</v>
      </c>
      <c r="C73" s="40" t="s">
        <v>200</v>
      </c>
      <c r="D73" s="40" t="s">
        <v>33</v>
      </c>
      <c r="E73" s="40" t="s">
        <v>32</v>
      </c>
      <c r="F73" s="40" t="s">
        <v>44</v>
      </c>
      <c r="G73" s="58">
        <v>0.3506944444444444</v>
      </c>
      <c r="H73" s="58">
        <v>0.3611111111111111</v>
      </c>
      <c r="I73" s="51">
        <v>0.010416666666666666</v>
      </c>
      <c r="J73" s="54">
        <v>0.25</v>
      </c>
      <c r="K73" s="55" t="s">
        <v>29</v>
      </c>
      <c r="L73" s="56">
        <v>35.47</v>
      </c>
      <c r="M73" s="56">
        <v>8.8675</v>
      </c>
      <c r="N73" s="40" t="s">
        <v>224</v>
      </c>
      <c r="O73" s="40" t="s">
        <v>152</v>
      </c>
      <c r="P73" s="57">
        <v>46097.0</v>
      </c>
      <c r="Q73" s="57"/>
      <c r="R73" s="40" t="s">
        <v>225</v>
      </c>
      <c r="S73" s="40" t="str">
        <f t="array" ref="S73">IF(C73="","",IFERROR(_xlfn.XLOOKUP(C73,Volunteers!D:D,Volunteers!A:A),""))</f>
        <v>005</v>
      </c>
      <c r="T73" s="40">
        <v>4.3402777777777775E-4</v>
      </c>
    </row>
    <row r="74">
      <c r="A74" s="52">
        <v>46095.0</v>
      </c>
      <c r="B74" s="28" t="s">
        <v>185</v>
      </c>
      <c r="C74" s="28" t="s">
        <v>189</v>
      </c>
      <c r="D74" s="28" t="s">
        <v>53</v>
      </c>
      <c r="E74" s="28" t="s">
        <v>42</v>
      </c>
      <c r="F74" s="28" t="s">
        <v>44</v>
      </c>
      <c r="G74" s="53">
        <v>0.6666666666666666</v>
      </c>
      <c r="H74" s="53">
        <v>0.7291666666666666</v>
      </c>
      <c r="I74" s="31">
        <v>0.0625</v>
      </c>
      <c r="J74" s="54">
        <v>1.5</v>
      </c>
      <c r="K74" s="55" t="s">
        <v>29</v>
      </c>
      <c r="L74" s="56">
        <v>35.47</v>
      </c>
      <c r="M74" s="56">
        <v>53.205</v>
      </c>
      <c r="N74" s="28" t="s">
        <v>187</v>
      </c>
      <c r="O74" s="28" t="s">
        <v>152</v>
      </c>
      <c r="P74" s="52">
        <v>46095.0</v>
      </c>
      <c r="Q74" s="52"/>
      <c r="R74" s="28" t="s">
        <v>190</v>
      </c>
      <c r="S74" s="28" t="str">
        <f t="array" ref="S74">IF(C74="","",IFERROR(_xlfn.XLOOKUP(C74,Volunteers!D:D,Volunteers!A:A),""))</f>
        <v>013</v>
      </c>
      <c r="T74" s="28">
        <v>0.0026041666666666665</v>
      </c>
    </row>
    <row r="75">
      <c r="A75" s="57">
        <v>46095.0</v>
      </c>
      <c r="B75" s="40" t="s">
        <v>64</v>
      </c>
      <c r="C75" s="40" t="s">
        <v>170</v>
      </c>
      <c r="D75" s="40" t="s">
        <v>60</v>
      </c>
      <c r="E75" s="40" t="s">
        <v>48</v>
      </c>
      <c r="F75" s="40" t="s">
        <v>44</v>
      </c>
      <c r="G75" s="58">
        <v>0.375</v>
      </c>
      <c r="H75" s="58">
        <v>0.6875</v>
      </c>
      <c r="I75" s="51">
        <v>5.3125</v>
      </c>
      <c r="J75" s="54">
        <v>127.5</v>
      </c>
      <c r="K75" s="55" t="s">
        <v>29</v>
      </c>
      <c r="L75" s="56">
        <v>35.47</v>
      </c>
      <c r="M75" s="56">
        <v>4522.425</v>
      </c>
      <c r="N75" s="40" t="s">
        <v>172</v>
      </c>
      <c r="O75" s="40" t="s">
        <v>152</v>
      </c>
      <c r="P75" s="57">
        <v>46095.0</v>
      </c>
      <c r="Q75" s="57"/>
      <c r="R75" s="40" t="s">
        <v>173</v>
      </c>
      <c r="S75" s="40" t="str">
        <f t="array" ref="S75">IF(C75="","",IFERROR(_xlfn.XLOOKUP(C75,Volunteers!D:D,Volunteers!A:A),""))</f>
        <v>007</v>
      </c>
      <c r="T75" s="40">
        <v>0.22135416666666666</v>
      </c>
    </row>
    <row r="76">
      <c r="A76" s="52">
        <v>46094.0</v>
      </c>
      <c r="B76" s="28" t="s">
        <v>227</v>
      </c>
      <c r="C76" s="28" t="s">
        <v>228</v>
      </c>
      <c r="D76" s="28" t="s">
        <v>49</v>
      </c>
      <c r="E76" s="28" t="s">
        <v>42</v>
      </c>
      <c r="F76" s="28" t="s">
        <v>44</v>
      </c>
      <c r="G76" s="53">
        <v>0.675</v>
      </c>
      <c r="H76" s="53">
        <v>0.7583333333333333</v>
      </c>
      <c r="I76" s="31">
        <v>0.08333333333333333</v>
      </c>
      <c r="J76" s="54">
        <v>2.0</v>
      </c>
      <c r="K76" s="55" t="s">
        <v>29</v>
      </c>
      <c r="L76" s="56">
        <v>35.47</v>
      </c>
      <c r="M76" s="56">
        <v>70.94</v>
      </c>
      <c r="N76" s="28" t="s">
        <v>187</v>
      </c>
      <c r="O76" s="28" t="s">
        <v>152</v>
      </c>
      <c r="P76" s="52">
        <v>46094.0</v>
      </c>
      <c r="Q76" s="52"/>
      <c r="R76" s="28" t="s">
        <v>238</v>
      </c>
      <c r="S76" s="28" t="str">
        <f t="array" ref="S76">IF(C76="","",IFERROR(_xlfn.XLOOKUP(C76,Volunteers!D:D,Volunteers!A:A),""))</f>
        <v>009</v>
      </c>
      <c r="T76" s="28">
        <v>0.003472222222222222</v>
      </c>
    </row>
    <row r="77">
      <c r="A77" s="57">
        <v>46094.0</v>
      </c>
      <c r="B77" s="40" t="s">
        <v>185</v>
      </c>
      <c r="C77" s="40" t="s">
        <v>186</v>
      </c>
      <c r="D77" s="40" t="s">
        <v>53</v>
      </c>
      <c r="E77" s="40" t="s">
        <v>42</v>
      </c>
      <c r="F77" s="40" t="s">
        <v>44</v>
      </c>
      <c r="G77" s="58">
        <v>0.6666666666666666</v>
      </c>
      <c r="H77" s="58">
        <v>0.7222222222222222</v>
      </c>
      <c r="I77" s="51">
        <v>0.05555554166666667</v>
      </c>
      <c r="J77" s="54">
        <v>1.333333</v>
      </c>
      <c r="K77" s="55" t="s">
        <v>29</v>
      </c>
      <c r="L77" s="56">
        <v>35.47</v>
      </c>
      <c r="M77" s="56">
        <v>47.293321510000006</v>
      </c>
      <c r="N77" s="40" t="s">
        <v>187</v>
      </c>
      <c r="O77" s="40" t="s">
        <v>152</v>
      </c>
      <c r="P77" s="57">
        <v>46094.0</v>
      </c>
      <c r="Q77" s="57"/>
      <c r="R77" s="40" t="s">
        <v>273</v>
      </c>
      <c r="S77" s="40" t="str">
        <f t="array" ref="S77">IF(C77="","",IFERROR(_xlfn.XLOOKUP(C77,Volunteers!D:D,Volunteers!A:A),""))</f>
        <v>002</v>
      </c>
      <c r="T77" s="40">
        <v>0.0023148142361111112</v>
      </c>
    </row>
    <row r="78">
      <c r="A78" s="52">
        <v>46094.0</v>
      </c>
      <c r="B78" s="26" t="s">
        <v>193</v>
      </c>
      <c r="C78" s="28" t="s">
        <v>175</v>
      </c>
      <c r="D78" s="28" t="s">
        <v>53</v>
      </c>
      <c r="E78" s="28" t="s">
        <v>42</v>
      </c>
      <c r="F78" s="28" t="s">
        <v>44</v>
      </c>
      <c r="G78" s="53">
        <v>0.5833333333333334</v>
      </c>
      <c r="H78" s="53">
        <v>0.5902777777777778</v>
      </c>
      <c r="I78" s="31">
        <v>0.006944458333333334</v>
      </c>
      <c r="J78" s="54">
        <v>0.166667</v>
      </c>
      <c r="K78" s="55" t="s">
        <v>29</v>
      </c>
      <c r="L78" s="56">
        <v>35.47</v>
      </c>
      <c r="M78" s="56">
        <v>5.91167849</v>
      </c>
      <c r="N78" s="28" t="s">
        <v>176</v>
      </c>
      <c r="O78" s="28" t="s">
        <v>152</v>
      </c>
      <c r="P78" s="52">
        <v>46094.0</v>
      </c>
      <c r="Q78" s="52"/>
      <c r="R78" s="28" t="s">
        <v>203</v>
      </c>
      <c r="S78" s="28" t="str">
        <f t="array" ref="S78">IF(C78="","",IFERROR(_xlfn.XLOOKUP(C78,Volunteers!D:D,Volunteers!A:A),""))</f>
        <v>003</v>
      </c>
      <c r="T78" s="28">
        <v>2.8935243055555555E-4</v>
      </c>
    </row>
    <row r="79">
      <c r="A79" s="57">
        <v>46092.0</v>
      </c>
      <c r="B79" s="41" t="s">
        <v>191</v>
      </c>
      <c r="C79" s="40" t="s">
        <v>189</v>
      </c>
      <c r="D79" s="40" t="s">
        <v>53</v>
      </c>
      <c r="E79" s="40" t="s">
        <v>42</v>
      </c>
      <c r="F79" s="40" t="s">
        <v>44</v>
      </c>
      <c r="G79" s="58">
        <v>0.375</v>
      </c>
      <c r="H79" s="58">
        <v>0.4375</v>
      </c>
      <c r="I79" s="51">
        <v>0.0625</v>
      </c>
      <c r="J79" s="54">
        <v>1.5</v>
      </c>
      <c r="K79" s="55" t="s">
        <v>29</v>
      </c>
      <c r="L79" s="56">
        <v>35.47</v>
      </c>
      <c r="M79" s="56">
        <v>53.205</v>
      </c>
      <c r="N79" s="40" t="s">
        <v>187</v>
      </c>
      <c r="O79" s="40" t="s">
        <v>152</v>
      </c>
      <c r="P79" s="57">
        <v>46092.0</v>
      </c>
      <c r="Q79" s="57"/>
      <c r="R79" s="40" t="s">
        <v>274</v>
      </c>
      <c r="S79" s="40" t="str">
        <f t="array" ref="S79">IF(C79="","",IFERROR(_xlfn.XLOOKUP(C79,Volunteers!D:D,Volunteers!A:A),""))</f>
        <v>013</v>
      </c>
      <c r="T79" s="40">
        <v>0.0026041666666666665</v>
      </c>
    </row>
    <row r="80">
      <c r="A80" s="52">
        <v>46091.0</v>
      </c>
      <c r="B80" s="28" t="s">
        <v>185</v>
      </c>
      <c r="C80" s="28" t="s">
        <v>186</v>
      </c>
      <c r="D80" s="28" t="s">
        <v>53</v>
      </c>
      <c r="E80" s="28" t="s">
        <v>42</v>
      </c>
      <c r="F80" s="28" t="s">
        <v>44</v>
      </c>
      <c r="G80" s="53">
        <v>0.39861111111111114</v>
      </c>
      <c r="H80" s="53">
        <v>0.4131944444444444</v>
      </c>
      <c r="I80" s="31">
        <v>0.014583333333333332</v>
      </c>
      <c r="J80" s="54">
        <v>0.35</v>
      </c>
      <c r="K80" s="55" t="s">
        <v>29</v>
      </c>
      <c r="L80" s="56">
        <v>35.47</v>
      </c>
      <c r="M80" s="56">
        <v>12.414499999999999</v>
      </c>
      <c r="N80" s="28" t="s">
        <v>187</v>
      </c>
      <c r="O80" s="28" t="s">
        <v>152</v>
      </c>
      <c r="P80" s="52">
        <v>46091.0</v>
      </c>
      <c r="Q80" s="52"/>
      <c r="R80" s="28" t="s">
        <v>275</v>
      </c>
      <c r="S80" s="28" t="str">
        <f t="array" ref="S80">IF(C80="","",IFERROR(_xlfn.XLOOKUP(C80,Volunteers!D:D,Volunteers!A:A),""))</f>
        <v>002</v>
      </c>
      <c r="T80" s="28">
        <v>6.076388888888888E-4</v>
      </c>
    </row>
    <row r="81">
      <c r="A81" s="57">
        <v>46090.0</v>
      </c>
      <c r="B81" s="40" t="s">
        <v>185</v>
      </c>
      <c r="C81" s="40" t="s">
        <v>186</v>
      </c>
      <c r="D81" s="40" t="s">
        <v>53</v>
      </c>
      <c r="E81" s="40" t="s">
        <v>42</v>
      </c>
      <c r="F81" s="40" t="s">
        <v>44</v>
      </c>
      <c r="G81" s="58">
        <v>0.8951388888888889</v>
      </c>
      <c r="H81" s="58">
        <v>0.9090277777777778</v>
      </c>
      <c r="I81" s="51">
        <v>0.013888875</v>
      </c>
      <c r="J81" s="54">
        <v>0.333333</v>
      </c>
      <c r="K81" s="55" t="s">
        <v>29</v>
      </c>
      <c r="L81" s="56">
        <v>35.47</v>
      </c>
      <c r="M81" s="56">
        <v>11.82332151</v>
      </c>
      <c r="N81" s="40" t="s">
        <v>187</v>
      </c>
      <c r="O81" s="40" t="s">
        <v>152</v>
      </c>
      <c r="P81" s="57">
        <v>46090.0</v>
      </c>
      <c r="Q81" s="57"/>
      <c r="R81" s="40" t="s">
        <v>276</v>
      </c>
      <c r="S81" s="40" t="str">
        <f t="array" ref="S81">IF(C81="","",IFERROR(_xlfn.XLOOKUP(C81,Volunteers!D:D,Volunteers!A:A),""))</f>
        <v>002</v>
      </c>
      <c r="T81" s="40">
        <v>5.78703125E-4</v>
      </c>
    </row>
    <row r="82">
      <c r="A82" s="52">
        <v>46090.0</v>
      </c>
      <c r="B82" s="28" t="s">
        <v>185</v>
      </c>
      <c r="C82" s="28" t="s">
        <v>186</v>
      </c>
      <c r="D82" s="28" t="s">
        <v>53</v>
      </c>
      <c r="E82" s="28" t="s">
        <v>42</v>
      </c>
      <c r="F82" s="28" t="s">
        <v>44</v>
      </c>
      <c r="G82" s="53">
        <v>0.8743055555555556</v>
      </c>
      <c r="H82" s="53">
        <v>0.8888888888888888</v>
      </c>
      <c r="I82" s="31">
        <v>0.014583333333333332</v>
      </c>
      <c r="J82" s="54">
        <v>0.35</v>
      </c>
      <c r="K82" s="55" t="s">
        <v>29</v>
      </c>
      <c r="L82" s="56">
        <v>35.47</v>
      </c>
      <c r="M82" s="56">
        <v>12.414499999999999</v>
      </c>
      <c r="N82" s="28" t="s">
        <v>187</v>
      </c>
      <c r="O82" s="28" t="s">
        <v>152</v>
      </c>
      <c r="P82" s="52">
        <v>46090.0</v>
      </c>
      <c r="Q82" s="52"/>
      <c r="R82" s="28" t="s">
        <v>278</v>
      </c>
      <c r="S82" s="28" t="str">
        <f t="array" ref="S82">IF(C82="","",IFERROR(_xlfn.XLOOKUP(C82,Volunteers!D:D,Volunteers!A:A),""))</f>
        <v>002</v>
      </c>
      <c r="T82" s="28">
        <v>6.076388888888888E-4</v>
      </c>
    </row>
    <row r="83">
      <c r="A83" s="57">
        <v>46090.0</v>
      </c>
      <c r="B83" s="40" t="s">
        <v>227</v>
      </c>
      <c r="C83" s="40" t="s">
        <v>228</v>
      </c>
      <c r="D83" s="40" t="s">
        <v>49</v>
      </c>
      <c r="E83" s="40" t="s">
        <v>42</v>
      </c>
      <c r="F83" s="40" t="s">
        <v>44</v>
      </c>
      <c r="G83" s="58">
        <v>0.7916666666666666</v>
      </c>
      <c r="H83" s="58">
        <v>0.9166666666666666</v>
      </c>
      <c r="I83" s="51">
        <v>0.125</v>
      </c>
      <c r="J83" s="54">
        <v>3.0</v>
      </c>
      <c r="K83" s="55" t="s">
        <v>29</v>
      </c>
      <c r="L83" s="56">
        <v>35.47</v>
      </c>
      <c r="M83" s="56">
        <v>106.41</v>
      </c>
      <c r="N83" s="40" t="s">
        <v>279</v>
      </c>
      <c r="O83" s="40" t="s">
        <v>152</v>
      </c>
      <c r="P83" s="57">
        <v>46090.0</v>
      </c>
      <c r="Q83" s="57"/>
      <c r="R83" s="40" t="s">
        <v>280</v>
      </c>
      <c r="S83" s="40" t="str">
        <f t="array" ref="S83">IF(C83="","",IFERROR(_xlfn.XLOOKUP(C83,Volunteers!D:D,Volunteers!A:A),""))</f>
        <v>009</v>
      </c>
      <c r="T83" s="40">
        <v>0.005208333333333333</v>
      </c>
    </row>
    <row r="84">
      <c r="A84" s="52">
        <v>46090.0</v>
      </c>
      <c r="B84" s="28" t="s">
        <v>199</v>
      </c>
      <c r="C84" s="28" t="s">
        <v>200</v>
      </c>
      <c r="D84" s="28" t="s">
        <v>33</v>
      </c>
      <c r="E84" s="28" t="s">
        <v>32</v>
      </c>
      <c r="F84" s="28" t="s">
        <v>44</v>
      </c>
      <c r="G84" s="53">
        <v>0.66875</v>
      </c>
      <c r="H84" s="53">
        <v>0.7104166666666667</v>
      </c>
      <c r="I84" s="31">
        <v>0.041666666666666664</v>
      </c>
      <c r="J84" s="54">
        <v>1.0</v>
      </c>
      <c r="K84" s="55" t="s">
        <v>29</v>
      </c>
      <c r="L84" s="56">
        <v>35.47</v>
      </c>
      <c r="M84" s="56">
        <v>35.47</v>
      </c>
      <c r="N84" s="28" t="s">
        <v>224</v>
      </c>
      <c r="O84" s="28" t="s">
        <v>152</v>
      </c>
      <c r="P84" s="52">
        <v>46090.0</v>
      </c>
      <c r="Q84" s="52"/>
      <c r="R84" s="28" t="s">
        <v>225</v>
      </c>
      <c r="S84" s="28" t="str">
        <f t="array" ref="S84">IF(C84="","",IFERROR(_xlfn.XLOOKUP(C84,Volunteers!D:D,Volunteers!A:A),""))</f>
        <v>005</v>
      </c>
      <c r="T84" s="28">
        <v>0.001736111111111111</v>
      </c>
    </row>
    <row r="85">
      <c r="A85" s="57">
        <v>46089.0</v>
      </c>
      <c r="B85" s="40" t="s">
        <v>199</v>
      </c>
      <c r="C85" s="40" t="s">
        <v>200</v>
      </c>
      <c r="D85" s="40" t="s">
        <v>33</v>
      </c>
      <c r="E85" s="40" t="s">
        <v>32</v>
      </c>
      <c r="F85" s="40" t="s">
        <v>44</v>
      </c>
      <c r="G85" s="58">
        <v>0.6576388888888889</v>
      </c>
      <c r="H85" s="58">
        <v>0.6993055555555555</v>
      </c>
      <c r="I85" s="51">
        <v>0.041666666666666664</v>
      </c>
      <c r="J85" s="54">
        <v>1.0</v>
      </c>
      <c r="K85" s="55" t="s">
        <v>29</v>
      </c>
      <c r="L85" s="56">
        <v>35.47</v>
      </c>
      <c r="M85" s="56">
        <v>35.47</v>
      </c>
      <c r="N85" s="40" t="s">
        <v>224</v>
      </c>
      <c r="O85" s="40" t="s">
        <v>152</v>
      </c>
      <c r="P85" s="57">
        <v>46089.0</v>
      </c>
      <c r="Q85" s="57"/>
      <c r="R85" s="40" t="s">
        <v>225</v>
      </c>
      <c r="S85" s="40" t="str">
        <f t="array" ref="S85">IF(C85="","",IFERROR(_xlfn.XLOOKUP(C85,Volunteers!D:D,Volunteers!A:A),""))</f>
        <v>005</v>
      </c>
      <c r="T85" s="40">
        <v>0.001736111111111111</v>
      </c>
    </row>
    <row r="86">
      <c r="A86" s="52">
        <v>46088.0</v>
      </c>
      <c r="B86" s="28" t="s">
        <v>64</v>
      </c>
      <c r="C86" s="28" t="s">
        <v>170</v>
      </c>
      <c r="D86" s="28" t="s">
        <v>60</v>
      </c>
      <c r="E86" s="28" t="s">
        <v>48</v>
      </c>
      <c r="F86" s="28" t="s">
        <v>44</v>
      </c>
      <c r="G86" s="53">
        <v>0.375</v>
      </c>
      <c r="H86" s="53">
        <v>0.020833333333333332</v>
      </c>
      <c r="I86" s="31">
        <v>3.6041666666666665</v>
      </c>
      <c r="J86" s="54">
        <v>86.5</v>
      </c>
      <c r="K86" s="55" t="s">
        <v>29</v>
      </c>
      <c r="L86" s="56">
        <v>35.47</v>
      </c>
      <c r="M86" s="56">
        <v>3068.1549999999997</v>
      </c>
      <c r="N86" s="28" t="s">
        <v>172</v>
      </c>
      <c r="O86" s="28" t="s">
        <v>152</v>
      </c>
      <c r="P86" s="52">
        <v>46088.0</v>
      </c>
      <c r="Q86" s="52"/>
      <c r="R86" s="28" t="s">
        <v>173</v>
      </c>
      <c r="S86" s="28" t="str">
        <f t="array" ref="S86">IF(C86="","",IFERROR(_xlfn.XLOOKUP(C86,Volunteers!D:D,Volunteers!A:A),""))</f>
        <v>007</v>
      </c>
      <c r="T86" s="28">
        <v>0.1501736111111111</v>
      </c>
    </row>
    <row r="87">
      <c r="A87" s="57">
        <v>46087.0</v>
      </c>
      <c r="B87" s="41" t="s">
        <v>191</v>
      </c>
      <c r="C87" s="40" t="s">
        <v>175</v>
      </c>
      <c r="D87" s="40" t="s">
        <v>53</v>
      </c>
      <c r="E87" s="40" t="s">
        <v>42</v>
      </c>
      <c r="F87" s="40" t="s">
        <v>44</v>
      </c>
      <c r="G87" s="58">
        <v>0.625</v>
      </c>
      <c r="H87" s="58">
        <v>0.7375</v>
      </c>
      <c r="I87" s="51">
        <v>0.1125</v>
      </c>
      <c r="J87" s="54">
        <v>2.7</v>
      </c>
      <c r="K87" s="55" t="s">
        <v>29</v>
      </c>
      <c r="L87" s="56">
        <v>35.47</v>
      </c>
      <c r="M87" s="56">
        <v>95.769</v>
      </c>
      <c r="N87" s="40" t="s">
        <v>176</v>
      </c>
      <c r="O87" s="40" t="s">
        <v>152</v>
      </c>
      <c r="P87" s="57">
        <v>46087.0</v>
      </c>
      <c r="Q87" s="57"/>
      <c r="R87" s="40" t="s">
        <v>286</v>
      </c>
      <c r="S87" s="40" t="str">
        <f t="array" ref="S87">IF(C87="","",IFERROR(_xlfn.XLOOKUP(C87,Volunteers!D:D,Volunteers!A:A),""))</f>
        <v>003</v>
      </c>
      <c r="T87" s="40">
        <v>0.0046875</v>
      </c>
    </row>
    <row r="88">
      <c r="A88" s="52">
        <v>46086.0</v>
      </c>
      <c r="B88" s="26" t="s">
        <v>191</v>
      </c>
      <c r="C88" s="28" t="s">
        <v>175</v>
      </c>
      <c r="D88" s="28" t="s">
        <v>53</v>
      </c>
      <c r="E88" s="28" t="s">
        <v>42</v>
      </c>
      <c r="F88" s="28" t="s">
        <v>44</v>
      </c>
      <c r="G88" s="53">
        <v>0.7763888888888889</v>
      </c>
      <c r="H88" s="53">
        <v>0.8097222222222222</v>
      </c>
      <c r="I88" s="31">
        <v>0.03333333333333333</v>
      </c>
      <c r="J88" s="54">
        <v>0.8</v>
      </c>
      <c r="K88" s="55" t="s">
        <v>29</v>
      </c>
      <c r="L88" s="56">
        <v>35.47</v>
      </c>
      <c r="M88" s="56">
        <v>28.376</v>
      </c>
      <c r="N88" s="28" t="s">
        <v>176</v>
      </c>
      <c r="O88" s="28" t="s">
        <v>152</v>
      </c>
      <c r="P88" s="52">
        <v>46086.0</v>
      </c>
      <c r="Q88" s="52"/>
      <c r="R88" s="28" t="s">
        <v>203</v>
      </c>
      <c r="S88" s="28" t="str">
        <f t="array" ref="S88">IF(C88="","",IFERROR(_xlfn.XLOOKUP(C88,Volunteers!D:D,Volunteers!A:A),""))</f>
        <v>003</v>
      </c>
      <c r="T88" s="28">
        <v>0.001388888888888889</v>
      </c>
    </row>
    <row r="89">
      <c r="A89" s="57">
        <v>46085.0</v>
      </c>
      <c r="B89" s="40" t="s">
        <v>199</v>
      </c>
      <c r="C89" s="40" t="s">
        <v>200</v>
      </c>
      <c r="D89" s="40" t="s">
        <v>33</v>
      </c>
      <c r="E89" s="40" t="s">
        <v>32</v>
      </c>
      <c r="F89" s="40" t="s">
        <v>44</v>
      </c>
      <c r="G89" s="58">
        <v>0.75</v>
      </c>
      <c r="H89" s="58">
        <v>0.8277777777777777</v>
      </c>
      <c r="I89" s="51">
        <v>0.07777779166666667</v>
      </c>
      <c r="J89" s="54">
        <v>1.866667</v>
      </c>
      <c r="K89" s="55" t="s">
        <v>29</v>
      </c>
      <c r="L89" s="56">
        <v>35.47</v>
      </c>
      <c r="M89" s="56">
        <v>66.21067849</v>
      </c>
      <c r="N89" s="40" t="s">
        <v>224</v>
      </c>
      <c r="O89" s="40" t="s">
        <v>152</v>
      </c>
      <c r="P89" s="57">
        <v>46085.0</v>
      </c>
      <c r="Q89" s="57"/>
      <c r="R89" s="40" t="s">
        <v>225</v>
      </c>
      <c r="S89" s="40" t="str">
        <f t="array" ref="S89">IF(C89="","",IFERROR(_xlfn.XLOOKUP(C89,Volunteers!D:D,Volunteers!A:A),""))</f>
        <v>005</v>
      </c>
      <c r="T89" s="40">
        <v>0.0032407413194444445</v>
      </c>
    </row>
    <row r="90">
      <c r="A90" s="52">
        <v>46083.0</v>
      </c>
      <c r="B90" s="28" t="s">
        <v>199</v>
      </c>
      <c r="C90" s="28" t="s">
        <v>200</v>
      </c>
      <c r="D90" s="28" t="s">
        <v>33</v>
      </c>
      <c r="E90" s="28" t="s">
        <v>32</v>
      </c>
      <c r="F90" s="28" t="s">
        <v>44</v>
      </c>
      <c r="G90" s="53">
        <v>0.8291666666666667</v>
      </c>
      <c r="H90" s="53">
        <v>0.8708333333333333</v>
      </c>
      <c r="I90" s="31">
        <v>0.041666666666666664</v>
      </c>
      <c r="J90" s="54">
        <v>1.0</v>
      </c>
      <c r="K90" s="55" t="s">
        <v>29</v>
      </c>
      <c r="L90" s="56">
        <v>35.47</v>
      </c>
      <c r="M90" s="56">
        <v>35.47</v>
      </c>
      <c r="N90" s="28" t="s">
        <v>224</v>
      </c>
      <c r="O90" s="28" t="s">
        <v>152</v>
      </c>
      <c r="P90" s="52">
        <v>46083.0</v>
      </c>
      <c r="Q90" s="52"/>
      <c r="R90" s="28" t="s">
        <v>225</v>
      </c>
      <c r="S90" s="28" t="str">
        <f t="array" ref="S90">IF(C90="","",IFERROR(_xlfn.XLOOKUP(C90,Volunteers!D:D,Volunteers!A:A),""))</f>
        <v>005</v>
      </c>
      <c r="T90" s="28">
        <v>0.001736111111111111</v>
      </c>
    </row>
    <row r="91">
      <c r="A91" s="57">
        <v>46083.0</v>
      </c>
      <c r="B91" s="40" t="s">
        <v>199</v>
      </c>
      <c r="C91" s="40" t="s">
        <v>200</v>
      </c>
      <c r="D91" s="40" t="s">
        <v>33</v>
      </c>
      <c r="E91" s="40" t="s">
        <v>32</v>
      </c>
      <c r="F91" s="40" t="s">
        <v>44</v>
      </c>
      <c r="G91" s="58">
        <v>0.5034722222222222</v>
      </c>
      <c r="H91" s="58">
        <v>0.5104166666666666</v>
      </c>
      <c r="I91" s="51">
        <v>0.006944458333333334</v>
      </c>
      <c r="J91" s="54">
        <v>0.166667</v>
      </c>
      <c r="K91" s="55" t="s">
        <v>29</v>
      </c>
      <c r="L91" s="56">
        <v>35.47</v>
      </c>
      <c r="M91" s="56">
        <v>5.91167849</v>
      </c>
      <c r="N91" s="40" t="s">
        <v>224</v>
      </c>
      <c r="O91" s="40" t="s">
        <v>152</v>
      </c>
      <c r="P91" s="57">
        <v>46083.0</v>
      </c>
      <c r="Q91" s="57"/>
      <c r="R91" s="40" t="s">
        <v>225</v>
      </c>
      <c r="S91" s="40" t="str">
        <f t="array" ref="S91">IF(C91="","",IFERROR(_xlfn.XLOOKUP(C91,Volunteers!D:D,Volunteers!A:A),""))</f>
        <v>005</v>
      </c>
      <c r="T91" s="40">
        <v>2.8935243055555555E-4</v>
      </c>
    </row>
    <row r="92">
      <c r="A92" s="52">
        <v>46082.0</v>
      </c>
      <c r="B92" s="28" t="s">
        <v>199</v>
      </c>
      <c r="C92" s="28" t="s">
        <v>200</v>
      </c>
      <c r="D92" s="28" t="s">
        <v>33</v>
      </c>
      <c r="E92" s="28" t="s">
        <v>32</v>
      </c>
      <c r="F92" s="28" t="s">
        <v>44</v>
      </c>
      <c r="G92" s="53">
        <v>0.5541666666666667</v>
      </c>
      <c r="H92" s="53">
        <v>0.5958333333333333</v>
      </c>
      <c r="I92" s="31">
        <v>0.041666666666666664</v>
      </c>
      <c r="J92" s="54">
        <v>1.0</v>
      </c>
      <c r="K92" s="55" t="s">
        <v>29</v>
      </c>
      <c r="L92" s="56">
        <v>35.47</v>
      </c>
      <c r="M92" s="56">
        <v>35.47</v>
      </c>
      <c r="N92" s="28" t="s">
        <v>224</v>
      </c>
      <c r="O92" s="28" t="s">
        <v>152</v>
      </c>
      <c r="P92" s="52">
        <v>46082.0</v>
      </c>
      <c r="Q92" s="52"/>
      <c r="R92" s="28" t="s">
        <v>225</v>
      </c>
      <c r="S92" s="28" t="str">
        <f t="array" ref="S92">IF(C92="","",IFERROR(_xlfn.XLOOKUP(C92,Volunteers!D:D,Volunteers!A:A),""))</f>
        <v>005</v>
      </c>
      <c r="T92" s="28">
        <v>0.001736111111111111</v>
      </c>
    </row>
    <row r="93">
      <c r="A93" s="57">
        <v>46142.0</v>
      </c>
      <c r="B93" s="40" t="s">
        <v>185</v>
      </c>
      <c r="C93" s="40" t="s">
        <v>186</v>
      </c>
      <c r="D93" s="40" t="s">
        <v>53</v>
      </c>
      <c r="E93" s="40" t="s">
        <v>42</v>
      </c>
      <c r="F93" s="40" t="s">
        <v>44</v>
      </c>
      <c r="G93" s="58">
        <v>0.5416666666666666</v>
      </c>
      <c r="H93" s="58">
        <v>0.5833333333333334</v>
      </c>
      <c r="I93" s="51">
        <v>0.041666666666666664</v>
      </c>
      <c r="J93" s="54">
        <v>1.0</v>
      </c>
      <c r="K93" s="55" t="s">
        <v>29</v>
      </c>
      <c r="L93" s="56">
        <v>35.47</v>
      </c>
      <c r="M93" s="56">
        <v>35.47</v>
      </c>
      <c r="N93" s="40" t="s">
        <v>217</v>
      </c>
      <c r="O93" s="40" t="s">
        <v>152</v>
      </c>
      <c r="P93" s="57">
        <v>46142.0</v>
      </c>
      <c r="Q93" s="57"/>
      <c r="R93" s="40" t="s">
        <v>294</v>
      </c>
      <c r="S93" s="40" t="str">
        <f t="array" ref="S93">IF(C93="","",IFERROR(_xlfn.XLOOKUP(C93,Volunteers!D:D,Volunteers!A:A),""))</f>
        <v>002</v>
      </c>
      <c r="T93" s="40">
        <v>0.001736111111111111</v>
      </c>
    </row>
    <row r="94">
      <c r="A94" s="52">
        <v>46142.0</v>
      </c>
      <c r="B94" s="28" t="s">
        <v>185</v>
      </c>
      <c r="C94" s="28" t="s">
        <v>189</v>
      </c>
      <c r="D94" s="28" t="s">
        <v>53</v>
      </c>
      <c r="E94" s="26" t="s">
        <v>42</v>
      </c>
      <c r="F94" s="28" t="s">
        <v>44</v>
      </c>
      <c r="G94" s="53">
        <v>0.5416666666666666</v>
      </c>
      <c r="H94" s="53">
        <v>0.625</v>
      </c>
      <c r="I94" s="31">
        <v>0.08333333333333333</v>
      </c>
      <c r="J94" s="54">
        <v>2.0</v>
      </c>
      <c r="K94" s="55" t="s">
        <v>29</v>
      </c>
      <c r="L94" s="56">
        <v>35.47</v>
      </c>
      <c r="M94" s="56">
        <v>70.94</v>
      </c>
      <c r="N94" s="28" t="s">
        <v>295</v>
      </c>
      <c r="O94" s="28" t="s">
        <v>152</v>
      </c>
      <c r="P94" s="52">
        <v>46142.0</v>
      </c>
      <c r="Q94" s="52"/>
      <c r="R94" s="28" t="s">
        <v>296</v>
      </c>
      <c r="S94" s="28" t="str">
        <f t="array" ref="S94">IF(C94="","",IFERROR(_xlfn.XLOOKUP(C94,Volunteers!D:D,Volunteers!A:A),""))</f>
        <v>013</v>
      </c>
      <c r="T94" s="28">
        <v>0.003472222222222222</v>
      </c>
    </row>
    <row r="95">
      <c r="A95" s="57">
        <v>46142.0</v>
      </c>
      <c r="B95" s="40" t="s">
        <v>185</v>
      </c>
      <c r="C95" s="40" t="s">
        <v>189</v>
      </c>
      <c r="D95" s="40" t="s">
        <v>53</v>
      </c>
      <c r="E95" s="40" t="s">
        <v>42</v>
      </c>
      <c r="F95" s="40" t="s">
        <v>44</v>
      </c>
      <c r="G95" s="58">
        <v>0.4583333333333333</v>
      </c>
      <c r="H95" s="58">
        <v>0.5416666666666666</v>
      </c>
      <c r="I95" s="51">
        <v>0.08333333333333333</v>
      </c>
      <c r="J95" s="54">
        <v>2.0</v>
      </c>
      <c r="K95" s="55" t="s">
        <v>29</v>
      </c>
      <c r="L95" s="56">
        <v>35.47</v>
      </c>
      <c r="M95" s="56">
        <v>70.94</v>
      </c>
      <c r="N95" s="40" t="s">
        <v>217</v>
      </c>
      <c r="O95" s="40" t="s">
        <v>152</v>
      </c>
      <c r="P95" s="57">
        <v>46142.0</v>
      </c>
      <c r="Q95" s="57"/>
      <c r="R95" s="40" t="s">
        <v>297</v>
      </c>
      <c r="S95" s="40" t="str">
        <f t="array" ref="S95">IF(C95="","",IFERROR(_xlfn.XLOOKUP(C95,Volunteers!D:D,Volunteers!A:A),""))</f>
        <v>013</v>
      </c>
      <c r="T95" s="40">
        <v>0.003472222222222222</v>
      </c>
    </row>
    <row r="96">
      <c r="A96" s="52">
        <v>46139.0</v>
      </c>
      <c r="B96" s="28" t="s">
        <v>185</v>
      </c>
      <c r="C96" s="28" t="s">
        <v>186</v>
      </c>
      <c r="D96" s="28" t="s">
        <v>53</v>
      </c>
      <c r="E96" s="28" t="s">
        <v>42</v>
      </c>
      <c r="F96" s="28" t="s">
        <v>44</v>
      </c>
      <c r="G96" s="53">
        <v>0.9479166666666666</v>
      </c>
      <c r="H96" s="53">
        <v>0.9902777777777778</v>
      </c>
      <c r="I96" s="31">
        <v>0.042361125</v>
      </c>
      <c r="J96" s="54">
        <v>1.016667</v>
      </c>
      <c r="K96" s="55" t="s">
        <v>29</v>
      </c>
      <c r="L96" s="56">
        <v>35.47</v>
      </c>
      <c r="M96" s="56">
        <v>36.061178489999996</v>
      </c>
      <c r="N96" s="28" t="s">
        <v>217</v>
      </c>
      <c r="O96" s="28" t="s">
        <v>152</v>
      </c>
      <c r="P96" s="52">
        <v>46139.0</v>
      </c>
      <c r="Q96" s="52"/>
      <c r="R96" s="28" t="s">
        <v>294</v>
      </c>
      <c r="S96" s="28" t="str">
        <f t="array" ref="S96">IF(C96="","",IFERROR(_xlfn.XLOOKUP(C96,Volunteers!D:D,Volunteers!A:A),""))</f>
        <v>002</v>
      </c>
      <c r="T96" s="28">
        <v>0.001765046875</v>
      </c>
    </row>
    <row r="97">
      <c r="A97" s="57">
        <v>46139.0</v>
      </c>
      <c r="B97" s="40" t="s">
        <v>199</v>
      </c>
      <c r="C97" s="40" t="s">
        <v>200</v>
      </c>
      <c r="D97" s="40" t="s">
        <v>33</v>
      </c>
      <c r="E97" s="40" t="s">
        <v>32</v>
      </c>
      <c r="F97" s="40" t="s">
        <v>44</v>
      </c>
      <c r="G97" s="58">
        <v>0.625</v>
      </c>
      <c r="H97" s="58">
        <v>0.6666666666666666</v>
      </c>
      <c r="I97" s="51">
        <v>0.041666666666666664</v>
      </c>
      <c r="J97" s="54">
        <v>1.0</v>
      </c>
      <c r="K97" s="55" t="s">
        <v>29</v>
      </c>
      <c r="L97" s="56">
        <v>35.47</v>
      </c>
      <c r="M97" s="56">
        <v>35.47</v>
      </c>
      <c r="N97" s="40" t="s">
        <v>224</v>
      </c>
      <c r="O97" s="40" t="s">
        <v>152</v>
      </c>
      <c r="P97" s="57">
        <v>46139.0</v>
      </c>
      <c r="Q97" s="57"/>
      <c r="R97" s="40" t="s">
        <v>225</v>
      </c>
      <c r="S97" s="40" t="str">
        <f t="array" ref="S97">IF(C97="","",IFERROR(_xlfn.XLOOKUP(C97,Volunteers!D:D,Volunteers!A:A),""))</f>
        <v>005</v>
      </c>
      <c r="T97" s="40">
        <v>0.001736111111111111</v>
      </c>
    </row>
    <row r="98">
      <c r="A98" s="52">
        <v>46137.0</v>
      </c>
      <c r="B98" s="28" t="s">
        <v>185</v>
      </c>
      <c r="C98" s="28" t="s">
        <v>186</v>
      </c>
      <c r="D98" s="28" t="s">
        <v>53</v>
      </c>
      <c r="E98" s="28" t="s">
        <v>42</v>
      </c>
      <c r="F98" s="28" t="s">
        <v>44</v>
      </c>
      <c r="G98" s="53">
        <v>0.7916666666666666</v>
      </c>
      <c r="H98" s="53">
        <v>0.8333333333333334</v>
      </c>
      <c r="I98" s="31">
        <v>0.041666666666666664</v>
      </c>
      <c r="J98" s="54">
        <v>1.0</v>
      </c>
      <c r="K98" s="55" t="s">
        <v>29</v>
      </c>
      <c r="L98" s="56">
        <v>35.47</v>
      </c>
      <c r="M98" s="56">
        <v>35.47</v>
      </c>
      <c r="N98" s="28" t="s">
        <v>217</v>
      </c>
      <c r="O98" s="28" t="s">
        <v>152</v>
      </c>
      <c r="P98" s="52">
        <v>46137.0</v>
      </c>
      <c r="Q98" s="52"/>
      <c r="R98" s="28" t="s">
        <v>296</v>
      </c>
      <c r="S98" s="28" t="str">
        <f t="array" ref="S98">IF(C98="","",IFERROR(_xlfn.XLOOKUP(C98,Volunteers!D:D,Volunteers!A:A),""))</f>
        <v>002</v>
      </c>
      <c r="T98" s="28">
        <v>0.001736111111111111</v>
      </c>
    </row>
    <row r="99">
      <c r="A99" s="57">
        <v>46137.0</v>
      </c>
      <c r="B99" s="40" t="s">
        <v>185</v>
      </c>
      <c r="C99" s="40" t="s">
        <v>186</v>
      </c>
      <c r="D99" s="40" t="s">
        <v>53</v>
      </c>
      <c r="E99" s="40" t="s">
        <v>52</v>
      </c>
      <c r="F99" s="40" t="s">
        <v>44</v>
      </c>
      <c r="G99" s="58">
        <v>0.6875</v>
      </c>
      <c r="H99" s="58">
        <v>0.7083333333333334</v>
      </c>
      <c r="I99" s="51">
        <v>0.020833333333333332</v>
      </c>
      <c r="J99" s="54">
        <v>0.5</v>
      </c>
      <c r="K99" s="55" t="s">
        <v>29</v>
      </c>
      <c r="L99" s="56">
        <v>35.47</v>
      </c>
      <c r="M99" s="56">
        <v>17.735</v>
      </c>
      <c r="N99" s="40" t="s">
        <v>299</v>
      </c>
      <c r="O99" s="40" t="s">
        <v>152</v>
      </c>
      <c r="P99" s="57">
        <v>46137.0</v>
      </c>
      <c r="Q99" s="57"/>
      <c r="R99" s="40" t="s">
        <v>300</v>
      </c>
      <c r="S99" s="40" t="str">
        <f t="array" ref="S99">IF(C99="","",IFERROR(_xlfn.XLOOKUP(C99,Volunteers!D:D,Volunteers!A:A),""))</f>
        <v>002</v>
      </c>
      <c r="T99" s="40">
        <v>8.680555555555555E-4</v>
      </c>
    </row>
    <row r="100">
      <c r="A100" s="52">
        <v>46137.0</v>
      </c>
      <c r="B100" s="28" t="s">
        <v>64</v>
      </c>
      <c r="C100" s="28" t="s">
        <v>170</v>
      </c>
      <c r="D100" s="28" t="s">
        <v>60</v>
      </c>
      <c r="E100" s="28" t="s">
        <v>48</v>
      </c>
      <c r="F100" s="28" t="s">
        <v>44</v>
      </c>
      <c r="G100" s="53">
        <v>0.375</v>
      </c>
      <c r="H100" s="53">
        <v>0.16666666666666666</v>
      </c>
      <c r="I100" s="31">
        <v>4.791666666666667</v>
      </c>
      <c r="J100" s="54">
        <v>115.0</v>
      </c>
      <c r="K100" s="55" t="s">
        <v>29</v>
      </c>
      <c r="L100" s="56">
        <v>35.47</v>
      </c>
      <c r="M100" s="56">
        <v>4079.0499999999997</v>
      </c>
      <c r="N100" s="28" t="s">
        <v>172</v>
      </c>
      <c r="O100" s="28" t="s">
        <v>152</v>
      </c>
      <c r="P100" s="52">
        <v>46137.0</v>
      </c>
      <c r="Q100" s="52"/>
      <c r="R100" s="28" t="s">
        <v>173</v>
      </c>
      <c r="S100" s="28" t="str">
        <f t="array" ref="S100">IF(C100="","",IFERROR(_xlfn.XLOOKUP(C100,Volunteers!D:D,Volunteers!A:A),""))</f>
        <v>007</v>
      </c>
      <c r="T100" s="28">
        <v>0.1996527777777778</v>
      </c>
    </row>
    <row r="101">
      <c r="A101" s="57">
        <v>46136.0</v>
      </c>
      <c r="B101" s="40" t="s">
        <v>185</v>
      </c>
      <c r="C101" s="40" t="s">
        <v>175</v>
      </c>
      <c r="D101" s="40" t="s">
        <v>53</v>
      </c>
      <c r="E101" s="40" t="s">
        <v>42</v>
      </c>
      <c r="F101" s="40" t="s">
        <v>44</v>
      </c>
      <c r="G101" s="58">
        <v>0.5638888888888889</v>
      </c>
      <c r="H101" s="58">
        <v>0.5708333333333333</v>
      </c>
      <c r="I101" s="51">
        <v>0.006944458333333334</v>
      </c>
      <c r="J101" s="54">
        <v>0.166667</v>
      </c>
      <c r="K101" s="55" t="s">
        <v>29</v>
      </c>
      <c r="L101" s="56">
        <v>35.47</v>
      </c>
      <c r="M101" s="56">
        <v>5.91167849</v>
      </c>
      <c r="N101" s="40" t="s">
        <v>217</v>
      </c>
      <c r="O101" s="40" t="s">
        <v>152</v>
      </c>
      <c r="P101" s="57">
        <v>46136.0</v>
      </c>
      <c r="Q101" s="57"/>
      <c r="R101" s="40" t="s">
        <v>230</v>
      </c>
      <c r="S101" s="40" t="str">
        <f t="array" ref="S101">IF(C101="","",IFERROR(_xlfn.XLOOKUP(C101,Volunteers!D:D,Volunteers!A:A),""))</f>
        <v>003</v>
      </c>
      <c r="T101" s="40">
        <v>2.8935243055555555E-4</v>
      </c>
    </row>
    <row r="102">
      <c r="A102" s="52">
        <v>46134.0</v>
      </c>
      <c r="B102" s="28" t="s">
        <v>185</v>
      </c>
      <c r="C102" s="28" t="s">
        <v>175</v>
      </c>
      <c r="D102" s="28" t="s">
        <v>53</v>
      </c>
      <c r="E102" s="28" t="s">
        <v>42</v>
      </c>
      <c r="F102" s="28" t="s">
        <v>44</v>
      </c>
      <c r="G102" s="53">
        <v>0.4826388888888889</v>
      </c>
      <c r="H102" s="53">
        <v>0.49027777777777776</v>
      </c>
      <c r="I102" s="31">
        <v>0.007638875</v>
      </c>
      <c r="J102" s="54">
        <v>0.183333</v>
      </c>
      <c r="K102" s="55" t="s">
        <v>29</v>
      </c>
      <c r="L102" s="56">
        <v>35.47</v>
      </c>
      <c r="M102" s="56">
        <v>6.5028215099999995</v>
      </c>
      <c r="N102" s="28" t="s">
        <v>217</v>
      </c>
      <c r="O102" s="28" t="s">
        <v>152</v>
      </c>
      <c r="P102" s="52">
        <v>46134.0</v>
      </c>
      <c r="Q102" s="52"/>
      <c r="R102" s="28" t="s">
        <v>230</v>
      </c>
      <c r="S102" s="28" t="str">
        <f t="array" ref="S102">IF(C102="","",IFERROR(_xlfn.XLOOKUP(C102,Volunteers!D:D,Volunteers!A:A),""))</f>
        <v>003</v>
      </c>
      <c r="T102" s="28">
        <v>3.1828645833333334E-4</v>
      </c>
    </row>
    <row r="103">
      <c r="A103" s="57">
        <v>46133.0</v>
      </c>
      <c r="B103" s="40" t="s">
        <v>185</v>
      </c>
      <c r="C103" s="40" t="s">
        <v>228</v>
      </c>
      <c r="D103" s="40" t="s">
        <v>53</v>
      </c>
      <c r="E103" s="40" t="s">
        <v>52</v>
      </c>
      <c r="F103" s="40" t="s">
        <v>44</v>
      </c>
      <c r="G103" s="58">
        <v>0.7645833333333333</v>
      </c>
      <c r="H103" s="58">
        <v>0.8479166666666667</v>
      </c>
      <c r="I103" s="51">
        <v>0.08333333333333333</v>
      </c>
      <c r="J103" s="54">
        <v>2.0</v>
      </c>
      <c r="K103" s="55" t="s">
        <v>29</v>
      </c>
      <c r="L103" s="56">
        <v>35.47</v>
      </c>
      <c r="M103" s="56">
        <v>70.94</v>
      </c>
      <c r="N103" s="40" t="s">
        <v>299</v>
      </c>
      <c r="O103" s="40" t="s">
        <v>152</v>
      </c>
      <c r="P103" s="57">
        <v>46133.0</v>
      </c>
      <c r="Q103" s="57"/>
      <c r="R103" s="40" t="s">
        <v>302</v>
      </c>
      <c r="S103" s="40" t="str">
        <f t="array" ref="S103">IF(C103="","",IFERROR(_xlfn.XLOOKUP(C103,Volunteers!D:D,Volunteers!A:A),""))</f>
        <v>009</v>
      </c>
      <c r="T103" s="40">
        <v>0.003472222222222222</v>
      </c>
    </row>
    <row r="104">
      <c r="A104" s="52">
        <v>46132.0</v>
      </c>
      <c r="B104" s="28" t="s">
        <v>199</v>
      </c>
      <c r="C104" s="28" t="s">
        <v>200</v>
      </c>
      <c r="D104" s="28" t="s">
        <v>33</v>
      </c>
      <c r="E104" s="28" t="s">
        <v>32</v>
      </c>
      <c r="F104" s="28" t="s">
        <v>44</v>
      </c>
      <c r="G104" s="53">
        <v>0.6944444444444444</v>
      </c>
      <c r="H104" s="53">
        <v>0.7083333333333334</v>
      </c>
      <c r="I104" s="31">
        <v>0.013888875</v>
      </c>
      <c r="J104" s="54">
        <v>0.333333</v>
      </c>
      <c r="K104" s="55" t="s">
        <v>29</v>
      </c>
      <c r="L104" s="56">
        <v>35.47</v>
      </c>
      <c r="M104" s="56">
        <v>11.82332151</v>
      </c>
      <c r="N104" s="28" t="s">
        <v>224</v>
      </c>
      <c r="O104" s="28" t="s">
        <v>152</v>
      </c>
      <c r="P104" s="52">
        <v>46132.0</v>
      </c>
      <c r="Q104" s="52"/>
      <c r="R104" s="28" t="s">
        <v>225</v>
      </c>
      <c r="S104" s="28" t="str">
        <f t="array" ref="S104">IF(C104="","",IFERROR(_xlfn.XLOOKUP(C104,Volunteers!D:D,Volunteers!A:A),""))</f>
        <v>005</v>
      </c>
      <c r="T104" s="28">
        <v>5.78703125E-4</v>
      </c>
    </row>
    <row r="105">
      <c r="A105" s="57">
        <v>46132.0</v>
      </c>
      <c r="B105" s="40" t="s">
        <v>185</v>
      </c>
      <c r="C105" s="40" t="s">
        <v>186</v>
      </c>
      <c r="D105" s="40" t="s">
        <v>53</v>
      </c>
      <c r="E105" s="40" t="s">
        <v>42</v>
      </c>
      <c r="F105" s="40" t="s">
        <v>44</v>
      </c>
      <c r="G105" s="58">
        <v>0.40902777777777777</v>
      </c>
      <c r="H105" s="58">
        <v>0.42291666666666666</v>
      </c>
      <c r="I105" s="51">
        <v>0.013888875</v>
      </c>
      <c r="J105" s="54">
        <v>0.333333</v>
      </c>
      <c r="K105" s="55" t="s">
        <v>29</v>
      </c>
      <c r="L105" s="56">
        <v>35.47</v>
      </c>
      <c r="M105" s="56">
        <v>11.82332151</v>
      </c>
      <c r="N105" s="40" t="s">
        <v>187</v>
      </c>
      <c r="O105" s="40" t="s">
        <v>152</v>
      </c>
      <c r="P105" s="57">
        <v>46132.0</v>
      </c>
      <c r="Q105" s="57"/>
      <c r="R105" s="40" t="s">
        <v>303</v>
      </c>
      <c r="S105" s="40" t="str">
        <f t="array" ref="S105">IF(C105="","",IFERROR(_xlfn.XLOOKUP(C105,Volunteers!D:D,Volunteers!A:A),""))</f>
        <v>002</v>
      </c>
      <c r="T105" s="40">
        <v>5.78703125E-4</v>
      </c>
    </row>
    <row r="106">
      <c r="A106" s="52">
        <v>46130.0</v>
      </c>
      <c r="B106" s="28" t="s">
        <v>199</v>
      </c>
      <c r="C106" s="28" t="s">
        <v>200</v>
      </c>
      <c r="D106" s="28" t="s">
        <v>33</v>
      </c>
      <c r="E106" s="28" t="s">
        <v>32</v>
      </c>
      <c r="F106" s="28" t="s">
        <v>44</v>
      </c>
      <c r="G106" s="53">
        <v>0.6618055555555555</v>
      </c>
      <c r="H106" s="53">
        <v>0.6826388888888889</v>
      </c>
      <c r="I106" s="31">
        <v>0.020833333333333332</v>
      </c>
      <c r="J106" s="54">
        <v>0.5</v>
      </c>
      <c r="K106" s="55" t="s">
        <v>29</v>
      </c>
      <c r="L106" s="56">
        <v>35.47</v>
      </c>
      <c r="M106" s="56">
        <v>17.735</v>
      </c>
      <c r="N106" s="28" t="s">
        <v>224</v>
      </c>
      <c r="O106" s="28" t="s">
        <v>152</v>
      </c>
      <c r="P106" s="52">
        <v>46130.0</v>
      </c>
      <c r="Q106" s="52"/>
      <c r="R106" s="28" t="s">
        <v>225</v>
      </c>
      <c r="S106" s="28" t="str">
        <f t="array" ref="S106">IF(C106="","",IFERROR(_xlfn.XLOOKUP(C106,Volunteers!D:D,Volunteers!A:A),""))</f>
        <v>005</v>
      </c>
      <c r="T106" s="28">
        <v>8.680555555555555E-4</v>
      </c>
    </row>
    <row r="107">
      <c r="A107" s="57">
        <v>46130.0</v>
      </c>
      <c r="B107" s="40" t="s">
        <v>64</v>
      </c>
      <c r="C107" s="40" t="s">
        <v>170</v>
      </c>
      <c r="D107" s="40" t="s">
        <v>60</v>
      </c>
      <c r="E107" s="40" t="s">
        <v>48</v>
      </c>
      <c r="F107" s="40" t="s">
        <v>44</v>
      </c>
      <c r="G107" s="58">
        <v>0.375</v>
      </c>
      <c r="H107" s="58">
        <v>0.2847222222222222</v>
      </c>
      <c r="I107" s="51">
        <v>4.909722208333333</v>
      </c>
      <c r="J107" s="54">
        <v>117.833333</v>
      </c>
      <c r="K107" s="55" t="s">
        <v>29</v>
      </c>
      <c r="L107" s="56">
        <v>35.47</v>
      </c>
      <c r="M107" s="56">
        <v>4179.548321509999</v>
      </c>
      <c r="N107" s="40" t="s">
        <v>172</v>
      </c>
      <c r="O107" s="40" t="s">
        <v>152</v>
      </c>
      <c r="P107" s="57">
        <v>46130.0</v>
      </c>
      <c r="Q107" s="57"/>
      <c r="R107" s="40" t="s">
        <v>173</v>
      </c>
      <c r="S107" s="40" t="str">
        <f t="array" ref="S107">IF(C107="","",IFERROR(_xlfn.XLOOKUP(C107,Volunteers!D:D,Volunteers!A:A),""))</f>
        <v>007</v>
      </c>
      <c r="T107" s="40">
        <v>0.20457175868055555</v>
      </c>
    </row>
    <row r="108">
      <c r="A108" s="52">
        <v>46129.0</v>
      </c>
      <c r="B108" s="28" t="s">
        <v>185</v>
      </c>
      <c r="C108" s="28" t="s">
        <v>175</v>
      </c>
      <c r="D108" s="28" t="s">
        <v>53</v>
      </c>
      <c r="E108" s="28" t="s">
        <v>42</v>
      </c>
      <c r="F108" s="28" t="s">
        <v>44</v>
      </c>
      <c r="G108" s="53">
        <v>0.625</v>
      </c>
      <c r="H108" s="53">
        <v>0.65</v>
      </c>
      <c r="I108" s="31">
        <v>0.024999999999999998</v>
      </c>
      <c r="J108" s="54">
        <v>0.6</v>
      </c>
      <c r="K108" s="55" t="s">
        <v>29</v>
      </c>
      <c r="L108" s="56">
        <v>35.47</v>
      </c>
      <c r="M108" s="56">
        <v>21.282</v>
      </c>
      <c r="N108" s="28" t="s">
        <v>217</v>
      </c>
      <c r="O108" s="28" t="s">
        <v>152</v>
      </c>
      <c r="P108" s="52">
        <v>46129.0</v>
      </c>
      <c r="Q108" s="52"/>
      <c r="R108" s="28" t="s">
        <v>230</v>
      </c>
      <c r="S108" s="28" t="str">
        <f t="array" ref="S108">IF(C108="","",IFERROR(_xlfn.XLOOKUP(C108,Volunteers!D:D,Volunteers!A:A),""))</f>
        <v>003</v>
      </c>
      <c r="T108" s="28">
        <v>0.0010416666666666667</v>
      </c>
    </row>
    <row r="109">
      <c r="A109" s="57">
        <v>46125.0</v>
      </c>
      <c r="B109" s="40" t="s">
        <v>199</v>
      </c>
      <c r="C109" s="40" t="s">
        <v>200</v>
      </c>
      <c r="D109" s="40" t="s">
        <v>33</v>
      </c>
      <c r="E109" s="40" t="s">
        <v>32</v>
      </c>
      <c r="F109" s="40" t="s">
        <v>44</v>
      </c>
      <c r="G109" s="58">
        <v>0.4930555555555556</v>
      </c>
      <c r="H109" s="58">
        <v>0.5034722222222222</v>
      </c>
      <c r="I109" s="51">
        <v>0.010416666666666666</v>
      </c>
      <c r="J109" s="54">
        <v>0.25</v>
      </c>
      <c r="K109" s="55" t="s">
        <v>29</v>
      </c>
      <c r="L109" s="56">
        <v>35.47</v>
      </c>
      <c r="M109" s="56">
        <v>8.8675</v>
      </c>
      <c r="N109" s="40" t="s">
        <v>224</v>
      </c>
      <c r="O109" s="40" t="s">
        <v>152</v>
      </c>
      <c r="P109" s="57">
        <v>46125.0</v>
      </c>
      <c r="Q109" s="57"/>
      <c r="R109" s="40" t="s">
        <v>225</v>
      </c>
      <c r="S109" s="40" t="str">
        <f t="array" ref="S109">IF(C109="","",IFERROR(_xlfn.XLOOKUP(C109,Volunteers!D:D,Volunteers!A:A),""))</f>
        <v>005</v>
      </c>
      <c r="T109" s="40">
        <v>4.3402777777777775E-4</v>
      </c>
    </row>
    <row r="110">
      <c r="A110" s="52">
        <v>46124.0</v>
      </c>
      <c r="B110" s="28" t="s">
        <v>199</v>
      </c>
      <c r="C110" s="28" t="s">
        <v>200</v>
      </c>
      <c r="D110" s="28" t="s">
        <v>33</v>
      </c>
      <c r="E110" s="28" t="s">
        <v>32</v>
      </c>
      <c r="F110" s="28" t="s">
        <v>44</v>
      </c>
      <c r="G110" s="53">
        <v>0.8854166666666666</v>
      </c>
      <c r="H110" s="53">
        <v>0.8958333333333334</v>
      </c>
      <c r="I110" s="31">
        <v>0.010416666666666666</v>
      </c>
      <c r="J110" s="54">
        <v>0.25</v>
      </c>
      <c r="K110" s="55" t="s">
        <v>29</v>
      </c>
      <c r="L110" s="56">
        <v>35.47</v>
      </c>
      <c r="M110" s="56">
        <v>8.8675</v>
      </c>
      <c r="N110" s="28" t="s">
        <v>224</v>
      </c>
      <c r="O110" s="28" t="s">
        <v>152</v>
      </c>
      <c r="P110" s="52">
        <v>46124.0</v>
      </c>
      <c r="Q110" s="52"/>
      <c r="R110" s="28" t="s">
        <v>225</v>
      </c>
      <c r="S110" s="28" t="str">
        <f t="array" ref="S110">IF(C110="","",IFERROR(_xlfn.XLOOKUP(C110,Volunteers!D:D,Volunteers!A:A),""))</f>
        <v>005</v>
      </c>
      <c r="T110" s="28">
        <v>4.3402777777777775E-4</v>
      </c>
    </row>
    <row r="111">
      <c r="A111" s="57">
        <v>46123.0</v>
      </c>
      <c r="B111" s="40" t="s">
        <v>199</v>
      </c>
      <c r="C111" s="40" t="s">
        <v>200</v>
      </c>
      <c r="D111" s="40" t="s">
        <v>33</v>
      </c>
      <c r="E111" s="40" t="s">
        <v>32</v>
      </c>
      <c r="F111" s="40" t="s">
        <v>44</v>
      </c>
      <c r="G111" s="58">
        <v>0.5416666666666666</v>
      </c>
      <c r="H111" s="58">
        <v>0.6111111111111112</v>
      </c>
      <c r="I111" s="51">
        <v>0.06944445833333333</v>
      </c>
      <c r="J111" s="54">
        <v>1.666667</v>
      </c>
      <c r="K111" s="55" t="s">
        <v>29</v>
      </c>
      <c r="L111" s="56">
        <v>35.47</v>
      </c>
      <c r="M111" s="56">
        <v>59.11667848999999</v>
      </c>
      <c r="N111" s="40" t="s">
        <v>224</v>
      </c>
      <c r="O111" s="40" t="s">
        <v>152</v>
      </c>
      <c r="P111" s="57">
        <v>46123.0</v>
      </c>
      <c r="Q111" s="57"/>
      <c r="R111" s="40" t="s">
        <v>225</v>
      </c>
      <c r="S111" s="40" t="str">
        <f t="array" ref="S111">IF(C111="","",IFERROR(_xlfn.XLOOKUP(C111,Volunteers!D:D,Volunteers!A:A),""))</f>
        <v>005</v>
      </c>
      <c r="T111" s="40">
        <v>0.0028935190972222222</v>
      </c>
    </row>
    <row r="112">
      <c r="A112" s="52">
        <v>46123.0</v>
      </c>
      <c r="B112" s="28" t="s">
        <v>64</v>
      </c>
      <c r="C112" s="28" t="s">
        <v>170</v>
      </c>
      <c r="D112" s="28" t="s">
        <v>60</v>
      </c>
      <c r="E112" s="28" t="s">
        <v>48</v>
      </c>
      <c r="F112" s="28" t="s">
        <v>44</v>
      </c>
      <c r="G112" s="53">
        <v>0.375</v>
      </c>
      <c r="H112" s="53">
        <v>0.4791666666666667</v>
      </c>
      <c r="I112" s="31">
        <v>5.104166666666667</v>
      </c>
      <c r="J112" s="54">
        <v>122.5</v>
      </c>
      <c r="K112" s="55" t="s">
        <v>29</v>
      </c>
      <c r="L112" s="56">
        <v>35.47</v>
      </c>
      <c r="M112" s="56">
        <v>4345.075</v>
      </c>
      <c r="N112" s="28" t="s">
        <v>172</v>
      </c>
      <c r="O112" s="28" t="s">
        <v>152</v>
      </c>
      <c r="P112" s="52">
        <v>46123.0</v>
      </c>
      <c r="Q112" s="52"/>
      <c r="R112" s="28" t="s">
        <v>173</v>
      </c>
      <c r="S112" s="28" t="str">
        <f t="array" ref="S112">IF(C112="","",IFERROR(_xlfn.XLOOKUP(C112,Volunteers!D:D,Volunteers!A:A),""))</f>
        <v>007</v>
      </c>
      <c r="T112" s="28">
        <v>0.21267361111111113</v>
      </c>
    </row>
    <row r="113">
      <c r="A113" s="57">
        <v>46121.0</v>
      </c>
      <c r="B113" s="40" t="s">
        <v>199</v>
      </c>
      <c r="C113" s="40" t="s">
        <v>200</v>
      </c>
      <c r="D113" s="40" t="s">
        <v>33</v>
      </c>
      <c r="E113" s="40" t="s">
        <v>32</v>
      </c>
      <c r="F113" s="40" t="s">
        <v>44</v>
      </c>
      <c r="G113" s="58">
        <v>0.7777777777777778</v>
      </c>
      <c r="H113" s="58">
        <v>0.7916666666666666</v>
      </c>
      <c r="I113" s="51">
        <v>0.013888875</v>
      </c>
      <c r="J113" s="54">
        <v>0.333333</v>
      </c>
      <c r="K113" s="55" t="s">
        <v>29</v>
      </c>
      <c r="L113" s="56">
        <v>35.47</v>
      </c>
      <c r="M113" s="56">
        <v>11.82332151</v>
      </c>
      <c r="N113" s="40" t="s">
        <v>224</v>
      </c>
      <c r="O113" s="40" t="s">
        <v>152</v>
      </c>
      <c r="P113" s="57">
        <v>46121.0</v>
      </c>
      <c r="Q113" s="57"/>
      <c r="R113" s="40" t="s">
        <v>225</v>
      </c>
      <c r="S113" s="40" t="str">
        <f t="array" ref="S113">IF(C113="","",IFERROR(_xlfn.XLOOKUP(C113,Volunteers!D:D,Volunteers!A:A),""))</f>
        <v>005</v>
      </c>
      <c r="T113" s="40">
        <v>5.78703125E-4</v>
      </c>
    </row>
    <row r="114">
      <c r="A114" s="52">
        <v>46118.0</v>
      </c>
      <c r="B114" s="28" t="s">
        <v>199</v>
      </c>
      <c r="C114" s="28" t="s">
        <v>200</v>
      </c>
      <c r="D114" s="28" t="s">
        <v>33</v>
      </c>
      <c r="E114" s="28" t="s">
        <v>32</v>
      </c>
      <c r="F114" s="28" t="s">
        <v>44</v>
      </c>
      <c r="G114" s="53">
        <v>0.4895833333333333</v>
      </c>
      <c r="H114" s="53">
        <v>0.5041666666666667</v>
      </c>
      <c r="I114" s="31">
        <v>0.014583333333333332</v>
      </c>
      <c r="J114" s="54">
        <v>0.35</v>
      </c>
      <c r="K114" s="55" t="s">
        <v>29</v>
      </c>
      <c r="L114" s="56">
        <v>35.47</v>
      </c>
      <c r="M114" s="56">
        <v>12.414499999999999</v>
      </c>
      <c r="N114" s="28" t="s">
        <v>224</v>
      </c>
      <c r="O114" s="28" t="s">
        <v>152</v>
      </c>
      <c r="P114" s="52">
        <v>46118.0</v>
      </c>
      <c r="Q114" s="52"/>
      <c r="R114" s="28" t="s">
        <v>225</v>
      </c>
      <c r="S114" s="28" t="str">
        <f t="array" ref="S114">IF(C114="","",IFERROR(_xlfn.XLOOKUP(C114,Volunteers!D:D,Volunteers!A:A),""))</f>
        <v>005</v>
      </c>
      <c r="T114" s="28">
        <v>6.076388888888888E-4</v>
      </c>
    </row>
    <row r="115">
      <c r="A115" s="57">
        <v>46117.0</v>
      </c>
      <c r="B115" s="41" t="s">
        <v>199</v>
      </c>
      <c r="C115" s="40" t="s">
        <v>197</v>
      </c>
      <c r="D115" s="41" t="s">
        <v>304</v>
      </c>
      <c r="E115" s="40" t="s">
        <v>32</v>
      </c>
      <c r="F115" s="40" t="s">
        <v>44</v>
      </c>
      <c r="G115" s="58">
        <v>0.5</v>
      </c>
      <c r="H115" s="58">
        <v>0.5625</v>
      </c>
      <c r="I115" s="51">
        <v>0.0625</v>
      </c>
      <c r="J115" s="54">
        <v>1.5</v>
      </c>
      <c r="K115" s="55" t="s">
        <v>29</v>
      </c>
      <c r="L115" s="56">
        <v>35.47</v>
      </c>
      <c r="M115" s="56">
        <v>53.205</v>
      </c>
      <c r="N115" s="40" t="s">
        <v>195</v>
      </c>
      <c r="O115" s="40" t="s">
        <v>152</v>
      </c>
      <c r="P115" s="57">
        <v>46117.0</v>
      </c>
      <c r="Q115" s="57"/>
      <c r="R115" s="40" t="s">
        <v>198</v>
      </c>
      <c r="S115" s="40" t="str">
        <f t="array" ref="S115">IF(C115="","",IFERROR(_xlfn.XLOOKUP(C115,Volunteers!D:D,Volunteers!A:A),""))</f>
        <v>011</v>
      </c>
      <c r="T115" s="40">
        <v>0.0026041666666666665</v>
      </c>
    </row>
    <row r="116">
      <c r="A116" s="52">
        <v>46117.0</v>
      </c>
      <c r="B116" s="26" t="s">
        <v>199</v>
      </c>
      <c r="C116" s="28" t="s">
        <v>194</v>
      </c>
      <c r="D116" s="26" t="s">
        <v>304</v>
      </c>
      <c r="E116" s="28" t="s">
        <v>32</v>
      </c>
      <c r="F116" s="28" t="s">
        <v>44</v>
      </c>
      <c r="G116" s="53">
        <v>0.5</v>
      </c>
      <c r="H116" s="53">
        <v>0.5833333333333334</v>
      </c>
      <c r="I116" s="31">
        <v>0.08333333333333333</v>
      </c>
      <c r="J116" s="54">
        <v>2.0</v>
      </c>
      <c r="K116" s="55" t="s">
        <v>29</v>
      </c>
      <c r="L116" s="56">
        <v>35.47</v>
      </c>
      <c r="M116" s="56">
        <v>70.94</v>
      </c>
      <c r="N116" s="28" t="s">
        <v>195</v>
      </c>
      <c r="O116" s="28" t="s">
        <v>152</v>
      </c>
      <c r="P116" s="52">
        <v>46117.0</v>
      </c>
      <c r="Q116" s="52"/>
      <c r="R116" s="28" t="s">
        <v>32</v>
      </c>
      <c r="S116" s="28" t="str">
        <f t="array" ref="S116">IF(C116="","",IFERROR(_xlfn.XLOOKUP(C116,Volunteers!D:D,Volunteers!A:A),""))</f>
        <v>014</v>
      </c>
      <c r="T116" s="28">
        <v>0.003472222222222222</v>
      </c>
    </row>
    <row r="117">
      <c r="A117" s="57">
        <v>46116.0</v>
      </c>
      <c r="B117" s="40" t="s">
        <v>199</v>
      </c>
      <c r="C117" s="40" t="s">
        <v>200</v>
      </c>
      <c r="D117" s="40" t="s">
        <v>33</v>
      </c>
      <c r="E117" s="40" t="s">
        <v>32</v>
      </c>
      <c r="F117" s="40" t="s">
        <v>44</v>
      </c>
      <c r="G117" s="58">
        <v>0.8361111111111111</v>
      </c>
      <c r="H117" s="58">
        <v>0.8680555555555556</v>
      </c>
      <c r="I117" s="51">
        <v>0.031944458333333335</v>
      </c>
      <c r="J117" s="54">
        <v>0.766667</v>
      </c>
      <c r="K117" s="55" t="s">
        <v>29</v>
      </c>
      <c r="L117" s="56">
        <v>35.47</v>
      </c>
      <c r="M117" s="56">
        <v>27.19367849</v>
      </c>
      <c r="N117" s="40" t="s">
        <v>224</v>
      </c>
      <c r="O117" s="40" t="s">
        <v>152</v>
      </c>
      <c r="P117" s="57">
        <v>46116.0</v>
      </c>
      <c r="Q117" s="57"/>
      <c r="R117" s="40" t="s">
        <v>225</v>
      </c>
      <c r="S117" s="40" t="str">
        <f t="array" ref="S117">IF(C117="","",IFERROR(_xlfn.XLOOKUP(C117,Volunteers!D:D,Volunteers!A:A),""))</f>
        <v>005</v>
      </c>
      <c r="T117" s="40">
        <v>0.0013310190972222224</v>
      </c>
    </row>
    <row r="118">
      <c r="A118" s="52">
        <v>46116.0</v>
      </c>
      <c r="B118" s="28" t="s">
        <v>199</v>
      </c>
      <c r="C118" s="28" t="s">
        <v>200</v>
      </c>
      <c r="D118" s="28" t="s">
        <v>33</v>
      </c>
      <c r="E118" s="28" t="s">
        <v>32</v>
      </c>
      <c r="F118" s="28" t="s">
        <v>44</v>
      </c>
      <c r="G118" s="53">
        <v>0.5</v>
      </c>
      <c r="H118" s="53">
        <v>0.5833333333333334</v>
      </c>
      <c r="I118" s="31">
        <v>0.08333333333333333</v>
      </c>
      <c r="J118" s="54">
        <v>2.0</v>
      </c>
      <c r="K118" s="55" t="s">
        <v>29</v>
      </c>
      <c r="L118" s="56">
        <v>35.47</v>
      </c>
      <c r="M118" s="56">
        <v>70.94</v>
      </c>
      <c r="N118" s="28" t="s">
        <v>201</v>
      </c>
      <c r="O118" s="28" t="s">
        <v>152</v>
      </c>
      <c r="P118" s="52">
        <v>46116.0</v>
      </c>
      <c r="Q118" s="52"/>
      <c r="R118" s="28" t="s">
        <v>225</v>
      </c>
      <c r="S118" s="28" t="str">
        <f t="array" ref="S118">IF(C118="","",IFERROR(_xlfn.XLOOKUP(C118,Volunteers!D:D,Volunteers!A:A),""))</f>
        <v>005</v>
      </c>
      <c r="T118" s="28">
        <v>0.003472222222222222</v>
      </c>
    </row>
    <row r="119">
      <c r="A119" s="57">
        <v>46116.0</v>
      </c>
      <c r="B119" s="40" t="s">
        <v>185</v>
      </c>
      <c r="C119" s="40" t="s">
        <v>186</v>
      </c>
      <c r="D119" s="40" t="s">
        <v>53</v>
      </c>
      <c r="E119" s="40" t="s">
        <v>42</v>
      </c>
      <c r="F119" s="40" t="s">
        <v>44</v>
      </c>
      <c r="G119" s="58">
        <v>0.4263888888888889</v>
      </c>
      <c r="H119" s="58">
        <v>0.4583333333333333</v>
      </c>
      <c r="I119" s="51">
        <v>0.031944458333333335</v>
      </c>
      <c r="J119" s="54">
        <v>0.766667</v>
      </c>
      <c r="K119" s="55" t="s">
        <v>29</v>
      </c>
      <c r="L119" s="56">
        <v>35.47</v>
      </c>
      <c r="M119" s="56">
        <v>27.19367849</v>
      </c>
      <c r="N119" s="40" t="s">
        <v>187</v>
      </c>
      <c r="O119" s="40" t="s">
        <v>152</v>
      </c>
      <c r="P119" s="57">
        <v>46116.0</v>
      </c>
      <c r="Q119" s="57"/>
      <c r="R119" s="40" t="s">
        <v>204</v>
      </c>
      <c r="S119" s="40" t="str">
        <f t="array" ref="S119">IF(C119="","",IFERROR(_xlfn.XLOOKUP(C119,Volunteers!D:D,Volunteers!A:A),""))</f>
        <v>002</v>
      </c>
      <c r="T119" s="40">
        <v>0.0013310190972222224</v>
      </c>
    </row>
    <row r="120">
      <c r="A120" s="52">
        <v>46115.0</v>
      </c>
      <c r="B120" s="28" t="s">
        <v>185</v>
      </c>
      <c r="C120" s="28" t="s">
        <v>186</v>
      </c>
      <c r="D120" s="28" t="s">
        <v>53</v>
      </c>
      <c r="E120" s="28" t="s">
        <v>42</v>
      </c>
      <c r="F120" s="28" t="s">
        <v>44</v>
      </c>
      <c r="G120" s="53">
        <v>0.9444444444444444</v>
      </c>
      <c r="H120" s="53">
        <v>0.9909722222222223</v>
      </c>
      <c r="I120" s="31">
        <v>0.04652779166666667</v>
      </c>
      <c r="J120" s="54">
        <v>1.116667</v>
      </c>
      <c r="K120" s="55" t="s">
        <v>29</v>
      </c>
      <c r="L120" s="56">
        <v>35.47</v>
      </c>
      <c r="M120" s="56">
        <v>39.60817849</v>
      </c>
      <c r="N120" s="28" t="s">
        <v>187</v>
      </c>
      <c r="O120" s="28" t="s">
        <v>152</v>
      </c>
      <c r="P120" s="52">
        <v>46115.0</v>
      </c>
      <c r="Q120" s="52"/>
      <c r="R120" s="28" t="s">
        <v>305</v>
      </c>
      <c r="S120" s="28" t="str">
        <f t="array" ref="S120">IF(C120="","",IFERROR(_xlfn.XLOOKUP(C120,Volunteers!D:D,Volunteers!A:A),""))</f>
        <v>002</v>
      </c>
      <c r="T120" s="28">
        <v>0.0019386579861111113</v>
      </c>
    </row>
    <row r="121">
      <c r="A121" s="57">
        <v>46114.0</v>
      </c>
      <c r="B121" s="40" t="s">
        <v>185</v>
      </c>
      <c r="C121" s="40" t="s">
        <v>175</v>
      </c>
      <c r="D121" s="40" t="s">
        <v>53</v>
      </c>
      <c r="E121" s="40" t="s">
        <v>42</v>
      </c>
      <c r="F121" s="40" t="s">
        <v>44</v>
      </c>
      <c r="G121" s="58">
        <v>0.8333333333333334</v>
      </c>
      <c r="H121" s="58">
        <v>0.8395833333333333</v>
      </c>
      <c r="I121" s="51">
        <v>0.0062499999999999995</v>
      </c>
      <c r="J121" s="54">
        <v>0.15</v>
      </c>
      <c r="K121" s="55" t="s">
        <v>29</v>
      </c>
      <c r="L121" s="56">
        <v>35.47</v>
      </c>
      <c r="M121" s="56">
        <v>5.3205</v>
      </c>
      <c r="N121" s="40" t="s">
        <v>217</v>
      </c>
      <c r="O121" s="40" t="s">
        <v>152</v>
      </c>
      <c r="P121" s="57">
        <v>46114.0</v>
      </c>
      <c r="Q121" s="57"/>
      <c r="R121" s="40" t="s">
        <v>230</v>
      </c>
      <c r="S121" s="40" t="str">
        <f t="array" ref="S121">IF(C121="","",IFERROR(_xlfn.XLOOKUP(C121,Volunteers!D:D,Volunteers!A:A),""))</f>
        <v>003</v>
      </c>
      <c r="T121" s="40">
        <v>2.6041666666666666E-4</v>
      </c>
    </row>
    <row r="122">
      <c r="A122" s="52">
        <v>46114.0</v>
      </c>
      <c r="B122" s="28" t="s">
        <v>185</v>
      </c>
      <c r="C122" s="28" t="s">
        <v>186</v>
      </c>
      <c r="D122" s="28" t="s">
        <v>53</v>
      </c>
      <c r="E122" s="28" t="s">
        <v>42</v>
      </c>
      <c r="F122" s="28" t="s">
        <v>44</v>
      </c>
      <c r="G122" s="53">
        <v>0.4673611111111111</v>
      </c>
      <c r="H122" s="53">
        <v>0.4826388888888889</v>
      </c>
      <c r="I122" s="31">
        <v>0.015277791666666667</v>
      </c>
      <c r="J122" s="54">
        <v>0.366667</v>
      </c>
      <c r="K122" s="55" t="s">
        <v>29</v>
      </c>
      <c r="L122" s="56">
        <v>35.47</v>
      </c>
      <c r="M122" s="56">
        <v>13.005678490000001</v>
      </c>
      <c r="N122" s="28" t="s">
        <v>187</v>
      </c>
      <c r="O122" s="28" t="s">
        <v>152</v>
      </c>
      <c r="P122" s="52">
        <v>46114.0</v>
      </c>
      <c r="Q122" s="52"/>
      <c r="R122" s="28" t="s">
        <v>306</v>
      </c>
      <c r="S122" s="28" t="str">
        <f t="array" ref="S122">IF(C122="","",IFERROR(_xlfn.XLOOKUP(C122,Volunteers!D:D,Volunteers!A:A),""))</f>
        <v>002</v>
      </c>
      <c r="T122" s="28">
        <v>6.365746527777778E-4</v>
      </c>
    </row>
    <row r="123">
      <c r="A123" s="57">
        <v>46113.0</v>
      </c>
      <c r="B123" s="40" t="s">
        <v>164</v>
      </c>
      <c r="C123" s="40" t="s">
        <v>165</v>
      </c>
      <c r="D123" s="40" t="s">
        <v>65</v>
      </c>
      <c r="E123" s="41" t="s">
        <v>48</v>
      </c>
      <c r="F123" s="40" t="s">
        <v>44</v>
      </c>
      <c r="G123" s="58">
        <v>0.8673611111111111</v>
      </c>
      <c r="H123" s="58">
        <v>0.49236111111111114</v>
      </c>
      <c r="I123" s="51">
        <v>41.625</v>
      </c>
      <c r="J123" s="54">
        <v>999.0</v>
      </c>
      <c r="K123" s="55" t="s">
        <v>29</v>
      </c>
      <c r="L123" s="56">
        <v>35.47</v>
      </c>
      <c r="M123" s="56">
        <v>35434.53</v>
      </c>
      <c r="N123" s="40" t="s">
        <v>168</v>
      </c>
      <c r="O123" s="40" t="s">
        <v>152</v>
      </c>
      <c r="P123" s="57">
        <v>46113.0</v>
      </c>
      <c r="Q123" s="57"/>
      <c r="R123" s="40" t="s">
        <v>307</v>
      </c>
      <c r="S123" s="40" t="str">
        <f t="array" ref="S123">IF(C123="","",IFERROR(_xlfn.XLOOKUP(C123,Volunteers!D:D,Volunteers!A:A),""))</f>
        <v>001</v>
      </c>
      <c r="T123" s="40">
        <v>1.734375</v>
      </c>
    </row>
    <row r="124">
      <c r="A124" s="52">
        <v>46113.0</v>
      </c>
      <c r="B124" s="28" t="s">
        <v>164</v>
      </c>
      <c r="C124" s="28" t="s">
        <v>277</v>
      </c>
      <c r="D124" s="28" t="s">
        <v>65</v>
      </c>
      <c r="E124" s="28" t="s">
        <v>42</v>
      </c>
      <c r="F124" s="28" t="s">
        <v>44</v>
      </c>
      <c r="G124" s="53">
        <v>0.7916666666666666</v>
      </c>
      <c r="H124" s="53">
        <v>0.8333333333333334</v>
      </c>
      <c r="I124" s="31">
        <v>0.041666666666666664</v>
      </c>
      <c r="J124" s="54">
        <v>1.0</v>
      </c>
      <c r="K124" s="55" t="s">
        <v>179</v>
      </c>
      <c r="L124" s="56" t="s">
        <v>179</v>
      </c>
      <c r="M124" s="56" t="s">
        <v>179</v>
      </c>
      <c r="N124" s="28" t="s">
        <v>187</v>
      </c>
      <c r="O124" s="28" t="s">
        <v>152</v>
      </c>
      <c r="P124" s="52">
        <v>46113.0</v>
      </c>
      <c r="Q124" s="52"/>
      <c r="R124" s="28" t="s">
        <v>308</v>
      </c>
      <c r="S124" s="28" t="str">
        <f t="array" ref="S124">IF(C124="","",IFERROR(_xlfn.XLOOKUP(C124,Volunteers!D:D,Volunteers!A:A),""))</f>
        <v/>
      </c>
      <c r="T124" s="28">
        <v>0.001736111111111111</v>
      </c>
    </row>
    <row r="125">
      <c r="A125" s="57">
        <v>46113.0</v>
      </c>
      <c r="B125" s="40" t="s">
        <v>164</v>
      </c>
      <c r="C125" s="40" t="s">
        <v>165</v>
      </c>
      <c r="D125" s="40" t="s">
        <v>65</v>
      </c>
      <c r="E125" s="41" t="s">
        <v>48</v>
      </c>
      <c r="F125" s="40" t="s">
        <v>44</v>
      </c>
      <c r="G125" s="58">
        <v>0.6173611111111111</v>
      </c>
      <c r="H125" s="58">
        <v>0.2423611111111111</v>
      </c>
      <c r="I125" s="51">
        <v>41.625</v>
      </c>
      <c r="J125" s="54">
        <v>999.0</v>
      </c>
      <c r="K125" s="55" t="s">
        <v>29</v>
      </c>
      <c r="L125" s="56">
        <v>35.47</v>
      </c>
      <c r="M125" s="56">
        <v>35434.53</v>
      </c>
      <c r="N125" s="40" t="s">
        <v>168</v>
      </c>
      <c r="O125" s="40" t="s">
        <v>152</v>
      </c>
      <c r="P125" s="57">
        <v>46113.0</v>
      </c>
      <c r="Q125" s="57"/>
      <c r="R125" s="40" t="s">
        <v>307</v>
      </c>
      <c r="S125" s="40" t="str">
        <f t="array" ref="S125">IF(C125="","",IFERROR(_xlfn.XLOOKUP(C125,Volunteers!D:D,Volunteers!A:A),""))</f>
        <v>001</v>
      </c>
      <c r="T125" s="40">
        <v>1.734375</v>
      </c>
    </row>
    <row r="126">
      <c r="A126" s="52">
        <v>46113.0</v>
      </c>
      <c r="B126" s="28" t="s">
        <v>164</v>
      </c>
      <c r="C126" s="28" t="s">
        <v>165</v>
      </c>
      <c r="D126" s="28" t="s">
        <v>65</v>
      </c>
      <c r="E126" s="26" t="s">
        <v>48</v>
      </c>
      <c r="F126" s="28" t="s">
        <v>44</v>
      </c>
      <c r="G126" s="53">
        <v>0.49236111111111114</v>
      </c>
      <c r="H126" s="53">
        <v>0.32569444444444445</v>
      </c>
      <c r="I126" s="31">
        <v>35.833333333333336</v>
      </c>
      <c r="J126" s="54">
        <v>860.0</v>
      </c>
      <c r="K126" s="55" t="s">
        <v>29</v>
      </c>
      <c r="L126" s="56">
        <v>35.47</v>
      </c>
      <c r="M126" s="56">
        <v>30504.2</v>
      </c>
      <c r="N126" s="28" t="s">
        <v>168</v>
      </c>
      <c r="O126" s="28" t="s">
        <v>152</v>
      </c>
      <c r="P126" s="52">
        <v>46113.0</v>
      </c>
      <c r="Q126" s="52"/>
      <c r="R126" s="28" t="s">
        <v>307</v>
      </c>
      <c r="S126" s="28" t="str">
        <f t="array" ref="S126">IF(C126="","",IFERROR(_xlfn.XLOOKUP(C126,Volunteers!D:D,Volunteers!A:A),""))</f>
        <v>001</v>
      </c>
      <c r="T126" s="28">
        <v>1.4930555555555556</v>
      </c>
    </row>
    <row r="127">
      <c r="A127" s="57">
        <v>46113.0</v>
      </c>
      <c r="B127" s="40" t="s">
        <v>164</v>
      </c>
      <c r="C127" s="40" t="s">
        <v>165</v>
      </c>
      <c r="D127" s="40" t="s">
        <v>65</v>
      </c>
      <c r="E127" s="41" t="s">
        <v>48</v>
      </c>
      <c r="F127" s="40" t="s">
        <v>44</v>
      </c>
      <c r="G127" s="58">
        <v>0.2423611111111111</v>
      </c>
      <c r="H127" s="58">
        <v>0.8673611111111111</v>
      </c>
      <c r="I127" s="51">
        <v>41.625</v>
      </c>
      <c r="J127" s="54">
        <v>999.0</v>
      </c>
      <c r="K127" s="55" t="s">
        <v>29</v>
      </c>
      <c r="L127" s="56">
        <v>35.47</v>
      </c>
      <c r="M127" s="56">
        <v>35434.53</v>
      </c>
      <c r="N127" s="40" t="s">
        <v>168</v>
      </c>
      <c r="O127" s="40" t="s">
        <v>152</v>
      </c>
      <c r="P127" s="57">
        <v>46113.0</v>
      </c>
      <c r="Q127" s="57"/>
      <c r="R127" s="40" t="s">
        <v>307</v>
      </c>
      <c r="S127" s="40" t="str">
        <f t="array" ref="S127">IF(C127="","",IFERROR(_xlfn.XLOOKUP(C127,Volunteers!D:D,Volunteers!A:A),""))</f>
        <v>001</v>
      </c>
      <c r="T127" s="40">
        <v>1.734375</v>
      </c>
    </row>
    <row r="128">
      <c r="A128" s="52">
        <v>46113.0</v>
      </c>
      <c r="B128" s="28" t="s">
        <v>64</v>
      </c>
      <c r="C128" s="28" t="s">
        <v>170</v>
      </c>
      <c r="D128" s="28" t="s">
        <v>60</v>
      </c>
      <c r="E128" s="28" t="s">
        <v>42</v>
      </c>
      <c r="F128" s="28" t="s">
        <v>44</v>
      </c>
      <c r="G128" s="53">
        <v>0.11805555555555555</v>
      </c>
      <c r="H128" s="53">
        <v>0.5347222222222222</v>
      </c>
      <c r="I128" s="31">
        <v>0.4166666666666667</v>
      </c>
      <c r="J128" s="54">
        <v>10.0</v>
      </c>
      <c r="K128" s="55" t="s">
        <v>29</v>
      </c>
      <c r="L128" s="56">
        <v>35.47</v>
      </c>
      <c r="M128" s="56">
        <v>354.7</v>
      </c>
      <c r="N128" s="28" t="s">
        <v>151</v>
      </c>
      <c r="O128" s="28" t="s">
        <v>152</v>
      </c>
      <c r="P128" s="52">
        <v>46113.0</v>
      </c>
      <c r="Q128" s="52"/>
      <c r="R128" s="28" t="s">
        <v>309</v>
      </c>
      <c r="S128" s="28" t="str">
        <f t="array" ref="S128">IF(C128="","",IFERROR(_xlfn.XLOOKUP(C128,Volunteers!D:D,Volunteers!A:A),""))</f>
        <v>007</v>
      </c>
      <c r="T128" s="28">
        <v>0.017361111111111112</v>
      </c>
    </row>
    <row r="129">
      <c r="A129" s="57">
        <v>46173.0</v>
      </c>
      <c r="B129" s="40" t="s">
        <v>164</v>
      </c>
      <c r="C129" s="40" t="s">
        <v>165</v>
      </c>
      <c r="D129" s="40" t="s">
        <v>65</v>
      </c>
      <c r="E129" s="41" t="s">
        <v>48</v>
      </c>
      <c r="F129" s="40" t="s">
        <v>44</v>
      </c>
      <c r="G129" s="58">
        <v>0.6104166666666667</v>
      </c>
      <c r="H129" s="58">
        <v>0.23541666666666666</v>
      </c>
      <c r="I129" s="51">
        <v>41.625</v>
      </c>
      <c r="J129" s="54">
        <v>999.0</v>
      </c>
      <c r="K129" s="55" t="s">
        <v>29</v>
      </c>
      <c r="L129" s="56">
        <v>35.47</v>
      </c>
      <c r="M129" s="56">
        <v>35434.53</v>
      </c>
      <c r="N129" s="40" t="s">
        <v>168</v>
      </c>
      <c r="O129" s="40" t="s">
        <v>152</v>
      </c>
      <c r="P129" s="57">
        <v>46173.0</v>
      </c>
      <c r="Q129" s="57"/>
      <c r="R129" s="40" t="s">
        <v>310</v>
      </c>
      <c r="S129" s="40" t="str">
        <f t="array" ref="S129">IF(C129="","",IFERROR(_xlfn.XLOOKUP(C129,Volunteers!D:D,Volunteers!A:A),""))</f>
        <v>001</v>
      </c>
      <c r="T129" s="40">
        <v>1.734375</v>
      </c>
    </row>
    <row r="130">
      <c r="A130" s="52">
        <v>46173.0</v>
      </c>
      <c r="B130" s="28" t="s">
        <v>164</v>
      </c>
      <c r="C130" s="28" t="s">
        <v>165</v>
      </c>
      <c r="D130" s="28" t="s">
        <v>65</v>
      </c>
      <c r="E130" s="26" t="s">
        <v>48</v>
      </c>
      <c r="F130" s="28" t="s">
        <v>44</v>
      </c>
      <c r="G130" s="53">
        <v>0.23541666666666666</v>
      </c>
      <c r="H130" s="53">
        <v>0.5270833333333333</v>
      </c>
      <c r="I130" s="31">
        <v>12.291666666666666</v>
      </c>
      <c r="J130" s="54">
        <v>295.0</v>
      </c>
      <c r="K130" s="55" t="s">
        <v>29</v>
      </c>
      <c r="L130" s="56">
        <v>35.47</v>
      </c>
      <c r="M130" s="56">
        <v>10463.65</v>
      </c>
      <c r="N130" s="28" t="s">
        <v>168</v>
      </c>
      <c r="O130" s="28" t="s">
        <v>152</v>
      </c>
      <c r="P130" s="52">
        <v>46173.0</v>
      </c>
      <c r="Q130" s="52"/>
      <c r="R130" s="28" t="s">
        <v>311</v>
      </c>
      <c r="S130" s="28" t="str">
        <f t="array" ref="S130">IF(C130="","",IFERROR(_xlfn.XLOOKUP(C130,Volunteers!D:D,Volunteers!A:A),""))</f>
        <v>001</v>
      </c>
      <c r="T130" s="28">
        <v>0.5121527777777778</v>
      </c>
    </row>
    <row r="131">
      <c r="A131" s="57">
        <v>46172.0</v>
      </c>
      <c r="B131" s="40" t="s">
        <v>64</v>
      </c>
      <c r="C131" s="40" t="s">
        <v>170</v>
      </c>
      <c r="D131" s="40" t="s">
        <v>60</v>
      </c>
      <c r="E131" s="40" t="s">
        <v>48</v>
      </c>
      <c r="F131" s="40" t="s">
        <v>44</v>
      </c>
      <c r="G131" s="58">
        <v>0.6666666666666666</v>
      </c>
      <c r="H131" s="58">
        <v>0.5416666666666666</v>
      </c>
      <c r="I131" s="51">
        <v>6.875</v>
      </c>
      <c r="J131" s="54">
        <v>165.0</v>
      </c>
      <c r="K131" s="55" t="s">
        <v>29</v>
      </c>
      <c r="L131" s="56">
        <v>35.47</v>
      </c>
      <c r="M131" s="56">
        <v>5852.55</v>
      </c>
      <c r="N131" s="40" t="s">
        <v>172</v>
      </c>
      <c r="O131" s="40" t="s">
        <v>152</v>
      </c>
      <c r="P131" s="57">
        <v>46172.0</v>
      </c>
      <c r="Q131" s="57"/>
      <c r="R131" s="40" t="s">
        <v>184</v>
      </c>
      <c r="S131" s="40" t="str">
        <f t="array" ref="S131">IF(C131="","",IFERROR(_xlfn.XLOOKUP(C131,Volunteers!D:D,Volunteers!A:A),""))</f>
        <v>007</v>
      </c>
      <c r="T131" s="40">
        <v>0.2864583333333333</v>
      </c>
    </row>
    <row r="132">
      <c r="A132" s="52">
        <v>46172.0</v>
      </c>
      <c r="B132" s="28" t="s">
        <v>64</v>
      </c>
      <c r="C132" s="28" t="s">
        <v>170</v>
      </c>
      <c r="D132" s="28" t="s">
        <v>60</v>
      </c>
      <c r="E132" s="28" t="s">
        <v>48</v>
      </c>
      <c r="F132" s="28" t="s">
        <v>44</v>
      </c>
      <c r="G132" s="53">
        <v>0.375</v>
      </c>
      <c r="H132" s="53">
        <v>0.4791666666666667</v>
      </c>
      <c r="I132" s="31">
        <v>5.104166666666667</v>
      </c>
      <c r="J132" s="54">
        <v>122.5</v>
      </c>
      <c r="K132" s="55" t="s">
        <v>29</v>
      </c>
      <c r="L132" s="56">
        <v>35.47</v>
      </c>
      <c r="M132" s="56">
        <v>4345.075</v>
      </c>
      <c r="N132" s="28" t="s">
        <v>172</v>
      </c>
      <c r="O132" s="28" t="s">
        <v>152</v>
      </c>
      <c r="P132" s="52">
        <v>46172.0</v>
      </c>
      <c r="Q132" s="52"/>
      <c r="R132" s="28" t="s">
        <v>173</v>
      </c>
      <c r="S132" s="28" t="str">
        <f t="array" ref="S132">IF(C132="","",IFERROR(_xlfn.XLOOKUP(C132,Volunteers!D:D,Volunteers!A:A),""))</f>
        <v>007</v>
      </c>
      <c r="T132" s="28">
        <v>0.21267361111111113</v>
      </c>
    </row>
    <row r="133">
      <c r="A133" s="57">
        <v>46168.0</v>
      </c>
      <c r="B133" s="40" t="s">
        <v>199</v>
      </c>
      <c r="C133" s="40" t="s">
        <v>200</v>
      </c>
      <c r="D133" s="40" t="s">
        <v>33</v>
      </c>
      <c r="E133" s="40" t="s">
        <v>32</v>
      </c>
      <c r="F133" s="40" t="s">
        <v>44</v>
      </c>
      <c r="G133" s="58">
        <v>0.4618055555555556</v>
      </c>
      <c r="H133" s="58">
        <v>0.4826388888888889</v>
      </c>
      <c r="I133" s="51">
        <v>0.020833333333333332</v>
      </c>
      <c r="J133" s="54">
        <v>0.5</v>
      </c>
      <c r="K133" s="55" t="s">
        <v>29</v>
      </c>
      <c r="L133" s="56">
        <v>35.47</v>
      </c>
      <c r="M133" s="56">
        <v>17.735</v>
      </c>
      <c r="N133" s="40" t="s">
        <v>224</v>
      </c>
      <c r="O133" s="40" t="s">
        <v>152</v>
      </c>
      <c r="P133" s="57">
        <v>46168.0</v>
      </c>
      <c r="Q133" s="57"/>
      <c r="R133" s="40" t="s">
        <v>225</v>
      </c>
      <c r="S133" s="40" t="str">
        <f t="array" ref="S133">IF(C133="","",IFERROR(_xlfn.XLOOKUP(C133,Volunteers!D:D,Volunteers!A:A),""))</f>
        <v>005</v>
      </c>
      <c r="T133" s="40">
        <v>8.680555555555555E-4</v>
      </c>
    </row>
    <row r="134">
      <c r="A134" s="52">
        <v>46165.0</v>
      </c>
      <c r="B134" s="28" t="s">
        <v>64</v>
      </c>
      <c r="C134" s="28" t="s">
        <v>170</v>
      </c>
      <c r="D134" s="28" t="s">
        <v>60</v>
      </c>
      <c r="E134" s="28" t="s">
        <v>48</v>
      </c>
      <c r="F134" s="28" t="s">
        <v>44</v>
      </c>
      <c r="G134" s="53">
        <v>0.375</v>
      </c>
      <c r="H134" s="53">
        <v>0.9513888888888888</v>
      </c>
      <c r="I134" s="31">
        <v>6.576388875</v>
      </c>
      <c r="J134" s="54">
        <v>157.833333</v>
      </c>
      <c r="K134" s="55" t="s">
        <v>29</v>
      </c>
      <c r="L134" s="56">
        <v>35.47</v>
      </c>
      <c r="M134" s="56">
        <v>5598.3483215100005</v>
      </c>
      <c r="N134" s="28" t="s">
        <v>172</v>
      </c>
      <c r="O134" s="28" t="s">
        <v>152</v>
      </c>
      <c r="P134" s="52">
        <v>46165.0</v>
      </c>
      <c r="Q134" s="52"/>
      <c r="R134" s="28" t="s">
        <v>173</v>
      </c>
      <c r="S134" s="28" t="str">
        <f t="array" ref="S134">IF(C134="","",IFERROR(_xlfn.XLOOKUP(C134,Volunteers!D:D,Volunteers!A:A),""))</f>
        <v>007</v>
      </c>
      <c r="T134" s="28">
        <v>0.274016203125</v>
      </c>
    </row>
    <row r="135">
      <c r="A135" s="57">
        <v>46162.0</v>
      </c>
      <c r="B135" s="40" t="s">
        <v>199</v>
      </c>
      <c r="C135" s="40" t="s">
        <v>200</v>
      </c>
      <c r="D135" s="40" t="s">
        <v>33</v>
      </c>
      <c r="E135" s="40" t="s">
        <v>32</v>
      </c>
      <c r="F135" s="40" t="s">
        <v>44</v>
      </c>
      <c r="G135" s="58">
        <v>0.9472222222222222</v>
      </c>
      <c r="H135" s="58">
        <v>0.009722222222222222</v>
      </c>
      <c r="I135" s="51">
        <v>0.0625</v>
      </c>
      <c r="J135" s="54">
        <v>1.5</v>
      </c>
      <c r="K135" s="55" t="s">
        <v>29</v>
      </c>
      <c r="L135" s="56">
        <v>35.47</v>
      </c>
      <c r="M135" s="56">
        <v>53.205</v>
      </c>
      <c r="N135" s="40" t="s">
        <v>224</v>
      </c>
      <c r="O135" s="40" t="s">
        <v>152</v>
      </c>
      <c r="P135" s="57">
        <v>46162.0</v>
      </c>
      <c r="Q135" s="57"/>
      <c r="R135" s="40" t="s">
        <v>225</v>
      </c>
      <c r="S135" s="40" t="str">
        <f t="array" ref="S135">IF(C135="","",IFERROR(_xlfn.XLOOKUP(C135,Volunteers!D:D,Volunteers!A:A),""))</f>
        <v>005</v>
      </c>
      <c r="T135" s="40">
        <v>0.0026041666666666665</v>
      </c>
    </row>
    <row r="136">
      <c r="A136" s="52">
        <v>46160.0</v>
      </c>
      <c r="B136" s="28" t="s">
        <v>199</v>
      </c>
      <c r="C136" s="28" t="s">
        <v>200</v>
      </c>
      <c r="D136" s="28" t="s">
        <v>33</v>
      </c>
      <c r="E136" s="28" t="s">
        <v>32</v>
      </c>
      <c r="F136" s="28" t="s">
        <v>44</v>
      </c>
      <c r="G136" s="53">
        <v>0.9409722222222222</v>
      </c>
      <c r="H136" s="53">
        <v>0.9548611111111112</v>
      </c>
      <c r="I136" s="31">
        <v>0.013888875</v>
      </c>
      <c r="J136" s="54">
        <v>0.333333</v>
      </c>
      <c r="K136" s="55" t="s">
        <v>29</v>
      </c>
      <c r="L136" s="56">
        <v>35.47</v>
      </c>
      <c r="M136" s="56">
        <v>11.82332151</v>
      </c>
      <c r="N136" s="28" t="s">
        <v>224</v>
      </c>
      <c r="O136" s="28" t="s">
        <v>152</v>
      </c>
      <c r="P136" s="52">
        <v>46160.0</v>
      </c>
      <c r="Q136" s="52"/>
      <c r="R136" s="28" t="s">
        <v>225</v>
      </c>
      <c r="S136" s="28" t="str">
        <f t="array" ref="S136">IF(C136="","",IFERROR(_xlfn.XLOOKUP(C136,Volunteers!D:D,Volunteers!A:A),""))</f>
        <v>005</v>
      </c>
      <c r="T136" s="28">
        <v>5.78703125E-4</v>
      </c>
    </row>
    <row r="137">
      <c r="A137" s="57">
        <v>46158.0</v>
      </c>
      <c r="B137" s="40" t="s">
        <v>64</v>
      </c>
      <c r="C137" s="40" t="s">
        <v>170</v>
      </c>
      <c r="D137" s="40" t="s">
        <v>60</v>
      </c>
      <c r="E137" s="40" t="s">
        <v>48</v>
      </c>
      <c r="F137" s="40" t="s">
        <v>44</v>
      </c>
      <c r="G137" s="58">
        <v>0.375</v>
      </c>
      <c r="H137" s="58">
        <v>0.375</v>
      </c>
      <c r="I137" s="51">
        <v>5.0</v>
      </c>
      <c r="J137" s="54">
        <v>120.0</v>
      </c>
      <c r="K137" s="55" t="s">
        <v>29</v>
      </c>
      <c r="L137" s="56">
        <v>35.47</v>
      </c>
      <c r="M137" s="56">
        <v>4256.4</v>
      </c>
      <c r="N137" s="40" t="s">
        <v>172</v>
      </c>
      <c r="O137" s="40" t="s">
        <v>152</v>
      </c>
      <c r="P137" s="57">
        <v>46158.0</v>
      </c>
      <c r="Q137" s="57"/>
      <c r="R137" s="40" t="s">
        <v>173</v>
      </c>
      <c r="S137" s="40" t="str">
        <f t="array" ref="S137">IF(C137="","",IFERROR(_xlfn.XLOOKUP(C137,Volunteers!D:D,Volunteers!A:A),""))</f>
        <v>007</v>
      </c>
      <c r="T137" s="40">
        <v>0.20833333333333334</v>
      </c>
    </row>
    <row r="138">
      <c r="A138" s="52">
        <v>46153.0</v>
      </c>
      <c r="B138" s="28" t="s">
        <v>199</v>
      </c>
      <c r="C138" s="28" t="s">
        <v>200</v>
      </c>
      <c r="D138" s="28" t="s">
        <v>33</v>
      </c>
      <c r="E138" s="28" t="s">
        <v>32</v>
      </c>
      <c r="F138" s="28" t="s">
        <v>44</v>
      </c>
      <c r="G138" s="53">
        <v>0.3715277777777778</v>
      </c>
      <c r="H138" s="53">
        <v>0.3854166666666667</v>
      </c>
      <c r="I138" s="31">
        <v>0.013888875</v>
      </c>
      <c r="J138" s="54">
        <v>0.333333</v>
      </c>
      <c r="K138" s="55" t="s">
        <v>29</v>
      </c>
      <c r="L138" s="56">
        <v>35.47</v>
      </c>
      <c r="M138" s="56">
        <v>11.82332151</v>
      </c>
      <c r="N138" s="28" t="s">
        <v>224</v>
      </c>
      <c r="O138" s="28" t="s">
        <v>152</v>
      </c>
      <c r="P138" s="52">
        <v>46153.0</v>
      </c>
      <c r="Q138" s="52"/>
      <c r="R138" s="28" t="s">
        <v>225</v>
      </c>
      <c r="S138" s="28" t="str">
        <f t="array" ref="S138">IF(C138="","",IFERROR(_xlfn.XLOOKUP(C138,Volunteers!D:D,Volunteers!A:A),""))</f>
        <v>005</v>
      </c>
      <c r="T138" s="28">
        <v>5.78703125E-4</v>
      </c>
    </row>
    <row r="139">
      <c r="A139" s="57">
        <v>46151.0</v>
      </c>
      <c r="B139" s="40" t="s">
        <v>64</v>
      </c>
      <c r="C139" s="40" t="s">
        <v>170</v>
      </c>
      <c r="D139" s="40" t="s">
        <v>60</v>
      </c>
      <c r="E139" s="40" t="s">
        <v>48</v>
      </c>
      <c r="F139" s="40" t="s">
        <v>44</v>
      </c>
      <c r="G139" s="58">
        <v>0.375</v>
      </c>
      <c r="H139" s="58">
        <v>0.4930555555555556</v>
      </c>
      <c r="I139" s="51">
        <v>5.118055541666666</v>
      </c>
      <c r="J139" s="54">
        <v>122.83333299999998</v>
      </c>
      <c r="K139" s="55" t="s">
        <v>29</v>
      </c>
      <c r="L139" s="56">
        <v>35.47</v>
      </c>
      <c r="M139" s="56">
        <v>4356.898321509999</v>
      </c>
      <c r="N139" s="40" t="s">
        <v>172</v>
      </c>
      <c r="O139" s="40" t="s">
        <v>152</v>
      </c>
      <c r="P139" s="57">
        <v>46151.0</v>
      </c>
      <c r="Q139" s="57"/>
      <c r="R139" s="40" t="s">
        <v>173</v>
      </c>
      <c r="S139" s="40" t="str">
        <f t="array" ref="S139">IF(C139="","",IFERROR(_xlfn.XLOOKUP(C139,Volunteers!D:D,Volunteers!A:A),""))</f>
        <v>007</v>
      </c>
      <c r="T139" s="40">
        <v>0.2132523142361111</v>
      </c>
    </row>
    <row r="140">
      <c r="A140" s="52">
        <v>46148.0</v>
      </c>
      <c r="B140" s="28" t="s">
        <v>199</v>
      </c>
      <c r="C140" s="28" t="s">
        <v>200</v>
      </c>
      <c r="D140" s="28" t="s">
        <v>33</v>
      </c>
      <c r="E140" s="28" t="s">
        <v>32</v>
      </c>
      <c r="F140" s="28" t="s">
        <v>44</v>
      </c>
      <c r="G140" s="53">
        <v>0.6979166666666666</v>
      </c>
      <c r="H140" s="53">
        <v>0.7291666666666666</v>
      </c>
      <c r="I140" s="31">
        <v>0.03125</v>
      </c>
      <c r="J140" s="54">
        <v>0.75</v>
      </c>
      <c r="K140" s="55" t="s">
        <v>29</v>
      </c>
      <c r="L140" s="56">
        <v>35.47</v>
      </c>
      <c r="M140" s="56">
        <v>26.6025</v>
      </c>
      <c r="N140" s="28" t="s">
        <v>224</v>
      </c>
      <c r="O140" s="28" t="s">
        <v>152</v>
      </c>
      <c r="P140" s="52">
        <v>46148.0</v>
      </c>
      <c r="Q140" s="52"/>
      <c r="R140" s="28" t="s">
        <v>225</v>
      </c>
      <c r="S140" s="28" t="str">
        <f t="array" ref="S140">IF(C140="","",IFERROR(_xlfn.XLOOKUP(C140,Volunteers!D:D,Volunteers!A:A),""))</f>
        <v>005</v>
      </c>
      <c r="T140" s="28">
        <v>0.0013020833333333333</v>
      </c>
    </row>
    <row r="141">
      <c r="A141" s="57">
        <v>46144.0</v>
      </c>
      <c r="B141" s="40" t="s">
        <v>185</v>
      </c>
      <c r="C141" s="40" t="s">
        <v>186</v>
      </c>
      <c r="D141" s="40" t="s">
        <v>53</v>
      </c>
      <c r="E141" s="40" t="s">
        <v>52</v>
      </c>
      <c r="F141" s="40" t="s">
        <v>44</v>
      </c>
      <c r="G141" s="58">
        <v>0.6486111111111111</v>
      </c>
      <c r="H141" s="58">
        <v>0.7395833333333334</v>
      </c>
      <c r="I141" s="51">
        <v>0.09097220833333335</v>
      </c>
      <c r="J141" s="54">
        <v>2.183333</v>
      </c>
      <c r="K141" s="55" t="s">
        <v>29</v>
      </c>
      <c r="L141" s="56">
        <v>35.47</v>
      </c>
      <c r="M141" s="56">
        <v>77.44282151</v>
      </c>
      <c r="N141" s="40" t="s">
        <v>299</v>
      </c>
      <c r="O141" s="40" t="s">
        <v>152</v>
      </c>
      <c r="P141" s="57">
        <v>46144.0</v>
      </c>
      <c r="Q141" s="57"/>
      <c r="R141" s="40" t="s">
        <v>312</v>
      </c>
      <c r="S141" s="40" t="str">
        <f t="array" ref="S141">IF(C141="","",IFERROR(_xlfn.XLOOKUP(C141,Volunteers!D:D,Volunteers!A:A),""))</f>
        <v>002</v>
      </c>
      <c r="T141" s="40">
        <v>0.003790508680555556</v>
      </c>
    </row>
    <row r="142">
      <c r="A142" s="52">
        <v>46144.0</v>
      </c>
      <c r="B142" s="28" t="s">
        <v>185</v>
      </c>
      <c r="C142" s="28" t="s">
        <v>186</v>
      </c>
      <c r="D142" s="28" t="s">
        <v>53</v>
      </c>
      <c r="E142" s="28" t="s">
        <v>52</v>
      </c>
      <c r="F142" s="28" t="s">
        <v>44</v>
      </c>
      <c r="G142" s="53">
        <v>0.6395833333333333</v>
      </c>
      <c r="H142" s="53">
        <v>0.7395833333333334</v>
      </c>
      <c r="I142" s="31">
        <v>0.09999999999999999</v>
      </c>
      <c r="J142" s="54">
        <v>2.4</v>
      </c>
      <c r="K142" s="55" t="s">
        <v>29</v>
      </c>
      <c r="L142" s="56">
        <v>35.47</v>
      </c>
      <c r="M142" s="56">
        <v>85.128</v>
      </c>
      <c r="N142" s="28" t="s">
        <v>299</v>
      </c>
      <c r="O142" s="28" t="s">
        <v>152</v>
      </c>
      <c r="P142" s="52">
        <v>46144.0</v>
      </c>
      <c r="Q142" s="52"/>
      <c r="R142" s="28" t="s">
        <v>312</v>
      </c>
      <c r="S142" s="28" t="str">
        <f t="array" ref="S142">IF(C142="","",IFERROR(_xlfn.XLOOKUP(C142,Volunteers!D:D,Volunteers!A:A),""))</f>
        <v>002</v>
      </c>
      <c r="T142" s="28">
        <v>0.004166666666666667</v>
      </c>
    </row>
    <row r="143">
      <c r="A143" s="57">
        <v>46144.0</v>
      </c>
      <c r="B143" s="40" t="s">
        <v>185</v>
      </c>
      <c r="C143" s="40" t="s">
        <v>186</v>
      </c>
      <c r="D143" s="40" t="s">
        <v>53</v>
      </c>
      <c r="E143" s="40" t="s">
        <v>52</v>
      </c>
      <c r="F143" s="40" t="s">
        <v>44</v>
      </c>
      <c r="G143" s="58">
        <v>0.6333333333333333</v>
      </c>
      <c r="H143" s="58">
        <v>0.7395833333333334</v>
      </c>
      <c r="I143" s="51">
        <v>0.10625</v>
      </c>
      <c r="J143" s="54">
        <v>2.55</v>
      </c>
      <c r="K143" s="55" t="s">
        <v>29</v>
      </c>
      <c r="L143" s="56">
        <v>35.47</v>
      </c>
      <c r="M143" s="56">
        <v>90.4485</v>
      </c>
      <c r="N143" s="40" t="s">
        <v>299</v>
      </c>
      <c r="O143" s="40" t="s">
        <v>152</v>
      </c>
      <c r="P143" s="57">
        <v>46144.0</v>
      </c>
      <c r="Q143" s="57"/>
      <c r="R143" s="40" t="s">
        <v>312</v>
      </c>
      <c r="S143" s="40" t="str">
        <f t="array" ref="S143">IF(C143="","",IFERROR(_xlfn.XLOOKUP(C143,Volunteers!D:D,Volunteers!A:A),""))</f>
        <v>002</v>
      </c>
      <c r="T143" s="40">
        <v>0.004427083333333333</v>
      </c>
    </row>
    <row r="144">
      <c r="A144" s="52">
        <v>46144.0</v>
      </c>
      <c r="B144" s="28" t="s">
        <v>185</v>
      </c>
      <c r="C144" s="28" t="s">
        <v>186</v>
      </c>
      <c r="D144" s="28" t="s">
        <v>53</v>
      </c>
      <c r="E144" s="28" t="s">
        <v>52</v>
      </c>
      <c r="F144" s="28" t="s">
        <v>44</v>
      </c>
      <c r="G144" s="53">
        <v>0.625</v>
      </c>
      <c r="H144" s="53">
        <v>0.75</v>
      </c>
      <c r="I144" s="31">
        <v>0.125</v>
      </c>
      <c r="J144" s="54">
        <v>3.0</v>
      </c>
      <c r="K144" s="55" t="s">
        <v>29</v>
      </c>
      <c r="L144" s="56">
        <v>35.47</v>
      </c>
      <c r="M144" s="56">
        <v>106.41</v>
      </c>
      <c r="N144" s="28" t="s">
        <v>299</v>
      </c>
      <c r="O144" s="28" t="s">
        <v>152</v>
      </c>
      <c r="P144" s="52">
        <v>46144.0</v>
      </c>
      <c r="Q144" s="52"/>
      <c r="R144" s="28" t="s">
        <v>312</v>
      </c>
      <c r="S144" s="28" t="str">
        <f t="array" ref="S144">IF(C144="","",IFERROR(_xlfn.XLOOKUP(C144,Volunteers!D:D,Volunteers!A:A),""))</f>
        <v>002</v>
      </c>
      <c r="T144" s="28">
        <v>0.005208333333333333</v>
      </c>
    </row>
    <row r="145">
      <c r="A145" s="57">
        <v>46144.0</v>
      </c>
      <c r="B145" s="40" t="s">
        <v>185</v>
      </c>
      <c r="C145" s="40" t="s">
        <v>186</v>
      </c>
      <c r="D145" s="40" t="s">
        <v>53</v>
      </c>
      <c r="E145" s="40" t="s">
        <v>52</v>
      </c>
      <c r="F145" s="40" t="s">
        <v>44</v>
      </c>
      <c r="G145" s="58">
        <v>0.625</v>
      </c>
      <c r="H145" s="58">
        <v>0.75</v>
      </c>
      <c r="I145" s="51">
        <v>0.125</v>
      </c>
      <c r="J145" s="54">
        <v>3.0</v>
      </c>
      <c r="K145" s="55" t="s">
        <v>29</v>
      </c>
      <c r="L145" s="56">
        <v>35.47</v>
      </c>
      <c r="M145" s="56">
        <v>106.41</v>
      </c>
      <c r="N145" s="40" t="s">
        <v>299</v>
      </c>
      <c r="O145" s="40" t="s">
        <v>152</v>
      </c>
      <c r="P145" s="57">
        <v>46144.0</v>
      </c>
      <c r="Q145" s="57"/>
      <c r="R145" s="40" t="s">
        <v>312</v>
      </c>
      <c r="S145" s="40" t="str">
        <f t="array" ref="S145">IF(C145="","",IFERROR(_xlfn.XLOOKUP(C145,Volunteers!D:D,Volunteers!A:A),""))</f>
        <v>002</v>
      </c>
      <c r="T145" s="40">
        <v>0.005208333333333333</v>
      </c>
    </row>
    <row r="146">
      <c r="A146" s="52">
        <v>46144.0</v>
      </c>
      <c r="B146" s="28" t="s">
        <v>185</v>
      </c>
      <c r="C146" s="28" t="s">
        <v>186</v>
      </c>
      <c r="D146" s="28" t="s">
        <v>53</v>
      </c>
      <c r="E146" s="28" t="s">
        <v>52</v>
      </c>
      <c r="F146" s="28" t="s">
        <v>44</v>
      </c>
      <c r="G146" s="53">
        <v>0.625</v>
      </c>
      <c r="H146" s="53">
        <v>0.7395833333333334</v>
      </c>
      <c r="I146" s="31">
        <v>0.11458333333333333</v>
      </c>
      <c r="J146" s="54">
        <v>2.75</v>
      </c>
      <c r="K146" s="55" t="s">
        <v>29</v>
      </c>
      <c r="L146" s="56">
        <v>35.47</v>
      </c>
      <c r="M146" s="56">
        <v>97.54249999999999</v>
      </c>
      <c r="N146" s="28" t="s">
        <v>299</v>
      </c>
      <c r="O146" s="28" t="s">
        <v>152</v>
      </c>
      <c r="P146" s="52">
        <v>46144.0</v>
      </c>
      <c r="Q146" s="52"/>
      <c r="R146" s="28" t="s">
        <v>312</v>
      </c>
      <c r="S146" s="28" t="str">
        <f t="array" ref="S146">IF(C146="","",IFERROR(_xlfn.XLOOKUP(C146,Volunteers!D:D,Volunteers!A:A),""))</f>
        <v>002</v>
      </c>
      <c r="T146" s="28">
        <v>0.004774305555555555</v>
      </c>
    </row>
    <row r="147">
      <c r="A147" s="57">
        <v>46144.0</v>
      </c>
      <c r="B147" s="40" t="s">
        <v>185</v>
      </c>
      <c r="C147" s="40" t="s">
        <v>186</v>
      </c>
      <c r="D147" s="40" t="s">
        <v>53</v>
      </c>
      <c r="E147" s="40" t="s">
        <v>52</v>
      </c>
      <c r="F147" s="40" t="s">
        <v>44</v>
      </c>
      <c r="G147" s="58">
        <v>0.6201388888888889</v>
      </c>
      <c r="H147" s="58">
        <v>0.7395833333333334</v>
      </c>
      <c r="I147" s="51">
        <v>0.11944445833333334</v>
      </c>
      <c r="J147" s="54">
        <v>2.866667</v>
      </c>
      <c r="K147" s="55" t="s">
        <v>29</v>
      </c>
      <c r="L147" s="56">
        <v>35.47</v>
      </c>
      <c r="M147" s="56">
        <v>101.68067849</v>
      </c>
      <c r="N147" s="40" t="s">
        <v>299</v>
      </c>
      <c r="O147" s="40" t="s">
        <v>152</v>
      </c>
      <c r="P147" s="57">
        <v>46144.0</v>
      </c>
      <c r="Q147" s="57"/>
      <c r="R147" s="40" t="s">
        <v>312</v>
      </c>
      <c r="S147" s="40" t="str">
        <f t="array" ref="S147">IF(C147="","",IFERROR(_xlfn.XLOOKUP(C147,Volunteers!D:D,Volunteers!A:A),""))</f>
        <v>002</v>
      </c>
      <c r="T147" s="40">
        <v>0.004976852430555556</v>
      </c>
    </row>
    <row r="148">
      <c r="A148" s="52">
        <v>46144.0</v>
      </c>
      <c r="B148" s="28" t="s">
        <v>185</v>
      </c>
      <c r="C148" s="28" t="s">
        <v>186</v>
      </c>
      <c r="D148" s="28" t="s">
        <v>53</v>
      </c>
      <c r="E148" s="28" t="s">
        <v>52</v>
      </c>
      <c r="F148" s="28" t="s">
        <v>44</v>
      </c>
      <c r="G148" s="53">
        <v>0.6201388888888889</v>
      </c>
      <c r="H148" s="53">
        <v>0.7395833333333334</v>
      </c>
      <c r="I148" s="31">
        <v>0.11944445833333334</v>
      </c>
      <c r="J148" s="54">
        <v>2.866667</v>
      </c>
      <c r="K148" s="55" t="s">
        <v>29</v>
      </c>
      <c r="L148" s="56">
        <v>35.47</v>
      </c>
      <c r="M148" s="56">
        <v>101.68067849</v>
      </c>
      <c r="N148" s="28" t="s">
        <v>299</v>
      </c>
      <c r="O148" s="28" t="s">
        <v>152</v>
      </c>
      <c r="P148" s="52">
        <v>46144.0</v>
      </c>
      <c r="Q148" s="52"/>
      <c r="R148" s="28" t="s">
        <v>312</v>
      </c>
      <c r="S148" s="28" t="str">
        <f t="array" ref="S148">IF(C148="","",IFERROR(_xlfn.XLOOKUP(C148,Volunteers!D:D,Volunteers!A:A),""))</f>
        <v>002</v>
      </c>
      <c r="T148" s="28">
        <v>0.004976852430555556</v>
      </c>
    </row>
    <row r="149">
      <c r="A149" s="57">
        <v>46144.0</v>
      </c>
      <c r="B149" s="40" t="s">
        <v>185</v>
      </c>
      <c r="C149" s="40" t="s">
        <v>186</v>
      </c>
      <c r="D149" s="40" t="s">
        <v>53</v>
      </c>
      <c r="E149" s="40" t="s">
        <v>52</v>
      </c>
      <c r="F149" s="40" t="s">
        <v>44</v>
      </c>
      <c r="G149" s="58">
        <v>0.6180555555555556</v>
      </c>
      <c r="H149" s="58">
        <v>0.7395833333333334</v>
      </c>
      <c r="I149" s="51">
        <v>0.12152779166666666</v>
      </c>
      <c r="J149" s="54">
        <v>2.916667</v>
      </c>
      <c r="K149" s="55" t="s">
        <v>29</v>
      </c>
      <c r="L149" s="56">
        <v>35.47</v>
      </c>
      <c r="M149" s="56">
        <v>103.45417848999999</v>
      </c>
      <c r="N149" s="40" t="s">
        <v>299</v>
      </c>
      <c r="O149" s="40" t="s">
        <v>152</v>
      </c>
      <c r="P149" s="57">
        <v>46144.0</v>
      </c>
      <c r="Q149" s="57"/>
      <c r="R149" s="40" t="s">
        <v>312</v>
      </c>
      <c r="S149" s="40" t="str">
        <f t="array" ref="S149">IF(C149="","",IFERROR(_xlfn.XLOOKUP(C149,Volunteers!D:D,Volunteers!A:A),""))</f>
        <v>002</v>
      </c>
      <c r="T149" s="40">
        <v>0.005063657986111111</v>
      </c>
    </row>
    <row r="150">
      <c r="A150" s="52">
        <v>46144.0</v>
      </c>
      <c r="B150" s="28" t="s">
        <v>185</v>
      </c>
      <c r="C150" s="28" t="s">
        <v>186</v>
      </c>
      <c r="D150" s="28" t="s">
        <v>53</v>
      </c>
      <c r="E150" s="28" t="s">
        <v>52</v>
      </c>
      <c r="F150" s="28" t="s">
        <v>44</v>
      </c>
      <c r="G150" s="53">
        <v>0.42986111111111114</v>
      </c>
      <c r="H150" s="53">
        <v>0.625</v>
      </c>
      <c r="I150" s="31">
        <v>0.19513887500000002</v>
      </c>
      <c r="J150" s="54">
        <v>4.683333</v>
      </c>
      <c r="K150" s="55" t="s">
        <v>29</v>
      </c>
      <c r="L150" s="56">
        <v>35.47</v>
      </c>
      <c r="M150" s="56">
        <v>166.11782151</v>
      </c>
      <c r="N150" s="28" t="s">
        <v>299</v>
      </c>
      <c r="O150" s="28" t="s">
        <v>152</v>
      </c>
      <c r="P150" s="52">
        <v>46144.0</v>
      </c>
      <c r="Q150" s="52"/>
      <c r="R150" s="28" t="s">
        <v>312</v>
      </c>
      <c r="S150" s="28" t="str">
        <f t="array" ref="S150">IF(C150="","",IFERROR(_xlfn.XLOOKUP(C150,Volunteers!D:D,Volunteers!A:A),""))</f>
        <v>002</v>
      </c>
      <c r="T150" s="28">
        <v>0.008130786458333334</v>
      </c>
    </row>
    <row r="151">
      <c r="A151" s="57">
        <v>46144.0</v>
      </c>
      <c r="B151" s="40" t="s">
        <v>185</v>
      </c>
      <c r="C151" s="40" t="s">
        <v>186</v>
      </c>
      <c r="D151" s="40" t="s">
        <v>53</v>
      </c>
      <c r="E151" s="40" t="s">
        <v>52</v>
      </c>
      <c r="F151" s="40" t="s">
        <v>44</v>
      </c>
      <c r="G151" s="58">
        <v>0.4263888888888889</v>
      </c>
      <c r="H151" s="58">
        <v>0.625</v>
      </c>
      <c r="I151" s="51">
        <v>0.198611125</v>
      </c>
      <c r="J151" s="54">
        <v>4.766667</v>
      </c>
      <c r="K151" s="55" t="s">
        <v>29</v>
      </c>
      <c r="L151" s="56">
        <v>35.47</v>
      </c>
      <c r="M151" s="56">
        <v>169.07367849</v>
      </c>
      <c r="N151" s="40" t="s">
        <v>299</v>
      </c>
      <c r="O151" s="40" t="s">
        <v>152</v>
      </c>
      <c r="P151" s="57">
        <v>46144.0</v>
      </c>
      <c r="Q151" s="57"/>
      <c r="R151" s="40" t="s">
        <v>312</v>
      </c>
      <c r="S151" s="40" t="str">
        <f t="array" ref="S151">IF(C151="","",IFERROR(_xlfn.XLOOKUP(C151,Volunteers!D:D,Volunteers!A:A),""))</f>
        <v>002</v>
      </c>
      <c r="T151" s="40">
        <v>0.008275463541666667</v>
      </c>
    </row>
    <row r="152">
      <c r="A152" s="52">
        <v>46144.0</v>
      </c>
      <c r="B152" s="28" t="s">
        <v>185</v>
      </c>
      <c r="C152" s="28" t="s">
        <v>186</v>
      </c>
      <c r="D152" s="28" t="s">
        <v>53</v>
      </c>
      <c r="E152" s="28" t="s">
        <v>52</v>
      </c>
      <c r="F152" s="28" t="s">
        <v>44</v>
      </c>
      <c r="G152" s="53">
        <v>0.4236111111111111</v>
      </c>
      <c r="H152" s="53">
        <v>0.5208333333333334</v>
      </c>
      <c r="I152" s="31">
        <v>0.09722220833333334</v>
      </c>
      <c r="J152" s="54">
        <v>2.333333</v>
      </c>
      <c r="K152" s="55" t="s">
        <v>29</v>
      </c>
      <c r="L152" s="56">
        <v>35.47</v>
      </c>
      <c r="M152" s="56">
        <v>82.76332151</v>
      </c>
      <c r="N152" s="28" t="s">
        <v>299</v>
      </c>
      <c r="O152" s="28" t="s">
        <v>152</v>
      </c>
      <c r="P152" s="52">
        <v>46144.0</v>
      </c>
      <c r="Q152" s="52"/>
      <c r="R152" s="28" t="s">
        <v>312</v>
      </c>
      <c r="S152" s="28" t="str">
        <f t="array" ref="S152">IF(C152="","",IFERROR(_xlfn.XLOOKUP(C152,Volunteers!D:D,Volunteers!A:A),""))</f>
        <v>002</v>
      </c>
      <c r="T152" s="28">
        <v>0.004050925347222223</v>
      </c>
    </row>
    <row r="153">
      <c r="A153" s="57">
        <v>46144.0</v>
      </c>
      <c r="B153" s="40" t="s">
        <v>185</v>
      </c>
      <c r="C153" s="40" t="s">
        <v>228</v>
      </c>
      <c r="D153" s="40" t="s">
        <v>53</v>
      </c>
      <c r="E153" s="40" t="s">
        <v>52</v>
      </c>
      <c r="F153" s="40" t="s">
        <v>44</v>
      </c>
      <c r="G153" s="58">
        <v>0.4166666666666667</v>
      </c>
      <c r="H153" s="58">
        <v>0.7083333333333334</v>
      </c>
      <c r="I153" s="51">
        <v>0.2916666666666667</v>
      </c>
      <c r="J153" s="54">
        <v>7.0</v>
      </c>
      <c r="K153" s="55" t="s">
        <v>29</v>
      </c>
      <c r="L153" s="56">
        <v>35.47</v>
      </c>
      <c r="M153" s="56">
        <v>248.29</v>
      </c>
      <c r="N153" s="40" t="s">
        <v>299</v>
      </c>
      <c r="O153" s="40" t="s">
        <v>152</v>
      </c>
      <c r="P153" s="57">
        <v>46144.0</v>
      </c>
      <c r="Q153" s="57"/>
      <c r="R153" s="40" t="s">
        <v>314</v>
      </c>
      <c r="S153" s="40" t="str">
        <f t="array" ref="S153">IF(C153="","",IFERROR(_xlfn.XLOOKUP(C153,Volunteers!D:D,Volunteers!A:A),""))</f>
        <v>009</v>
      </c>
      <c r="T153" s="40">
        <v>0.012152777777777778</v>
      </c>
    </row>
    <row r="154">
      <c r="A154" s="52">
        <v>46144.0</v>
      </c>
      <c r="B154" s="28" t="s">
        <v>185</v>
      </c>
      <c r="C154" s="28" t="s">
        <v>186</v>
      </c>
      <c r="D154" s="28" t="s">
        <v>53</v>
      </c>
      <c r="E154" s="28" t="s">
        <v>52</v>
      </c>
      <c r="F154" s="28" t="s">
        <v>44</v>
      </c>
      <c r="G154" s="53">
        <v>0.4041666666666667</v>
      </c>
      <c r="H154" s="53">
        <v>0.625</v>
      </c>
      <c r="I154" s="31">
        <v>0.22083333333333333</v>
      </c>
      <c r="J154" s="54">
        <v>5.3</v>
      </c>
      <c r="K154" s="55" t="s">
        <v>29</v>
      </c>
      <c r="L154" s="56">
        <v>35.47</v>
      </c>
      <c r="M154" s="56">
        <v>187.99099999999999</v>
      </c>
      <c r="N154" s="28" t="s">
        <v>299</v>
      </c>
      <c r="O154" s="28" t="s">
        <v>152</v>
      </c>
      <c r="P154" s="52">
        <v>46144.0</v>
      </c>
      <c r="Q154" s="52"/>
      <c r="R154" s="28" t="s">
        <v>312</v>
      </c>
      <c r="S154" s="28" t="str">
        <f t="array" ref="S154">IF(C154="","",IFERROR(_xlfn.XLOOKUP(C154,Volunteers!D:D,Volunteers!A:A),""))</f>
        <v>002</v>
      </c>
      <c r="T154" s="28">
        <v>0.00920138888888889</v>
      </c>
    </row>
    <row r="155">
      <c r="A155" s="57">
        <v>46144.0</v>
      </c>
      <c r="B155" s="40" t="s">
        <v>185</v>
      </c>
      <c r="C155" s="40" t="s">
        <v>186</v>
      </c>
      <c r="D155" s="40" t="s">
        <v>53</v>
      </c>
      <c r="E155" s="40" t="s">
        <v>52</v>
      </c>
      <c r="F155" s="40" t="s">
        <v>44</v>
      </c>
      <c r="G155" s="58">
        <v>0.3958333333333333</v>
      </c>
      <c r="H155" s="58">
        <v>0.6319444444444444</v>
      </c>
      <c r="I155" s="51">
        <v>0.236111125</v>
      </c>
      <c r="J155" s="54">
        <v>5.666667</v>
      </c>
      <c r="K155" s="55" t="s">
        <v>29</v>
      </c>
      <c r="L155" s="56">
        <v>35.47</v>
      </c>
      <c r="M155" s="56">
        <v>200.99667849</v>
      </c>
      <c r="N155" s="40" t="s">
        <v>299</v>
      </c>
      <c r="O155" s="40" t="s">
        <v>152</v>
      </c>
      <c r="P155" s="57">
        <v>46144.0</v>
      </c>
      <c r="Q155" s="57"/>
      <c r="R155" s="40" t="s">
        <v>312</v>
      </c>
      <c r="S155" s="40" t="str">
        <f t="array" ref="S155">IF(C155="","",IFERROR(_xlfn.XLOOKUP(C155,Volunteers!D:D,Volunteers!A:A),""))</f>
        <v>002</v>
      </c>
      <c r="T155" s="40">
        <v>0.009837963541666666</v>
      </c>
    </row>
    <row r="156">
      <c r="A156" s="52">
        <v>46144.0</v>
      </c>
      <c r="B156" s="28" t="s">
        <v>64</v>
      </c>
      <c r="C156" s="28" t="s">
        <v>170</v>
      </c>
      <c r="D156" s="28" t="s">
        <v>60</v>
      </c>
      <c r="E156" s="28" t="s">
        <v>48</v>
      </c>
      <c r="F156" s="28" t="s">
        <v>44</v>
      </c>
      <c r="G156" s="53">
        <v>0.375</v>
      </c>
      <c r="H156" s="53">
        <v>0.9097222222222222</v>
      </c>
      <c r="I156" s="31">
        <v>5.534722208333334</v>
      </c>
      <c r="J156" s="54">
        <v>132.833333</v>
      </c>
      <c r="K156" s="55" t="s">
        <v>29</v>
      </c>
      <c r="L156" s="56">
        <v>35.47</v>
      </c>
      <c r="M156" s="56">
        <v>4711.5983215100005</v>
      </c>
      <c r="N156" s="28" t="s">
        <v>172</v>
      </c>
      <c r="O156" s="28" t="s">
        <v>152</v>
      </c>
      <c r="P156" s="52">
        <v>46144.0</v>
      </c>
      <c r="Q156" s="52"/>
      <c r="R156" s="28" t="s">
        <v>173</v>
      </c>
      <c r="S156" s="28" t="str">
        <f t="array" ref="S156">IF(C156="","",IFERROR(_xlfn.XLOOKUP(C156,Volunteers!D:D,Volunteers!A:A),""))</f>
        <v>007</v>
      </c>
      <c r="T156" s="28">
        <v>0.23061342534722226</v>
      </c>
    </row>
    <row r="157">
      <c r="A157" s="57">
        <v>46144.0</v>
      </c>
      <c r="B157" s="40" t="s">
        <v>199</v>
      </c>
      <c r="C157" s="40" t="s">
        <v>200</v>
      </c>
      <c r="D157" s="40" t="s">
        <v>33</v>
      </c>
      <c r="E157" s="40" t="s">
        <v>32</v>
      </c>
      <c r="F157" s="40" t="s">
        <v>44</v>
      </c>
      <c r="G157" s="58">
        <v>0.375</v>
      </c>
      <c r="H157" s="58">
        <v>0.625</v>
      </c>
      <c r="I157" s="51">
        <v>0.25</v>
      </c>
      <c r="J157" s="54">
        <v>6.0</v>
      </c>
      <c r="K157" s="55" t="s">
        <v>29</v>
      </c>
      <c r="L157" s="56">
        <v>35.47</v>
      </c>
      <c r="M157" s="56">
        <v>212.82</v>
      </c>
      <c r="N157" s="40" t="s">
        <v>224</v>
      </c>
      <c r="O157" s="40" t="s">
        <v>152</v>
      </c>
      <c r="P157" s="57">
        <v>46144.0</v>
      </c>
      <c r="Q157" s="57"/>
      <c r="R157" s="40" t="s">
        <v>225</v>
      </c>
      <c r="S157" s="40" t="str">
        <f t="array" ref="S157">IF(C157="","",IFERROR(_xlfn.XLOOKUP(C157,Volunteers!D:D,Volunteers!A:A),""))</f>
        <v>005</v>
      </c>
      <c r="T157" s="40">
        <v>0.010416666666666666</v>
      </c>
    </row>
    <row r="158">
      <c r="A158" s="52">
        <v>46144.0</v>
      </c>
      <c r="B158" s="28" t="s">
        <v>185</v>
      </c>
      <c r="C158" s="28" t="s">
        <v>186</v>
      </c>
      <c r="D158" s="28" t="s">
        <v>53</v>
      </c>
      <c r="E158" s="28" t="s">
        <v>52</v>
      </c>
      <c r="F158" s="28" t="s">
        <v>44</v>
      </c>
      <c r="G158" s="53">
        <v>0.3125</v>
      </c>
      <c r="H158" s="53">
        <v>0.4027777777777778</v>
      </c>
      <c r="I158" s="31">
        <v>0.09027779166666666</v>
      </c>
      <c r="J158" s="54">
        <v>2.166667</v>
      </c>
      <c r="K158" s="55" t="s">
        <v>29</v>
      </c>
      <c r="L158" s="56">
        <v>35.47</v>
      </c>
      <c r="M158" s="56">
        <v>76.85167849</v>
      </c>
      <c r="N158" s="28" t="s">
        <v>299</v>
      </c>
      <c r="O158" s="28" t="s">
        <v>152</v>
      </c>
      <c r="P158" s="52">
        <v>46144.0</v>
      </c>
      <c r="Q158" s="52"/>
      <c r="R158" s="28" t="s">
        <v>312</v>
      </c>
      <c r="S158" s="28" t="str">
        <f t="array" ref="S158">IF(C158="","",IFERROR(_xlfn.XLOOKUP(C158,Volunteers!D:D,Volunteers!A:A),""))</f>
        <v>002</v>
      </c>
      <c r="T158" s="28">
        <v>0.0037615746527777777</v>
      </c>
    </row>
    <row r="159">
      <c r="A159" s="57">
        <v>46144.0</v>
      </c>
      <c r="B159" s="40" t="s">
        <v>185</v>
      </c>
      <c r="C159" s="40" t="s">
        <v>186</v>
      </c>
      <c r="D159" s="40" t="s">
        <v>53</v>
      </c>
      <c r="E159" s="40" t="s">
        <v>52</v>
      </c>
      <c r="F159" s="40" t="s">
        <v>44</v>
      </c>
      <c r="G159" s="58">
        <v>0.3125</v>
      </c>
      <c r="H159" s="58">
        <v>0.4375</v>
      </c>
      <c r="I159" s="51">
        <v>0.125</v>
      </c>
      <c r="J159" s="54">
        <v>3.0</v>
      </c>
      <c r="K159" s="55" t="s">
        <v>29</v>
      </c>
      <c r="L159" s="56">
        <v>35.47</v>
      </c>
      <c r="M159" s="56">
        <v>106.41</v>
      </c>
      <c r="N159" s="40" t="s">
        <v>299</v>
      </c>
      <c r="O159" s="40" t="s">
        <v>152</v>
      </c>
      <c r="P159" s="57">
        <v>46144.0</v>
      </c>
      <c r="Q159" s="57"/>
      <c r="R159" s="40" t="s">
        <v>312</v>
      </c>
      <c r="S159" s="40" t="str">
        <f t="array" ref="S159">IF(C159="","",IFERROR(_xlfn.XLOOKUP(C159,Volunteers!D:D,Volunteers!A:A),""))</f>
        <v>002</v>
      </c>
      <c r="T159" s="40">
        <v>0.005208333333333333</v>
      </c>
    </row>
    <row r="160">
      <c r="A160" s="52">
        <v>46144.0</v>
      </c>
      <c r="B160" s="28" t="s">
        <v>185</v>
      </c>
      <c r="C160" s="28" t="s">
        <v>186</v>
      </c>
      <c r="D160" s="28" t="s">
        <v>53</v>
      </c>
      <c r="E160" s="28" t="s">
        <v>52</v>
      </c>
      <c r="F160" s="28" t="s">
        <v>44</v>
      </c>
      <c r="G160" s="53">
        <v>0.3125</v>
      </c>
      <c r="H160" s="53">
        <v>0.4375</v>
      </c>
      <c r="I160" s="31">
        <v>0.125</v>
      </c>
      <c r="J160" s="54">
        <v>3.0</v>
      </c>
      <c r="K160" s="55" t="s">
        <v>29</v>
      </c>
      <c r="L160" s="56">
        <v>35.47</v>
      </c>
      <c r="M160" s="56">
        <v>106.41</v>
      </c>
      <c r="N160" s="28" t="s">
        <v>299</v>
      </c>
      <c r="O160" s="28" t="s">
        <v>152</v>
      </c>
      <c r="P160" s="52">
        <v>46144.0</v>
      </c>
      <c r="Q160" s="52"/>
      <c r="R160" s="28" t="s">
        <v>312</v>
      </c>
      <c r="S160" s="28" t="str">
        <f t="array" ref="S160">IF(C160="","",IFERROR(_xlfn.XLOOKUP(C160,Volunteers!D:D,Volunteers!A:A),""))</f>
        <v>002</v>
      </c>
      <c r="T160" s="28">
        <v>0.005208333333333333</v>
      </c>
    </row>
    <row r="161">
      <c r="A161" s="57">
        <v>46144.0</v>
      </c>
      <c r="B161" s="40" t="s">
        <v>185</v>
      </c>
      <c r="C161" s="40" t="s">
        <v>186</v>
      </c>
      <c r="D161" s="40" t="s">
        <v>53</v>
      </c>
      <c r="E161" s="40" t="s">
        <v>42</v>
      </c>
      <c r="F161" s="40" t="s">
        <v>44</v>
      </c>
      <c r="G161" s="58">
        <v>0.3125</v>
      </c>
      <c r="H161" s="58">
        <v>0.75</v>
      </c>
      <c r="I161" s="51">
        <v>0.4375</v>
      </c>
      <c r="J161" s="54">
        <v>10.5</v>
      </c>
      <c r="K161" s="55" t="s">
        <v>29</v>
      </c>
      <c r="L161" s="56">
        <v>35.47</v>
      </c>
      <c r="M161" s="56">
        <v>372.435</v>
      </c>
      <c r="N161" s="40" t="s">
        <v>217</v>
      </c>
      <c r="O161" s="40" t="s">
        <v>152</v>
      </c>
      <c r="P161" s="57">
        <v>46144.0</v>
      </c>
      <c r="Q161" s="57"/>
      <c r="R161" s="40" t="s">
        <v>315</v>
      </c>
      <c r="S161" s="40" t="str">
        <f t="array" ref="S161">IF(C161="","",IFERROR(_xlfn.XLOOKUP(C161,Volunteers!D:D,Volunteers!A:A),""))</f>
        <v>002</v>
      </c>
      <c r="T161" s="40">
        <v>0.018229166666666668</v>
      </c>
    </row>
    <row r="162">
      <c r="A162" s="52">
        <v>46144.0</v>
      </c>
      <c r="B162" s="28" t="s">
        <v>185</v>
      </c>
      <c r="C162" s="28" t="s">
        <v>175</v>
      </c>
      <c r="D162" s="28" t="s">
        <v>53</v>
      </c>
      <c r="E162" s="28" t="s">
        <v>42</v>
      </c>
      <c r="F162" s="28" t="s">
        <v>44</v>
      </c>
      <c r="G162" s="53">
        <v>0.3020833333333333</v>
      </c>
      <c r="H162" s="53">
        <v>0.75</v>
      </c>
      <c r="I162" s="31">
        <v>0.4479166666666667</v>
      </c>
      <c r="J162" s="54">
        <v>10.75</v>
      </c>
      <c r="K162" s="55" t="s">
        <v>29</v>
      </c>
      <c r="L162" s="56">
        <v>35.47</v>
      </c>
      <c r="M162" s="56">
        <v>381.3025</v>
      </c>
      <c r="N162" s="28" t="s">
        <v>217</v>
      </c>
      <c r="O162" s="28" t="s">
        <v>152</v>
      </c>
      <c r="P162" s="52">
        <v>46144.0</v>
      </c>
      <c r="Q162" s="52"/>
      <c r="R162" s="28" t="s">
        <v>315</v>
      </c>
      <c r="S162" s="28" t="str">
        <f t="array" ref="S162">IF(C162="","",IFERROR(_xlfn.XLOOKUP(C162,Volunteers!D:D,Volunteers!A:A),""))</f>
        <v>003</v>
      </c>
      <c r="T162" s="28">
        <v>0.018663194444444444</v>
      </c>
    </row>
    <row r="163">
      <c r="A163" s="57">
        <v>46143.0</v>
      </c>
      <c r="B163" s="40" t="s">
        <v>64</v>
      </c>
      <c r="C163" s="40" t="s">
        <v>209</v>
      </c>
      <c r="D163" s="40" t="s">
        <v>60</v>
      </c>
      <c r="E163" s="40" t="s">
        <v>42</v>
      </c>
      <c r="F163" s="40" t="s">
        <v>44</v>
      </c>
      <c r="G163" s="58">
        <v>0.5381944444444444</v>
      </c>
      <c r="H163" s="58">
        <v>0.5409722222222222</v>
      </c>
      <c r="I163" s="51">
        <v>0.0027777916666666667</v>
      </c>
      <c r="J163" s="54">
        <v>0.066667</v>
      </c>
      <c r="K163" s="55" t="s">
        <v>29</v>
      </c>
      <c r="L163" s="56">
        <v>35.47</v>
      </c>
      <c r="M163" s="56">
        <v>2.36467849</v>
      </c>
      <c r="N163" s="40" t="s">
        <v>151</v>
      </c>
      <c r="O163" s="40" t="s">
        <v>152</v>
      </c>
      <c r="P163" s="57">
        <v>46143.0</v>
      </c>
      <c r="Q163" s="57"/>
      <c r="R163" s="40" t="s">
        <v>316</v>
      </c>
      <c r="S163" s="40" t="str">
        <f t="array" ref="S163">IF(C163="","",IFERROR(_xlfn.XLOOKUP(C163,Volunteers!D:D,Volunteers!A:A),""))</f>
        <v>012</v>
      </c>
      <c r="T163" s="40">
        <v>1.1574131944444445E-4</v>
      </c>
    </row>
    <row r="164">
      <c r="A164" s="52">
        <v>46143.0</v>
      </c>
      <c r="B164" s="28" t="s">
        <v>64</v>
      </c>
      <c r="C164" s="28" t="s">
        <v>170</v>
      </c>
      <c r="D164" s="28" t="s">
        <v>60</v>
      </c>
      <c r="E164" s="28" t="s">
        <v>42</v>
      </c>
      <c r="F164" s="28" t="s">
        <v>44</v>
      </c>
      <c r="G164" s="53">
        <v>0.11805555555555555</v>
      </c>
      <c r="H164" s="53">
        <v>0.5347222222222222</v>
      </c>
      <c r="I164" s="31">
        <v>0.4166666666666667</v>
      </c>
      <c r="J164" s="54">
        <v>10.0</v>
      </c>
      <c r="K164" s="55" t="s">
        <v>29</v>
      </c>
      <c r="L164" s="56">
        <v>35.47</v>
      </c>
      <c r="M164" s="56">
        <v>354.7</v>
      </c>
      <c r="N164" s="28" t="s">
        <v>151</v>
      </c>
      <c r="O164" s="28" t="s">
        <v>152</v>
      </c>
      <c r="P164" s="52">
        <v>46143.0</v>
      </c>
      <c r="Q164" s="52"/>
      <c r="R164" s="28" t="s">
        <v>317</v>
      </c>
      <c r="S164" s="28" t="str">
        <f t="array" ref="S164">IF(C164="","",IFERROR(_xlfn.XLOOKUP(C164,Volunteers!D:D,Volunteers!A:A),""))</f>
        <v>007</v>
      </c>
      <c r="T164" s="28">
        <v>0.017361111111111112</v>
      </c>
    </row>
    <row r="165">
      <c r="A165" s="57">
        <v>46203.0</v>
      </c>
      <c r="B165" s="40" t="s">
        <v>164</v>
      </c>
      <c r="C165" s="40" t="s">
        <v>165</v>
      </c>
      <c r="D165" s="40" t="s">
        <v>65</v>
      </c>
      <c r="E165" s="41" t="s">
        <v>48</v>
      </c>
      <c r="F165" s="40" t="s">
        <v>44</v>
      </c>
      <c r="G165" s="58">
        <v>0.7798611111111111</v>
      </c>
      <c r="H165" s="58">
        <v>0.4048611111111111</v>
      </c>
      <c r="I165" s="51">
        <v>41.625</v>
      </c>
      <c r="J165" s="54">
        <v>999.0</v>
      </c>
      <c r="K165" s="55" t="s">
        <v>29</v>
      </c>
      <c r="L165" s="56">
        <v>35.47</v>
      </c>
      <c r="M165" s="56">
        <v>35434.53</v>
      </c>
      <c r="N165" s="40" t="s">
        <v>168</v>
      </c>
      <c r="O165" s="40" t="s">
        <v>152</v>
      </c>
      <c r="P165" s="57">
        <v>46203.0</v>
      </c>
      <c r="Q165" s="57"/>
      <c r="R165" s="40" t="s">
        <v>318</v>
      </c>
      <c r="S165" s="40" t="str">
        <f t="array" ref="S165">IF(C165="","",IFERROR(_xlfn.XLOOKUP(C165,Volunteers!D:D,Volunteers!A:A),""))</f>
        <v>001</v>
      </c>
      <c r="T165" s="40">
        <v>1.734375</v>
      </c>
    </row>
    <row r="166">
      <c r="A166" s="52">
        <v>46203.0</v>
      </c>
      <c r="B166" s="28" t="s">
        <v>164</v>
      </c>
      <c r="C166" s="28" t="s">
        <v>165</v>
      </c>
      <c r="D166" s="28" t="s">
        <v>65</v>
      </c>
      <c r="E166" s="26" t="s">
        <v>48</v>
      </c>
      <c r="F166" s="28" t="s">
        <v>44</v>
      </c>
      <c r="G166" s="53">
        <v>0.4048611111111111</v>
      </c>
      <c r="H166" s="53">
        <v>0.029861111111111113</v>
      </c>
      <c r="I166" s="31">
        <v>41.625</v>
      </c>
      <c r="J166" s="54">
        <v>999.0</v>
      </c>
      <c r="K166" s="55" t="s">
        <v>29</v>
      </c>
      <c r="L166" s="56">
        <v>35.47</v>
      </c>
      <c r="M166" s="56">
        <v>35434.53</v>
      </c>
      <c r="N166" s="28" t="s">
        <v>168</v>
      </c>
      <c r="O166" s="28" t="s">
        <v>152</v>
      </c>
      <c r="P166" s="52">
        <v>46203.0</v>
      </c>
      <c r="Q166" s="52"/>
      <c r="R166" s="28" t="s">
        <v>318</v>
      </c>
      <c r="S166" s="28" t="str">
        <f t="array" ref="S166">IF(C166="","",IFERROR(_xlfn.XLOOKUP(C166,Volunteers!D:D,Volunteers!A:A),""))</f>
        <v>001</v>
      </c>
      <c r="T166" s="28">
        <v>1.734375</v>
      </c>
    </row>
    <row r="167">
      <c r="A167" s="57">
        <v>46203.0</v>
      </c>
      <c r="B167" s="40" t="s">
        <v>64</v>
      </c>
      <c r="C167" s="40" t="s">
        <v>170</v>
      </c>
      <c r="D167" s="40" t="s">
        <v>60</v>
      </c>
      <c r="E167" s="40" t="s">
        <v>42</v>
      </c>
      <c r="F167" s="40" t="s">
        <v>44</v>
      </c>
      <c r="G167" s="58">
        <v>0.375</v>
      </c>
      <c r="H167" s="58">
        <v>0.4583333333333333</v>
      </c>
      <c r="I167" s="51">
        <v>0.08333333333333333</v>
      </c>
      <c r="J167" s="54">
        <v>2.0</v>
      </c>
      <c r="K167" s="55" t="s">
        <v>29</v>
      </c>
      <c r="L167" s="56">
        <v>35.47</v>
      </c>
      <c r="M167" s="56">
        <v>70.94</v>
      </c>
      <c r="N167" s="40" t="s">
        <v>151</v>
      </c>
      <c r="O167" s="40" t="s">
        <v>152</v>
      </c>
      <c r="P167" s="57">
        <v>46203.0</v>
      </c>
      <c r="Q167" s="57"/>
      <c r="R167" s="40" t="s">
        <v>319</v>
      </c>
      <c r="S167" s="40" t="str">
        <f t="array" ref="S167">IF(C167="","",IFERROR(_xlfn.XLOOKUP(C167,Volunteers!D:D,Volunteers!A:A),""))</f>
        <v>007</v>
      </c>
      <c r="T167" s="40">
        <v>0.003472222222222222</v>
      </c>
    </row>
    <row r="168">
      <c r="A168" s="52">
        <v>46203.0</v>
      </c>
      <c r="B168" s="28" t="s">
        <v>164</v>
      </c>
      <c r="C168" s="28" t="s">
        <v>165</v>
      </c>
      <c r="D168" s="28" t="s">
        <v>65</v>
      </c>
      <c r="E168" s="26" t="s">
        <v>48</v>
      </c>
      <c r="F168" s="28" t="s">
        <v>44</v>
      </c>
      <c r="G168" s="53">
        <v>0.029861111111111113</v>
      </c>
      <c r="H168" s="53">
        <v>0.4465277777777778</v>
      </c>
      <c r="I168" s="31">
        <v>31.416666666666668</v>
      </c>
      <c r="J168" s="54">
        <v>754.0</v>
      </c>
      <c r="K168" s="55" t="s">
        <v>29</v>
      </c>
      <c r="L168" s="56">
        <v>35.47</v>
      </c>
      <c r="M168" s="56">
        <v>26744.379999999997</v>
      </c>
      <c r="N168" s="28" t="s">
        <v>168</v>
      </c>
      <c r="O168" s="28" t="s">
        <v>152</v>
      </c>
      <c r="P168" s="52">
        <v>46203.0</v>
      </c>
      <c r="Q168" s="52"/>
      <c r="R168" s="28" t="s">
        <v>318</v>
      </c>
      <c r="S168" s="28" t="str">
        <f t="array" ref="S168">IF(C168="","",IFERROR(_xlfn.XLOOKUP(C168,Volunteers!D:D,Volunteers!A:A),""))</f>
        <v>001</v>
      </c>
      <c r="T168" s="28">
        <v>1.309027777777778</v>
      </c>
    </row>
    <row r="169">
      <c r="A169" s="57">
        <v>46202.0</v>
      </c>
      <c r="B169" s="40" t="s">
        <v>185</v>
      </c>
      <c r="C169" s="40" t="s">
        <v>175</v>
      </c>
      <c r="D169" s="40" t="s">
        <v>53</v>
      </c>
      <c r="E169" s="40" t="s">
        <v>42</v>
      </c>
      <c r="F169" s="40" t="s">
        <v>44</v>
      </c>
      <c r="G169" s="58">
        <v>0.6701388888888888</v>
      </c>
      <c r="H169" s="58">
        <v>0.7034722222222223</v>
      </c>
      <c r="I169" s="51">
        <v>0.03333333333333333</v>
      </c>
      <c r="J169" s="54">
        <v>0.8</v>
      </c>
      <c r="K169" s="55" t="s">
        <v>29</v>
      </c>
      <c r="L169" s="56">
        <v>35.47</v>
      </c>
      <c r="M169" s="56">
        <v>28.376</v>
      </c>
      <c r="N169" s="40" t="s">
        <v>217</v>
      </c>
      <c r="O169" s="40" t="s">
        <v>152</v>
      </c>
      <c r="P169" s="57">
        <v>46202.0</v>
      </c>
      <c r="Q169" s="57"/>
      <c r="R169" s="40" t="s">
        <v>320</v>
      </c>
      <c r="S169" s="40" t="str">
        <f t="array" ref="S169">IF(C169="","",IFERROR(_xlfn.XLOOKUP(C169,Volunteers!D:D,Volunteers!A:A),""))</f>
        <v>003</v>
      </c>
      <c r="T169" s="40">
        <v>0.001388888888888889</v>
      </c>
    </row>
    <row r="170">
      <c r="A170" s="52">
        <v>46202.0</v>
      </c>
      <c r="B170" s="28" t="s">
        <v>185</v>
      </c>
      <c r="C170" s="28" t="s">
        <v>175</v>
      </c>
      <c r="D170" s="28" t="s">
        <v>53</v>
      </c>
      <c r="E170" s="28" t="s">
        <v>42</v>
      </c>
      <c r="F170" s="28" t="s">
        <v>44</v>
      </c>
      <c r="G170" s="53">
        <v>0.59375</v>
      </c>
      <c r="H170" s="53">
        <v>0.6597222222222222</v>
      </c>
      <c r="I170" s="31">
        <v>0.06597220833333334</v>
      </c>
      <c r="J170" s="54">
        <v>1.583333</v>
      </c>
      <c r="K170" s="55" t="s">
        <v>29</v>
      </c>
      <c r="L170" s="56">
        <v>35.47</v>
      </c>
      <c r="M170" s="56">
        <v>56.160821510000005</v>
      </c>
      <c r="N170" s="28" t="s">
        <v>217</v>
      </c>
      <c r="O170" s="28" t="s">
        <v>152</v>
      </c>
      <c r="P170" s="52">
        <v>46202.0</v>
      </c>
      <c r="Q170" s="52"/>
      <c r="R170" s="28" t="s">
        <v>321</v>
      </c>
      <c r="S170" s="28" t="str">
        <f t="array" ref="S170">IF(C170="","",IFERROR(_xlfn.XLOOKUP(C170,Volunteers!D:D,Volunteers!A:A),""))</f>
        <v>003</v>
      </c>
      <c r="T170" s="28">
        <v>0.002748842013888889</v>
      </c>
    </row>
    <row r="171">
      <c r="A171" s="57">
        <v>46202.0</v>
      </c>
      <c r="B171" s="40" t="s">
        <v>199</v>
      </c>
      <c r="C171" s="40" t="s">
        <v>200</v>
      </c>
      <c r="D171" s="40" t="s">
        <v>33</v>
      </c>
      <c r="E171" s="40" t="s">
        <v>32</v>
      </c>
      <c r="F171" s="40" t="s">
        <v>44</v>
      </c>
      <c r="G171" s="58">
        <v>0.43680555555555556</v>
      </c>
      <c r="H171" s="58">
        <v>0.4576388888888889</v>
      </c>
      <c r="I171" s="51">
        <v>0.020833333333333332</v>
      </c>
      <c r="J171" s="54">
        <v>0.5</v>
      </c>
      <c r="K171" s="55" t="s">
        <v>29</v>
      </c>
      <c r="L171" s="56">
        <v>35.47</v>
      </c>
      <c r="M171" s="56">
        <v>17.735</v>
      </c>
      <c r="N171" s="40" t="s">
        <v>224</v>
      </c>
      <c r="O171" s="40" t="s">
        <v>152</v>
      </c>
      <c r="P171" s="57">
        <v>46202.0</v>
      </c>
      <c r="Q171" s="57"/>
      <c r="R171" s="40" t="s">
        <v>225</v>
      </c>
      <c r="S171" s="40" t="str">
        <f t="array" ref="S171">IF(C171="","",IFERROR(_xlfn.XLOOKUP(C171,Volunteers!D:D,Volunteers!A:A),""))</f>
        <v>005</v>
      </c>
      <c r="T171" s="40">
        <v>8.680555555555555E-4</v>
      </c>
    </row>
    <row r="172">
      <c r="A172" s="52">
        <v>46200.0</v>
      </c>
      <c r="B172" s="28" t="s">
        <v>227</v>
      </c>
      <c r="C172" s="28" t="s">
        <v>228</v>
      </c>
      <c r="D172" s="28" t="s">
        <v>49</v>
      </c>
      <c r="E172" s="28" t="s">
        <v>42</v>
      </c>
      <c r="F172" s="28" t="s">
        <v>44</v>
      </c>
      <c r="G172" s="53">
        <v>0.7708333333333334</v>
      </c>
      <c r="H172" s="53">
        <v>0.8125</v>
      </c>
      <c r="I172" s="31">
        <v>0.041666666666666664</v>
      </c>
      <c r="J172" s="54">
        <v>1.0</v>
      </c>
      <c r="K172" s="55" t="s">
        <v>29</v>
      </c>
      <c r="L172" s="56">
        <v>35.47</v>
      </c>
      <c r="M172" s="56">
        <v>35.47</v>
      </c>
      <c r="N172" s="28" t="s">
        <v>187</v>
      </c>
      <c r="O172" s="28" t="s">
        <v>152</v>
      </c>
      <c r="P172" s="52">
        <v>46200.0</v>
      </c>
      <c r="Q172" s="52"/>
      <c r="R172" s="28" t="s">
        <v>322</v>
      </c>
      <c r="S172" s="28" t="str">
        <f t="array" ref="S172">IF(C172="","",IFERROR(_xlfn.XLOOKUP(C172,Volunteers!D:D,Volunteers!A:A),""))</f>
        <v>009</v>
      </c>
      <c r="T172" s="28">
        <v>0.001736111111111111</v>
      </c>
    </row>
    <row r="173">
      <c r="A173" s="57">
        <v>46198.0</v>
      </c>
      <c r="B173" s="40" t="s">
        <v>227</v>
      </c>
      <c r="C173" s="40" t="s">
        <v>228</v>
      </c>
      <c r="D173" s="40" t="s">
        <v>49</v>
      </c>
      <c r="E173" s="40" t="s">
        <v>42</v>
      </c>
      <c r="F173" s="40" t="s">
        <v>44</v>
      </c>
      <c r="G173" s="58">
        <v>0.7708333333333334</v>
      </c>
      <c r="H173" s="58">
        <v>0.8125</v>
      </c>
      <c r="I173" s="51">
        <v>0.041666666666666664</v>
      </c>
      <c r="J173" s="54">
        <v>1.0</v>
      </c>
      <c r="K173" s="55" t="s">
        <v>29</v>
      </c>
      <c r="L173" s="56">
        <v>35.47</v>
      </c>
      <c r="M173" s="56">
        <v>35.47</v>
      </c>
      <c r="N173" s="40" t="s">
        <v>187</v>
      </c>
      <c r="O173" s="40" t="s">
        <v>152</v>
      </c>
      <c r="P173" s="57">
        <v>46198.0</v>
      </c>
      <c r="Q173" s="57"/>
      <c r="R173" s="40" t="s">
        <v>322</v>
      </c>
      <c r="S173" s="40" t="str">
        <f t="array" ref="S173">IF(C173="","",IFERROR(_xlfn.XLOOKUP(C173,Volunteers!D:D,Volunteers!A:A),""))</f>
        <v>009</v>
      </c>
      <c r="T173" s="40">
        <v>0.001736111111111111</v>
      </c>
    </row>
    <row r="174">
      <c r="A174" s="52">
        <v>46197.0</v>
      </c>
      <c r="B174" s="28" t="s">
        <v>227</v>
      </c>
      <c r="C174" s="28" t="s">
        <v>228</v>
      </c>
      <c r="D174" s="28" t="s">
        <v>49</v>
      </c>
      <c r="E174" s="28" t="s">
        <v>42</v>
      </c>
      <c r="F174" s="28" t="s">
        <v>44</v>
      </c>
      <c r="G174" s="53">
        <v>0.7708333333333334</v>
      </c>
      <c r="H174" s="53">
        <v>0.8125</v>
      </c>
      <c r="I174" s="31">
        <v>0.041666666666666664</v>
      </c>
      <c r="J174" s="54">
        <v>1.0</v>
      </c>
      <c r="K174" s="55" t="s">
        <v>29</v>
      </c>
      <c r="L174" s="56">
        <v>35.47</v>
      </c>
      <c r="M174" s="56">
        <v>35.47</v>
      </c>
      <c r="N174" s="28" t="s">
        <v>187</v>
      </c>
      <c r="O174" s="28" t="s">
        <v>152</v>
      </c>
      <c r="P174" s="52">
        <v>46197.0</v>
      </c>
      <c r="Q174" s="52"/>
      <c r="R174" s="28" t="s">
        <v>322</v>
      </c>
      <c r="S174" s="28" t="str">
        <f t="array" ref="S174">IF(C174="","",IFERROR(_xlfn.XLOOKUP(C174,Volunteers!D:D,Volunteers!A:A),""))</f>
        <v>009</v>
      </c>
      <c r="T174" s="28">
        <v>0.001736111111111111</v>
      </c>
    </row>
    <row r="175">
      <c r="A175" s="57">
        <v>46197.0</v>
      </c>
      <c r="B175" s="40" t="s">
        <v>199</v>
      </c>
      <c r="C175" s="40" t="s">
        <v>200</v>
      </c>
      <c r="D175" s="40" t="s">
        <v>33</v>
      </c>
      <c r="E175" s="40" t="s">
        <v>32</v>
      </c>
      <c r="F175" s="40" t="s">
        <v>44</v>
      </c>
      <c r="G175" s="58">
        <v>0.5840277777777778</v>
      </c>
      <c r="H175" s="58">
        <v>0.6256944444444444</v>
      </c>
      <c r="I175" s="51">
        <v>0.041666666666666664</v>
      </c>
      <c r="J175" s="54">
        <v>1.0</v>
      </c>
      <c r="K175" s="55" t="s">
        <v>29</v>
      </c>
      <c r="L175" s="56">
        <v>35.47</v>
      </c>
      <c r="M175" s="56">
        <v>35.47</v>
      </c>
      <c r="N175" s="40" t="s">
        <v>224</v>
      </c>
      <c r="O175" s="40" t="s">
        <v>152</v>
      </c>
      <c r="P175" s="57">
        <v>46197.0</v>
      </c>
      <c r="Q175" s="57"/>
      <c r="R175" s="40" t="s">
        <v>225</v>
      </c>
      <c r="S175" s="40" t="str">
        <f t="array" ref="S175">IF(C175="","",IFERROR(_xlfn.XLOOKUP(C175,Volunteers!D:D,Volunteers!A:A),""))</f>
        <v>005</v>
      </c>
      <c r="T175" s="40">
        <v>0.001736111111111111</v>
      </c>
    </row>
    <row r="176">
      <c r="A176" s="52">
        <v>46196.0</v>
      </c>
      <c r="B176" s="28" t="s">
        <v>227</v>
      </c>
      <c r="C176" s="28" t="s">
        <v>228</v>
      </c>
      <c r="D176" s="28" t="s">
        <v>49</v>
      </c>
      <c r="E176" s="28" t="s">
        <v>42</v>
      </c>
      <c r="F176" s="28" t="s">
        <v>44</v>
      </c>
      <c r="G176" s="53">
        <v>0.7708333333333334</v>
      </c>
      <c r="H176" s="53">
        <v>0.8125</v>
      </c>
      <c r="I176" s="31">
        <v>0.041666666666666664</v>
      </c>
      <c r="J176" s="54">
        <v>1.0</v>
      </c>
      <c r="K176" s="55" t="s">
        <v>29</v>
      </c>
      <c r="L176" s="56">
        <v>35.47</v>
      </c>
      <c r="M176" s="56">
        <v>35.47</v>
      </c>
      <c r="N176" s="28" t="s">
        <v>187</v>
      </c>
      <c r="O176" s="28" t="s">
        <v>152</v>
      </c>
      <c r="P176" s="52">
        <v>46196.0</v>
      </c>
      <c r="Q176" s="52"/>
      <c r="R176" s="28" t="s">
        <v>322</v>
      </c>
      <c r="S176" s="28" t="str">
        <f t="array" ref="S176">IF(C176="","",IFERROR(_xlfn.XLOOKUP(C176,Volunteers!D:D,Volunteers!A:A),""))</f>
        <v>009</v>
      </c>
      <c r="T176" s="28">
        <v>0.001736111111111111</v>
      </c>
    </row>
    <row r="177">
      <c r="A177" s="57">
        <v>46196.0</v>
      </c>
      <c r="B177" s="40" t="s">
        <v>185</v>
      </c>
      <c r="C177" s="40" t="s">
        <v>175</v>
      </c>
      <c r="D177" s="40" t="s">
        <v>53</v>
      </c>
      <c r="E177" s="40" t="s">
        <v>42</v>
      </c>
      <c r="F177" s="40" t="s">
        <v>44</v>
      </c>
      <c r="G177" s="58">
        <v>0.75</v>
      </c>
      <c r="H177" s="58">
        <v>0.78125</v>
      </c>
      <c r="I177" s="51">
        <v>0.03125</v>
      </c>
      <c r="J177" s="54">
        <v>0.75</v>
      </c>
      <c r="K177" s="55" t="s">
        <v>29</v>
      </c>
      <c r="L177" s="56">
        <v>35.47</v>
      </c>
      <c r="M177" s="56">
        <v>26.6025</v>
      </c>
      <c r="N177" s="40" t="s">
        <v>217</v>
      </c>
      <c r="O177" s="40" t="s">
        <v>152</v>
      </c>
      <c r="P177" s="57">
        <v>46196.0</v>
      </c>
      <c r="Q177" s="57"/>
      <c r="R177" s="40" t="s">
        <v>323</v>
      </c>
      <c r="S177" s="40" t="str">
        <f t="array" ref="S177">IF(C177="","",IFERROR(_xlfn.XLOOKUP(C177,Volunteers!D:D,Volunteers!A:A),""))</f>
        <v>003</v>
      </c>
      <c r="T177" s="40">
        <v>0.0013020833333333333</v>
      </c>
    </row>
    <row r="178">
      <c r="A178" s="52">
        <v>46195.0</v>
      </c>
      <c r="B178" s="28" t="s">
        <v>227</v>
      </c>
      <c r="C178" s="28" t="s">
        <v>228</v>
      </c>
      <c r="D178" s="28" t="s">
        <v>49</v>
      </c>
      <c r="E178" s="28" t="s">
        <v>42</v>
      </c>
      <c r="F178" s="28" t="s">
        <v>44</v>
      </c>
      <c r="G178" s="53">
        <v>0.7708333333333334</v>
      </c>
      <c r="H178" s="53">
        <v>0.8125</v>
      </c>
      <c r="I178" s="31">
        <v>0.041666666666666664</v>
      </c>
      <c r="J178" s="54">
        <v>1.0</v>
      </c>
      <c r="K178" s="55" t="s">
        <v>29</v>
      </c>
      <c r="L178" s="56">
        <v>35.47</v>
      </c>
      <c r="M178" s="56">
        <v>35.47</v>
      </c>
      <c r="N178" s="28" t="s">
        <v>187</v>
      </c>
      <c r="O178" s="28" t="s">
        <v>152</v>
      </c>
      <c r="P178" s="52">
        <v>46195.0</v>
      </c>
      <c r="Q178" s="52"/>
      <c r="R178" s="28" t="s">
        <v>322</v>
      </c>
      <c r="S178" s="28" t="str">
        <f t="array" ref="S178">IF(C178="","",IFERROR(_xlfn.XLOOKUP(C178,Volunteers!D:D,Volunteers!A:A),""))</f>
        <v>009</v>
      </c>
      <c r="T178" s="28">
        <v>0.001736111111111111</v>
      </c>
    </row>
    <row r="179">
      <c r="A179" s="57">
        <v>46195.0</v>
      </c>
      <c r="B179" s="40" t="s">
        <v>185</v>
      </c>
      <c r="C179" s="40" t="s">
        <v>186</v>
      </c>
      <c r="D179" s="40" t="s">
        <v>53</v>
      </c>
      <c r="E179" s="40" t="s">
        <v>42</v>
      </c>
      <c r="F179" s="40" t="s">
        <v>44</v>
      </c>
      <c r="G179" s="58">
        <v>0.75</v>
      </c>
      <c r="H179" s="58">
        <v>0.7916666666666666</v>
      </c>
      <c r="I179" s="51">
        <v>0.041666666666666664</v>
      </c>
      <c r="J179" s="54">
        <v>1.0</v>
      </c>
      <c r="K179" s="55" t="s">
        <v>29</v>
      </c>
      <c r="L179" s="56">
        <v>35.47</v>
      </c>
      <c r="M179" s="56">
        <v>35.47</v>
      </c>
      <c r="N179" s="40" t="s">
        <v>187</v>
      </c>
      <c r="O179" s="40" t="s">
        <v>152</v>
      </c>
      <c r="P179" s="57">
        <v>46195.0</v>
      </c>
      <c r="Q179" s="57"/>
      <c r="R179" s="40" t="s">
        <v>324</v>
      </c>
      <c r="S179" s="40" t="str">
        <f t="array" ref="S179">IF(C179="","",IFERROR(_xlfn.XLOOKUP(C179,Volunteers!D:D,Volunteers!A:A),""))</f>
        <v>002</v>
      </c>
      <c r="T179" s="40">
        <v>0.001736111111111111</v>
      </c>
    </row>
    <row r="180">
      <c r="A180" s="52">
        <v>46193.0</v>
      </c>
      <c r="B180" s="28" t="s">
        <v>227</v>
      </c>
      <c r="C180" s="28" t="s">
        <v>228</v>
      </c>
      <c r="D180" s="28" t="s">
        <v>49</v>
      </c>
      <c r="E180" s="28" t="s">
        <v>42</v>
      </c>
      <c r="F180" s="28" t="s">
        <v>44</v>
      </c>
      <c r="G180" s="53">
        <v>0.7708333333333334</v>
      </c>
      <c r="H180" s="53">
        <v>0.8125</v>
      </c>
      <c r="I180" s="31">
        <v>0.041666666666666664</v>
      </c>
      <c r="J180" s="54">
        <v>1.0</v>
      </c>
      <c r="K180" s="55" t="s">
        <v>29</v>
      </c>
      <c r="L180" s="56">
        <v>35.47</v>
      </c>
      <c r="M180" s="56">
        <v>35.47</v>
      </c>
      <c r="N180" s="28" t="s">
        <v>187</v>
      </c>
      <c r="O180" s="28" t="s">
        <v>152</v>
      </c>
      <c r="P180" s="52">
        <v>46193.0</v>
      </c>
      <c r="Q180" s="52"/>
      <c r="R180" s="28" t="s">
        <v>322</v>
      </c>
      <c r="S180" s="28" t="str">
        <f t="array" ref="S180">IF(C180="","",IFERROR(_xlfn.XLOOKUP(C180,Volunteers!D:D,Volunteers!A:A),""))</f>
        <v>009</v>
      </c>
      <c r="T180" s="28">
        <v>0.001736111111111111</v>
      </c>
    </row>
    <row r="181">
      <c r="A181" s="57">
        <v>46192.0</v>
      </c>
      <c r="B181" s="40" t="s">
        <v>227</v>
      </c>
      <c r="C181" s="40" t="s">
        <v>228</v>
      </c>
      <c r="D181" s="40" t="s">
        <v>49</v>
      </c>
      <c r="E181" s="40" t="s">
        <v>42</v>
      </c>
      <c r="F181" s="40" t="s">
        <v>44</v>
      </c>
      <c r="G181" s="58">
        <v>0.7708333333333334</v>
      </c>
      <c r="H181" s="58">
        <v>0.8125</v>
      </c>
      <c r="I181" s="51">
        <v>0.041666666666666664</v>
      </c>
      <c r="J181" s="54">
        <v>1.0</v>
      </c>
      <c r="K181" s="55" t="s">
        <v>29</v>
      </c>
      <c r="L181" s="56">
        <v>35.47</v>
      </c>
      <c r="M181" s="56">
        <v>35.47</v>
      </c>
      <c r="N181" s="40" t="s">
        <v>187</v>
      </c>
      <c r="O181" s="40" t="s">
        <v>152</v>
      </c>
      <c r="P181" s="57">
        <v>46192.0</v>
      </c>
      <c r="Q181" s="57"/>
      <c r="R181" s="40" t="s">
        <v>322</v>
      </c>
      <c r="S181" s="40" t="str">
        <f t="array" ref="S181">IF(C181="","",IFERROR(_xlfn.XLOOKUP(C181,Volunteers!D:D,Volunteers!A:A),""))</f>
        <v>009</v>
      </c>
      <c r="T181" s="40">
        <v>0.001736111111111111</v>
      </c>
    </row>
    <row r="182">
      <c r="A182" s="52">
        <v>46191.0</v>
      </c>
      <c r="B182" s="28" t="s">
        <v>227</v>
      </c>
      <c r="C182" s="28" t="s">
        <v>228</v>
      </c>
      <c r="D182" s="28" t="s">
        <v>49</v>
      </c>
      <c r="E182" s="28" t="s">
        <v>42</v>
      </c>
      <c r="F182" s="28" t="s">
        <v>44</v>
      </c>
      <c r="G182" s="53">
        <v>0.7708333333333334</v>
      </c>
      <c r="H182" s="53">
        <v>0.8125</v>
      </c>
      <c r="I182" s="31">
        <v>0.041666666666666664</v>
      </c>
      <c r="J182" s="54">
        <v>1.0</v>
      </c>
      <c r="K182" s="55" t="s">
        <v>29</v>
      </c>
      <c r="L182" s="56">
        <v>35.47</v>
      </c>
      <c r="M182" s="56">
        <v>35.47</v>
      </c>
      <c r="N182" s="28" t="s">
        <v>187</v>
      </c>
      <c r="O182" s="28" t="s">
        <v>152</v>
      </c>
      <c r="P182" s="52">
        <v>46191.0</v>
      </c>
      <c r="Q182" s="52"/>
      <c r="R182" s="28" t="s">
        <v>322</v>
      </c>
      <c r="S182" s="28" t="str">
        <f t="array" ref="S182">IF(C182="","",IFERROR(_xlfn.XLOOKUP(C182,Volunteers!D:D,Volunteers!A:A),""))</f>
        <v>009</v>
      </c>
      <c r="T182" s="28">
        <v>0.001736111111111111</v>
      </c>
    </row>
    <row r="183">
      <c r="A183" s="57">
        <v>46191.0</v>
      </c>
      <c r="B183" s="40" t="s">
        <v>199</v>
      </c>
      <c r="C183" s="40" t="s">
        <v>200</v>
      </c>
      <c r="D183" s="40" t="s">
        <v>33</v>
      </c>
      <c r="E183" s="40" t="s">
        <v>32</v>
      </c>
      <c r="F183" s="40" t="s">
        <v>44</v>
      </c>
      <c r="G183" s="58">
        <v>0.625</v>
      </c>
      <c r="H183" s="58">
        <v>0.6666666666666666</v>
      </c>
      <c r="I183" s="51">
        <v>0.041666666666666664</v>
      </c>
      <c r="J183" s="54">
        <v>1.0</v>
      </c>
      <c r="K183" s="55" t="s">
        <v>29</v>
      </c>
      <c r="L183" s="56">
        <v>35.47</v>
      </c>
      <c r="M183" s="56">
        <v>35.47</v>
      </c>
      <c r="N183" s="40" t="s">
        <v>224</v>
      </c>
      <c r="O183" s="40" t="s">
        <v>152</v>
      </c>
      <c r="P183" s="57">
        <v>46191.0</v>
      </c>
      <c r="Q183" s="57"/>
      <c r="R183" s="40" t="s">
        <v>225</v>
      </c>
      <c r="S183" s="40" t="str">
        <f t="array" ref="S183">IF(C183="","",IFERROR(_xlfn.XLOOKUP(C183,Volunteers!D:D,Volunteers!A:A),""))</f>
        <v>005</v>
      </c>
      <c r="T183" s="40">
        <v>0.001736111111111111</v>
      </c>
    </row>
    <row r="184">
      <c r="A184" s="52">
        <v>46183.0</v>
      </c>
      <c r="B184" s="28" t="s">
        <v>199</v>
      </c>
      <c r="C184" s="28" t="s">
        <v>200</v>
      </c>
      <c r="D184" s="28" t="s">
        <v>33</v>
      </c>
      <c r="E184" s="28" t="s">
        <v>32</v>
      </c>
      <c r="F184" s="28" t="s">
        <v>44</v>
      </c>
      <c r="G184" s="53">
        <v>0.5791666666666667</v>
      </c>
      <c r="H184" s="53">
        <v>0.6416666666666667</v>
      </c>
      <c r="I184" s="31">
        <v>0.0625</v>
      </c>
      <c r="J184" s="54">
        <v>1.5</v>
      </c>
      <c r="K184" s="55" t="s">
        <v>29</v>
      </c>
      <c r="L184" s="56">
        <v>35.47</v>
      </c>
      <c r="M184" s="56">
        <v>53.205</v>
      </c>
      <c r="N184" s="28" t="s">
        <v>224</v>
      </c>
      <c r="O184" s="28" t="s">
        <v>152</v>
      </c>
      <c r="P184" s="52">
        <v>46183.0</v>
      </c>
      <c r="Q184" s="52"/>
      <c r="R184" s="28" t="s">
        <v>225</v>
      </c>
      <c r="S184" s="28" t="str">
        <f t="array" ref="S184">IF(C184="","",IFERROR(_xlfn.XLOOKUP(C184,Volunteers!D:D,Volunteers!A:A),""))</f>
        <v>005</v>
      </c>
      <c r="T184" s="28">
        <v>0.0026041666666666665</v>
      </c>
    </row>
    <row r="185">
      <c r="A185" s="57">
        <v>46181.0</v>
      </c>
      <c r="B185" s="40" t="s">
        <v>199</v>
      </c>
      <c r="C185" s="40" t="s">
        <v>200</v>
      </c>
      <c r="D185" s="40" t="s">
        <v>33</v>
      </c>
      <c r="E185" s="40" t="s">
        <v>32</v>
      </c>
      <c r="F185" s="40" t="s">
        <v>44</v>
      </c>
      <c r="G185" s="58">
        <v>0.7104166666666667</v>
      </c>
      <c r="H185" s="58">
        <v>0.7520833333333333</v>
      </c>
      <c r="I185" s="51">
        <v>0.041666666666666664</v>
      </c>
      <c r="J185" s="54">
        <v>1.0</v>
      </c>
      <c r="K185" s="55" t="s">
        <v>29</v>
      </c>
      <c r="L185" s="56">
        <v>35.47</v>
      </c>
      <c r="M185" s="56">
        <v>35.47</v>
      </c>
      <c r="N185" s="40" t="s">
        <v>224</v>
      </c>
      <c r="O185" s="40" t="s">
        <v>152</v>
      </c>
      <c r="P185" s="57">
        <v>46181.0</v>
      </c>
      <c r="Q185" s="57"/>
      <c r="R185" s="40" t="s">
        <v>225</v>
      </c>
      <c r="S185" s="40" t="str">
        <f t="array" ref="S185">IF(C185="","",IFERROR(_xlfn.XLOOKUP(C185,Volunteers!D:D,Volunteers!A:A),""))</f>
        <v>005</v>
      </c>
      <c r="T185" s="40">
        <v>0.001736111111111111</v>
      </c>
    </row>
    <row r="186">
      <c r="A186" s="52">
        <v>46180.0</v>
      </c>
      <c r="B186" s="28" t="s">
        <v>64</v>
      </c>
      <c r="C186" s="28" t="s">
        <v>170</v>
      </c>
      <c r="D186" s="28" t="s">
        <v>60</v>
      </c>
      <c r="E186" s="28" t="s">
        <v>42</v>
      </c>
      <c r="F186" s="28" t="s">
        <v>44</v>
      </c>
      <c r="G186" s="53">
        <v>0.375</v>
      </c>
      <c r="H186" s="53">
        <v>0.125</v>
      </c>
      <c r="I186" s="31">
        <v>0.75</v>
      </c>
      <c r="J186" s="54">
        <v>18.0</v>
      </c>
      <c r="K186" s="55" t="s">
        <v>29</v>
      </c>
      <c r="L186" s="56">
        <v>35.47</v>
      </c>
      <c r="M186" s="56">
        <v>638.46</v>
      </c>
      <c r="N186" s="28" t="s">
        <v>151</v>
      </c>
      <c r="O186" s="28" t="s">
        <v>152</v>
      </c>
      <c r="P186" s="52">
        <v>46180.0</v>
      </c>
      <c r="Q186" s="52"/>
      <c r="R186" s="28" t="s">
        <v>325</v>
      </c>
      <c r="S186" s="28" t="str">
        <f t="array" ref="S186">IF(C186="","",IFERROR(_xlfn.XLOOKUP(C186,Volunteers!D:D,Volunteers!A:A),""))</f>
        <v>007</v>
      </c>
      <c r="T186" s="28">
        <v>0.03125</v>
      </c>
    </row>
    <row r="187">
      <c r="A187" s="57">
        <v>46179.0</v>
      </c>
      <c r="B187" s="40" t="s">
        <v>199</v>
      </c>
      <c r="C187" s="40" t="s">
        <v>200</v>
      </c>
      <c r="D187" s="40" t="s">
        <v>33</v>
      </c>
      <c r="E187" s="40" t="s">
        <v>32</v>
      </c>
      <c r="F187" s="40" t="s">
        <v>44</v>
      </c>
      <c r="G187" s="58">
        <v>0.5</v>
      </c>
      <c r="H187" s="58">
        <v>0.5833333333333334</v>
      </c>
      <c r="I187" s="51">
        <v>0.08333333333333333</v>
      </c>
      <c r="J187" s="54">
        <v>2.0</v>
      </c>
      <c r="K187" s="55" t="s">
        <v>29</v>
      </c>
      <c r="L187" s="56">
        <v>35.47</v>
      </c>
      <c r="M187" s="56">
        <v>70.94</v>
      </c>
      <c r="N187" s="40" t="s">
        <v>224</v>
      </c>
      <c r="O187" s="40" t="s">
        <v>152</v>
      </c>
      <c r="P187" s="57">
        <v>46179.0</v>
      </c>
      <c r="Q187" s="57"/>
      <c r="R187" s="40" t="s">
        <v>225</v>
      </c>
      <c r="S187" s="40" t="str">
        <f t="array" ref="S187">IF(C187="","",IFERROR(_xlfn.XLOOKUP(C187,Volunteers!D:D,Volunteers!A:A),""))</f>
        <v>005</v>
      </c>
      <c r="T187" s="40">
        <v>0.003472222222222222</v>
      </c>
    </row>
    <row r="188">
      <c r="A188" s="52">
        <v>46178.0</v>
      </c>
      <c r="B188" s="28" t="s">
        <v>64</v>
      </c>
      <c r="C188" s="28" t="s">
        <v>170</v>
      </c>
      <c r="D188" s="28" t="s">
        <v>60</v>
      </c>
      <c r="E188" s="28" t="s">
        <v>42</v>
      </c>
      <c r="F188" s="28" t="s">
        <v>44</v>
      </c>
      <c r="G188" s="53">
        <v>0.03819444444444445</v>
      </c>
      <c r="H188" s="53">
        <v>0.5381944444444444</v>
      </c>
      <c r="I188" s="31">
        <v>0.5</v>
      </c>
      <c r="J188" s="54">
        <v>12.0</v>
      </c>
      <c r="K188" s="55" t="s">
        <v>29</v>
      </c>
      <c r="L188" s="56">
        <v>35.47</v>
      </c>
      <c r="M188" s="56">
        <v>425.64</v>
      </c>
      <c r="N188" s="28" t="s">
        <v>151</v>
      </c>
      <c r="O188" s="28" t="s">
        <v>152</v>
      </c>
      <c r="P188" s="52">
        <v>46178.0</v>
      </c>
      <c r="Q188" s="52"/>
      <c r="R188" s="28" t="s">
        <v>317</v>
      </c>
      <c r="S188" s="28" t="str">
        <f t="array" ref="S188">IF(C188="","",IFERROR(_xlfn.XLOOKUP(C188,Volunteers!D:D,Volunteers!A:A),""))</f>
        <v>007</v>
      </c>
      <c r="T188" s="28">
        <v>0.020833333333333332</v>
      </c>
    </row>
    <row r="189">
      <c r="A189" s="57">
        <v>46176.0</v>
      </c>
      <c r="B189" s="40" t="s">
        <v>199</v>
      </c>
      <c r="C189" s="40" t="s">
        <v>200</v>
      </c>
      <c r="D189" s="40" t="s">
        <v>33</v>
      </c>
      <c r="E189" s="40" t="s">
        <v>32</v>
      </c>
      <c r="F189" s="40" t="s">
        <v>44</v>
      </c>
      <c r="G189" s="58">
        <v>0.36875</v>
      </c>
      <c r="H189" s="58">
        <v>0.38958333333333334</v>
      </c>
      <c r="I189" s="51">
        <v>0.020833333333333332</v>
      </c>
      <c r="J189" s="54">
        <v>0.5</v>
      </c>
      <c r="K189" s="55" t="s">
        <v>29</v>
      </c>
      <c r="L189" s="56">
        <v>35.47</v>
      </c>
      <c r="M189" s="56">
        <v>17.735</v>
      </c>
      <c r="N189" s="40" t="s">
        <v>224</v>
      </c>
      <c r="O189" s="40" t="s">
        <v>152</v>
      </c>
      <c r="P189" s="57">
        <v>46176.0</v>
      </c>
      <c r="Q189" s="57"/>
      <c r="R189" s="40" t="s">
        <v>225</v>
      </c>
      <c r="S189" s="40" t="str">
        <f t="array" ref="S189">IF(C189="","",IFERROR(_xlfn.XLOOKUP(C189,Volunteers!D:D,Volunteers!A:A),""))</f>
        <v>005</v>
      </c>
      <c r="T189" s="40">
        <v>8.680555555555555E-4</v>
      </c>
    </row>
    <row r="190">
      <c r="A190" s="52">
        <v>46175.0</v>
      </c>
      <c r="B190" s="28" t="s">
        <v>199</v>
      </c>
      <c r="C190" s="28" t="s">
        <v>200</v>
      </c>
      <c r="D190" s="28" t="s">
        <v>33</v>
      </c>
      <c r="E190" s="28" t="s">
        <v>32</v>
      </c>
      <c r="F190" s="28" t="s">
        <v>44</v>
      </c>
      <c r="G190" s="53">
        <v>0.5833333333333334</v>
      </c>
      <c r="H190" s="53">
        <v>0.6527777777777778</v>
      </c>
      <c r="I190" s="31">
        <v>0.06944445833333333</v>
      </c>
      <c r="J190" s="54">
        <v>1.666667</v>
      </c>
      <c r="K190" s="55" t="s">
        <v>29</v>
      </c>
      <c r="L190" s="56">
        <v>35.47</v>
      </c>
      <c r="M190" s="56">
        <v>59.11667848999999</v>
      </c>
      <c r="N190" s="28" t="s">
        <v>224</v>
      </c>
      <c r="O190" s="28" t="s">
        <v>152</v>
      </c>
      <c r="P190" s="52">
        <v>46175.0</v>
      </c>
      <c r="Q190" s="52"/>
      <c r="R190" s="28" t="s">
        <v>225</v>
      </c>
      <c r="S190" s="28" t="str">
        <f t="array" ref="S190">IF(C190="","",IFERROR(_xlfn.XLOOKUP(C190,Volunteers!D:D,Volunteers!A:A),""))</f>
        <v>005</v>
      </c>
      <c r="T190" s="28">
        <v>0.0028935190972222222</v>
      </c>
    </row>
    <row r="191">
      <c r="A191" s="57">
        <v>46234.0</v>
      </c>
      <c r="B191" s="40" t="s">
        <v>185</v>
      </c>
      <c r="C191" s="40" t="s">
        <v>186</v>
      </c>
      <c r="D191" s="40" t="s">
        <v>53</v>
      </c>
      <c r="E191" s="40" t="s">
        <v>42</v>
      </c>
      <c r="F191" s="40" t="s">
        <v>44</v>
      </c>
      <c r="G191" s="58">
        <v>0.8840277777777777</v>
      </c>
      <c r="H191" s="58">
        <v>0.9701388888888889</v>
      </c>
      <c r="I191" s="51">
        <v>0.086111125</v>
      </c>
      <c r="J191" s="54">
        <v>2.066667</v>
      </c>
      <c r="K191" s="55" t="s">
        <v>29</v>
      </c>
      <c r="L191" s="56">
        <v>35.47</v>
      </c>
      <c r="M191" s="56">
        <v>73.30467848999999</v>
      </c>
      <c r="N191" s="40" t="s">
        <v>187</v>
      </c>
      <c r="O191" s="40" t="s">
        <v>152</v>
      </c>
      <c r="P191" s="57">
        <v>46234.0</v>
      </c>
      <c r="Q191" s="57"/>
      <c r="R191" s="40" t="s">
        <v>326</v>
      </c>
      <c r="S191" s="40" t="str">
        <f t="array" ref="S191">IF(C191="","",IFERROR(_xlfn.XLOOKUP(C191,Volunteers!D:D,Volunteers!A:A),""))</f>
        <v>002</v>
      </c>
      <c r="T191" s="40">
        <v>0.0035879635416666664</v>
      </c>
    </row>
    <row r="192">
      <c r="A192" s="52">
        <v>46234.0</v>
      </c>
      <c r="B192" s="28" t="s">
        <v>199</v>
      </c>
      <c r="C192" s="28" t="s">
        <v>200</v>
      </c>
      <c r="D192" s="28" t="s">
        <v>33</v>
      </c>
      <c r="E192" s="28" t="s">
        <v>32</v>
      </c>
      <c r="F192" s="28" t="s">
        <v>44</v>
      </c>
      <c r="G192" s="53">
        <v>0.6041666666666666</v>
      </c>
      <c r="H192" s="53">
        <v>0.7291666666666666</v>
      </c>
      <c r="I192" s="31">
        <v>0.125</v>
      </c>
      <c r="J192" s="54">
        <v>3.0</v>
      </c>
      <c r="K192" s="55" t="s">
        <v>29</v>
      </c>
      <c r="L192" s="56">
        <v>35.47</v>
      </c>
      <c r="M192" s="56">
        <v>106.41</v>
      </c>
      <c r="N192" s="28" t="s">
        <v>224</v>
      </c>
      <c r="O192" s="28" t="s">
        <v>152</v>
      </c>
      <c r="P192" s="52">
        <v>46234.0</v>
      </c>
      <c r="Q192" s="52"/>
      <c r="R192" s="28" t="s">
        <v>225</v>
      </c>
      <c r="S192" s="28" t="str">
        <f t="array" ref="S192">IF(C192="","",IFERROR(_xlfn.XLOOKUP(C192,Volunteers!D:D,Volunteers!A:A),""))</f>
        <v>005</v>
      </c>
      <c r="T192" s="28">
        <v>0.005208333333333333</v>
      </c>
    </row>
    <row r="193">
      <c r="A193" s="57">
        <v>46234.0</v>
      </c>
      <c r="B193" s="40" t="s">
        <v>64</v>
      </c>
      <c r="C193" s="40" t="s">
        <v>170</v>
      </c>
      <c r="D193" s="40" t="s">
        <v>60</v>
      </c>
      <c r="E193" s="40" t="s">
        <v>42</v>
      </c>
      <c r="F193" s="40" t="s">
        <v>44</v>
      </c>
      <c r="G193" s="58">
        <v>0.5743055555555555</v>
      </c>
      <c r="H193" s="58">
        <v>0.19930555555555557</v>
      </c>
      <c r="I193" s="51">
        <v>0.625</v>
      </c>
      <c r="J193" s="54">
        <v>15.0</v>
      </c>
      <c r="K193" s="55" t="s">
        <v>29</v>
      </c>
      <c r="L193" s="56">
        <v>35.47</v>
      </c>
      <c r="M193" s="56">
        <v>532.05</v>
      </c>
      <c r="N193" s="40" t="s">
        <v>151</v>
      </c>
      <c r="O193" s="40" t="s">
        <v>152</v>
      </c>
      <c r="P193" s="57">
        <v>46234.0</v>
      </c>
      <c r="Q193" s="57"/>
      <c r="R193" s="40" t="s">
        <v>319</v>
      </c>
      <c r="S193" s="40" t="str">
        <f t="array" ref="S193">IF(C193="","",IFERROR(_xlfn.XLOOKUP(C193,Volunteers!D:D,Volunteers!A:A),""))</f>
        <v>007</v>
      </c>
      <c r="T193" s="40">
        <v>0.026041666666666668</v>
      </c>
    </row>
    <row r="194">
      <c r="A194" s="52">
        <v>46232.0</v>
      </c>
      <c r="B194" s="28" t="s">
        <v>199</v>
      </c>
      <c r="C194" s="28" t="s">
        <v>200</v>
      </c>
      <c r="D194" s="28" t="s">
        <v>33</v>
      </c>
      <c r="E194" s="28" t="s">
        <v>32</v>
      </c>
      <c r="F194" s="28" t="s">
        <v>44</v>
      </c>
      <c r="G194" s="53">
        <v>0.49930555555555556</v>
      </c>
      <c r="H194" s="53">
        <v>0.5409722222222222</v>
      </c>
      <c r="I194" s="31">
        <v>0.041666666666666664</v>
      </c>
      <c r="J194" s="54">
        <v>1.0</v>
      </c>
      <c r="K194" s="55" t="s">
        <v>29</v>
      </c>
      <c r="L194" s="56">
        <v>35.47</v>
      </c>
      <c r="M194" s="56">
        <v>35.47</v>
      </c>
      <c r="N194" s="28" t="s">
        <v>224</v>
      </c>
      <c r="O194" s="28" t="s">
        <v>152</v>
      </c>
      <c r="P194" s="52">
        <v>46232.0</v>
      </c>
      <c r="Q194" s="52"/>
      <c r="R194" s="28" t="s">
        <v>225</v>
      </c>
      <c r="S194" s="28" t="str">
        <f t="array" ref="S194">IF(C194="","",IFERROR(_xlfn.XLOOKUP(C194,Volunteers!D:D,Volunteers!A:A),""))</f>
        <v>005</v>
      </c>
      <c r="T194" s="28">
        <v>0.001736111111111111</v>
      </c>
    </row>
    <row r="195">
      <c r="A195" s="57">
        <v>46227.0</v>
      </c>
      <c r="B195" s="40" t="s">
        <v>199</v>
      </c>
      <c r="C195" s="40" t="s">
        <v>200</v>
      </c>
      <c r="D195" s="40" t="s">
        <v>33</v>
      </c>
      <c r="E195" s="40" t="s">
        <v>32</v>
      </c>
      <c r="F195" s="40" t="s">
        <v>44</v>
      </c>
      <c r="G195" s="58">
        <v>0.6791666666666667</v>
      </c>
      <c r="H195" s="58">
        <v>0.7208333333333333</v>
      </c>
      <c r="I195" s="51">
        <v>0.041666666666666664</v>
      </c>
      <c r="J195" s="54">
        <v>1.0</v>
      </c>
      <c r="K195" s="55" t="s">
        <v>29</v>
      </c>
      <c r="L195" s="56">
        <v>35.47</v>
      </c>
      <c r="M195" s="56">
        <v>35.47</v>
      </c>
      <c r="N195" s="40" t="s">
        <v>224</v>
      </c>
      <c r="O195" s="40" t="s">
        <v>152</v>
      </c>
      <c r="P195" s="57">
        <v>46227.0</v>
      </c>
      <c r="Q195" s="57"/>
      <c r="R195" s="40" t="s">
        <v>225</v>
      </c>
      <c r="S195" s="40" t="str">
        <f t="array" ref="S195">IF(C195="","",IFERROR(_xlfn.XLOOKUP(C195,Volunteers!D:D,Volunteers!A:A),""))</f>
        <v>005</v>
      </c>
      <c r="T195" s="40">
        <v>0.001736111111111111</v>
      </c>
    </row>
    <row r="196">
      <c r="A196" s="52">
        <v>46227.0</v>
      </c>
      <c r="B196" s="28" t="s">
        <v>199</v>
      </c>
      <c r="C196" s="28" t="s">
        <v>200</v>
      </c>
      <c r="D196" s="28" t="s">
        <v>33</v>
      </c>
      <c r="E196" s="28" t="s">
        <v>32</v>
      </c>
      <c r="F196" s="28" t="s">
        <v>44</v>
      </c>
      <c r="G196" s="53">
        <v>0.4375</v>
      </c>
      <c r="H196" s="53">
        <v>0.5</v>
      </c>
      <c r="I196" s="31">
        <v>0.0625</v>
      </c>
      <c r="J196" s="54">
        <v>1.5</v>
      </c>
      <c r="K196" s="55" t="s">
        <v>29</v>
      </c>
      <c r="L196" s="56">
        <v>35.47</v>
      </c>
      <c r="M196" s="56">
        <v>53.205</v>
      </c>
      <c r="N196" s="28" t="s">
        <v>224</v>
      </c>
      <c r="O196" s="28" t="s">
        <v>152</v>
      </c>
      <c r="P196" s="52">
        <v>46227.0</v>
      </c>
      <c r="Q196" s="52"/>
      <c r="R196" s="28" t="s">
        <v>225</v>
      </c>
      <c r="S196" s="28" t="str">
        <f t="array" ref="S196">IF(C196="","",IFERROR(_xlfn.XLOOKUP(C196,Volunteers!D:D,Volunteers!A:A),""))</f>
        <v>005</v>
      </c>
      <c r="T196" s="28">
        <v>0.0026041666666666665</v>
      </c>
    </row>
    <row r="197">
      <c r="A197" s="57">
        <v>46225.0</v>
      </c>
      <c r="B197" s="40" t="s">
        <v>199</v>
      </c>
      <c r="C197" s="40" t="s">
        <v>200</v>
      </c>
      <c r="D197" s="40" t="s">
        <v>33</v>
      </c>
      <c r="E197" s="40" t="s">
        <v>32</v>
      </c>
      <c r="F197" s="40" t="s">
        <v>44</v>
      </c>
      <c r="G197" s="58">
        <v>0.7916666666666666</v>
      </c>
      <c r="H197" s="58">
        <v>0.8125</v>
      </c>
      <c r="I197" s="51">
        <v>0.020833333333333332</v>
      </c>
      <c r="J197" s="54">
        <v>0.5</v>
      </c>
      <c r="K197" s="55" t="s">
        <v>29</v>
      </c>
      <c r="L197" s="56">
        <v>35.47</v>
      </c>
      <c r="M197" s="56">
        <v>17.735</v>
      </c>
      <c r="N197" s="40" t="s">
        <v>224</v>
      </c>
      <c r="O197" s="40" t="s">
        <v>152</v>
      </c>
      <c r="P197" s="57">
        <v>46225.0</v>
      </c>
      <c r="Q197" s="57"/>
      <c r="R197" s="40" t="s">
        <v>225</v>
      </c>
      <c r="S197" s="40" t="str">
        <f t="array" ref="S197">IF(C197="","",IFERROR(_xlfn.XLOOKUP(C197,Volunteers!D:D,Volunteers!A:A),""))</f>
        <v>005</v>
      </c>
      <c r="T197" s="40">
        <v>8.680555555555555E-4</v>
      </c>
    </row>
    <row r="198">
      <c r="A198" s="52">
        <v>46218.0</v>
      </c>
      <c r="B198" s="28" t="s">
        <v>185</v>
      </c>
      <c r="C198" s="28" t="s">
        <v>186</v>
      </c>
      <c r="D198" s="28" t="s">
        <v>53</v>
      </c>
      <c r="E198" s="28" t="s">
        <v>42</v>
      </c>
      <c r="F198" s="28" t="s">
        <v>44</v>
      </c>
      <c r="G198" s="53">
        <v>0.875</v>
      </c>
      <c r="H198" s="53">
        <v>0.8840277777777777</v>
      </c>
      <c r="I198" s="31">
        <v>0.009027791666666667</v>
      </c>
      <c r="J198" s="54">
        <v>0.216667</v>
      </c>
      <c r="K198" s="55" t="s">
        <v>29</v>
      </c>
      <c r="L198" s="56">
        <v>35.47</v>
      </c>
      <c r="M198" s="56">
        <v>7.685178489999999</v>
      </c>
      <c r="N198" s="28" t="s">
        <v>187</v>
      </c>
      <c r="O198" s="28" t="s">
        <v>152</v>
      </c>
      <c r="P198" s="52">
        <v>46218.0</v>
      </c>
      <c r="Q198" s="52"/>
      <c r="R198" s="28" t="s">
        <v>327</v>
      </c>
      <c r="S198" s="28" t="str">
        <f t="array" ref="S198">IF(C198="","",IFERROR(_xlfn.XLOOKUP(C198,Volunteers!D:D,Volunteers!A:A),""))</f>
        <v>002</v>
      </c>
      <c r="T198" s="28">
        <v>3.761579861111111E-4</v>
      </c>
    </row>
    <row r="199">
      <c r="A199" s="57">
        <v>46218.0</v>
      </c>
      <c r="B199" s="40" t="s">
        <v>199</v>
      </c>
      <c r="C199" s="40" t="s">
        <v>200</v>
      </c>
      <c r="D199" s="40" t="s">
        <v>33</v>
      </c>
      <c r="E199" s="40" t="s">
        <v>32</v>
      </c>
      <c r="F199" s="40" t="s">
        <v>44</v>
      </c>
      <c r="G199" s="58">
        <v>0.6486111111111111</v>
      </c>
      <c r="H199" s="58">
        <v>0.6902777777777778</v>
      </c>
      <c r="I199" s="51">
        <v>0.041666666666666664</v>
      </c>
      <c r="J199" s="54">
        <v>1.0</v>
      </c>
      <c r="K199" s="55" t="s">
        <v>29</v>
      </c>
      <c r="L199" s="56">
        <v>35.47</v>
      </c>
      <c r="M199" s="56">
        <v>35.47</v>
      </c>
      <c r="N199" s="40" t="s">
        <v>224</v>
      </c>
      <c r="O199" s="40" t="s">
        <v>152</v>
      </c>
      <c r="P199" s="57">
        <v>46218.0</v>
      </c>
      <c r="Q199" s="57"/>
      <c r="R199" s="40" t="s">
        <v>225</v>
      </c>
      <c r="S199" s="40" t="str">
        <f t="array" ref="S199">IF(C199="","",IFERROR(_xlfn.XLOOKUP(C199,Volunteers!D:D,Volunteers!A:A),""))</f>
        <v>005</v>
      </c>
      <c r="T199" s="40">
        <v>0.001736111111111111</v>
      </c>
    </row>
    <row r="200">
      <c r="A200" s="52">
        <v>46216.0</v>
      </c>
      <c r="B200" s="28" t="s">
        <v>185</v>
      </c>
      <c r="C200" s="28" t="s">
        <v>186</v>
      </c>
      <c r="D200" s="28" t="s">
        <v>53</v>
      </c>
      <c r="E200" s="28" t="s">
        <v>42</v>
      </c>
      <c r="F200" s="28" t="s">
        <v>44</v>
      </c>
      <c r="G200" s="53">
        <v>0.8916666666666667</v>
      </c>
      <c r="H200" s="53">
        <v>0.9277777777777778</v>
      </c>
      <c r="I200" s="31">
        <v>0.036111125</v>
      </c>
      <c r="J200" s="54">
        <v>0.8666670000000001</v>
      </c>
      <c r="K200" s="55" t="s">
        <v>29</v>
      </c>
      <c r="L200" s="56">
        <v>35.47</v>
      </c>
      <c r="M200" s="56">
        <v>30.74067849</v>
      </c>
      <c r="N200" s="28" t="s">
        <v>187</v>
      </c>
      <c r="O200" s="28" t="s">
        <v>152</v>
      </c>
      <c r="P200" s="52">
        <v>46216.0</v>
      </c>
      <c r="Q200" s="52"/>
      <c r="R200" s="28" t="s">
        <v>328</v>
      </c>
      <c r="S200" s="28" t="str">
        <f t="array" ref="S200">IF(C200="","",IFERROR(_xlfn.XLOOKUP(C200,Volunteers!D:D,Volunteers!A:A),""))</f>
        <v>002</v>
      </c>
      <c r="T200" s="28">
        <v>0.0015046302083333333</v>
      </c>
    </row>
    <row r="201">
      <c r="A201" s="57">
        <v>46216.0</v>
      </c>
      <c r="B201" s="40" t="s">
        <v>199</v>
      </c>
      <c r="C201" s="40" t="s">
        <v>200</v>
      </c>
      <c r="D201" s="40" t="s">
        <v>33</v>
      </c>
      <c r="E201" s="40" t="s">
        <v>32</v>
      </c>
      <c r="F201" s="40" t="s">
        <v>44</v>
      </c>
      <c r="G201" s="58">
        <v>0.6277777777777778</v>
      </c>
      <c r="H201" s="58">
        <v>0.6694444444444444</v>
      </c>
      <c r="I201" s="51">
        <v>0.041666666666666664</v>
      </c>
      <c r="J201" s="54">
        <v>1.0</v>
      </c>
      <c r="K201" s="55" t="s">
        <v>29</v>
      </c>
      <c r="L201" s="56">
        <v>35.47</v>
      </c>
      <c r="M201" s="56">
        <v>35.47</v>
      </c>
      <c r="N201" s="40" t="s">
        <v>224</v>
      </c>
      <c r="O201" s="40" t="s">
        <v>152</v>
      </c>
      <c r="P201" s="57">
        <v>46216.0</v>
      </c>
      <c r="Q201" s="57"/>
      <c r="R201" s="40" t="s">
        <v>225</v>
      </c>
      <c r="S201" s="40" t="str">
        <f t="array" ref="S201">IF(C201="","",IFERROR(_xlfn.XLOOKUP(C201,Volunteers!D:D,Volunteers!A:A),""))</f>
        <v>005</v>
      </c>
      <c r="T201" s="40">
        <v>0.001736111111111111</v>
      </c>
    </row>
    <row r="202">
      <c r="A202" s="52">
        <v>46212.0</v>
      </c>
      <c r="B202" s="28" t="s">
        <v>185</v>
      </c>
      <c r="C202" s="28" t="s">
        <v>189</v>
      </c>
      <c r="D202" s="28" t="s">
        <v>53</v>
      </c>
      <c r="E202" s="28" t="s">
        <v>42</v>
      </c>
      <c r="F202" s="28" t="s">
        <v>44</v>
      </c>
      <c r="G202" s="53">
        <v>0.5416666666666666</v>
      </c>
      <c r="H202" s="53">
        <v>0.7083333333333334</v>
      </c>
      <c r="I202" s="31">
        <v>0.16666666666666666</v>
      </c>
      <c r="J202" s="54">
        <v>4.0</v>
      </c>
      <c r="K202" s="55" t="s">
        <v>29</v>
      </c>
      <c r="L202" s="56">
        <v>35.47</v>
      </c>
      <c r="M202" s="56">
        <v>141.88</v>
      </c>
      <c r="N202" s="28" t="s">
        <v>187</v>
      </c>
      <c r="O202" s="28" t="s">
        <v>152</v>
      </c>
      <c r="P202" s="52">
        <v>46212.0</v>
      </c>
      <c r="Q202" s="52"/>
      <c r="R202" s="28" t="s">
        <v>329</v>
      </c>
      <c r="S202" s="28" t="str">
        <f t="array" ref="S202">IF(C202="","",IFERROR(_xlfn.XLOOKUP(C202,Volunteers!D:D,Volunteers!A:A),""))</f>
        <v>013</v>
      </c>
      <c r="T202" s="28">
        <v>0.006944444444444444</v>
      </c>
    </row>
    <row r="203">
      <c r="A203" s="57">
        <v>46209.0</v>
      </c>
      <c r="B203" s="40" t="s">
        <v>185</v>
      </c>
      <c r="C203" s="40" t="s">
        <v>186</v>
      </c>
      <c r="D203" s="40" t="s">
        <v>53</v>
      </c>
      <c r="E203" s="40" t="s">
        <v>42</v>
      </c>
      <c r="F203" s="40" t="s">
        <v>44</v>
      </c>
      <c r="G203" s="58">
        <v>0.5833333333333334</v>
      </c>
      <c r="H203" s="58">
        <v>0.6180555555555556</v>
      </c>
      <c r="I203" s="51">
        <v>0.03472220833333333</v>
      </c>
      <c r="J203" s="54">
        <v>0.8333329999999999</v>
      </c>
      <c r="K203" s="55" t="s">
        <v>29</v>
      </c>
      <c r="L203" s="56">
        <v>35.47</v>
      </c>
      <c r="M203" s="56">
        <v>29.558321509999995</v>
      </c>
      <c r="N203" s="40" t="s">
        <v>187</v>
      </c>
      <c r="O203" s="40" t="s">
        <v>152</v>
      </c>
      <c r="P203" s="57">
        <v>46209.0</v>
      </c>
      <c r="Q203" s="57"/>
      <c r="R203" s="40" t="s">
        <v>330</v>
      </c>
      <c r="S203" s="40" t="str">
        <f t="array" ref="S203">IF(C203="","",IFERROR(_xlfn.XLOOKUP(C203,Volunteers!D:D,Volunteers!A:A),""))</f>
        <v>002</v>
      </c>
      <c r="T203" s="40">
        <v>0.0014467586805555555</v>
      </c>
    </row>
    <row r="204">
      <c r="A204" s="52">
        <v>46204.0</v>
      </c>
      <c r="B204" s="28" t="s">
        <v>185</v>
      </c>
      <c r="C204" s="28" t="s">
        <v>175</v>
      </c>
      <c r="D204" s="28" t="s">
        <v>53</v>
      </c>
      <c r="E204" s="28" t="s">
        <v>42</v>
      </c>
      <c r="F204" s="28" t="s">
        <v>44</v>
      </c>
      <c r="G204" s="53">
        <v>0.8472222222222222</v>
      </c>
      <c r="H204" s="53">
        <v>0.8694444444444445</v>
      </c>
      <c r="I204" s="31">
        <v>0.02222220833333333</v>
      </c>
      <c r="J204" s="54">
        <v>0.533333</v>
      </c>
      <c r="K204" s="55" t="s">
        <v>29</v>
      </c>
      <c r="L204" s="56">
        <v>35.47</v>
      </c>
      <c r="M204" s="56">
        <v>18.917321509999997</v>
      </c>
      <c r="N204" s="28" t="s">
        <v>187</v>
      </c>
      <c r="O204" s="28" t="s">
        <v>152</v>
      </c>
      <c r="P204" s="52">
        <v>46204.0</v>
      </c>
      <c r="Q204" s="52"/>
      <c r="R204" s="28" t="s">
        <v>331</v>
      </c>
      <c r="S204" s="28" t="str">
        <f t="array" ref="S204">IF(C204="","",IFERROR(_xlfn.XLOOKUP(C204,Volunteers!D:D,Volunteers!A:A),""))</f>
        <v>003</v>
      </c>
      <c r="T204" s="28">
        <v>9.259253472222221E-4</v>
      </c>
    </row>
    <row r="205">
      <c r="A205" s="57">
        <v>46261.0</v>
      </c>
      <c r="B205" s="40" t="s">
        <v>64</v>
      </c>
      <c r="C205" s="40" t="s">
        <v>170</v>
      </c>
      <c r="D205" s="40" t="s">
        <v>60</v>
      </c>
      <c r="E205" s="40" t="s">
        <v>48</v>
      </c>
      <c r="F205" s="40" t="s">
        <v>44</v>
      </c>
      <c r="G205" s="58">
        <v>0.5763888888888888</v>
      </c>
      <c r="H205" s="58">
        <v>0.5770833333333333</v>
      </c>
      <c r="I205" s="51">
        <v>6.944583333333334E-4</v>
      </c>
      <c r="J205" s="54">
        <v>0.016667</v>
      </c>
      <c r="K205" s="55" t="s">
        <v>29</v>
      </c>
      <c r="L205" s="56">
        <v>35.47</v>
      </c>
      <c r="M205" s="56">
        <v>0.59117849</v>
      </c>
      <c r="N205" s="40" t="s">
        <v>172</v>
      </c>
      <c r="O205" s="40" t="s">
        <v>152</v>
      </c>
      <c r="P205" s="57">
        <v>46261.0</v>
      </c>
      <c r="Q205" s="57"/>
      <c r="R205" s="40" t="s">
        <v>173</v>
      </c>
      <c r="S205" s="40" t="str">
        <f t="array" ref="S205">IF(C205="","",IFERROR(_xlfn.XLOOKUP(C205,Volunteers!D:D,Volunteers!A:A),""))</f>
        <v>007</v>
      </c>
      <c r="T205" s="40">
        <v>2.893576388888889E-5</v>
      </c>
    </row>
    <row r="206">
      <c r="A206" s="52">
        <v>46259.0</v>
      </c>
      <c r="B206" s="28" t="s">
        <v>185</v>
      </c>
      <c r="C206" s="28" t="s">
        <v>186</v>
      </c>
      <c r="D206" s="28" t="s">
        <v>53</v>
      </c>
      <c r="E206" s="28" t="s">
        <v>42</v>
      </c>
      <c r="F206" s="28" t="s">
        <v>44</v>
      </c>
      <c r="G206" s="53">
        <v>0.8826388888888889</v>
      </c>
      <c r="H206" s="53">
        <v>0.91875</v>
      </c>
      <c r="I206" s="31">
        <v>0.036111125</v>
      </c>
      <c r="J206" s="54">
        <v>0.8666670000000001</v>
      </c>
      <c r="K206" s="55" t="s">
        <v>29</v>
      </c>
      <c r="L206" s="56">
        <v>35.47</v>
      </c>
      <c r="M206" s="56">
        <v>30.74067849</v>
      </c>
      <c r="N206" s="28" t="s">
        <v>187</v>
      </c>
      <c r="O206" s="28" t="s">
        <v>152</v>
      </c>
      <c r="P206" s="52">
        <v>46259.0</v>
      </c>
      <c r="Q206" s="52"/>
      <c r="R206" s="28" t="s">
        <v>332</v>
      </c>
      <c r="S206" s="28" t="str">
        <f t="array" ref="S206">IF(C206="","",IFERROR(_xlfn.XLOOKUP(C206,Volunteers!D:D,Volunteers!A:A),""))</f>
        <v>002</v>
      </c>
      <c r="T206" s="28">
        <v>0.0015046302083333333</v>
      </c>
    </row>
    <row r="207">
      <c r="A207" s="57">
        <v>46256.0</v>
      </c>
      <c r="B207" s="40" t="s">
        <v>64</v>
      </c>
      <c r="C207" s="40" t="s">
        <v>170</v>
      </c>
      <c r="D207" s="40" t="s">
        <v>60</v>
      </c>
      <c r="E207" s="40" t="s">
        <v>48</v>
      </c>
      <c r="F207" s="40" t="s">
        <v>44</v>
      </c>
      <c r="G207" s="58">
        <v>0.375</v>
      </c>
      <c r="H207" s="58">
        <v>0.7916666666666666</v>
      </c>
      <c r="I207" s="51">
        <v>5.416666666666667</v>
      </c>
      <c r="J207" s="54">
        <v>130.0</v>
      </c>
      <c r="K207" s="55" t="s">
        <v>29</v>
      </c>
      <c r="L207" s="56">
        <v>35.47</v>
      </c>
      <c r="M207" s="56">
        <v>4611.099999999999</v>
      </c>
      <c r="N207" s="40" t="s">
        <v>172</v>
      </c>
      <c r="O207" s="40" t="s">
        <v>152</v>
      </c>
      <c r="P207" s="57">
        <v>46256.0</v>
      </c>
      <c r="Q207" s="57"/>
      <c r="R207" s="40" t="s">
        <v>173</v>
      </c>
      <c r="S207" s="40" t="str">
        <f t="array" ref="S207">IF(C207="","",IFERROR(_xlfn.XLOOKUP(C207,Volunteers!D:D,Volunteers!A:A),""))</f>
        <v>007</v>
      </c>
      <c r="T207" s="40">
        <v>0.22569444444444445</v>
      </c>
    </row>
    <row r="208">
      <c r="A208" s="52">
        <v>46249.0</v>
      </c>
      <c r="B208" s="28" t="s">
        <v>64</v>
      </c>
      <c r="C208" s="28" t="s">
        <v>170</v>
      </c>
      <c r="D208" s="28" t="s">
        <v>60</v>
      </c>
      <c r="E208" s="28" t="s">
        <v>48</v>
      </c>
      <c r="F208" s="28" t="s">
        <v>44</v>
      </c>
      <c r="G208" s="53">
        <v>0.375</v>
      </c>
      <c r="H208" s="53">
        <v>0.20833333333333334</v>
      </c>
      <c r="I208" s="31">
        <v>5.833333333333333</v>
      </c>
      <c r="J208" s="54">
        <v>140.0</v>
      </c>
      <c r="K208" s="55" t="s">
        <v>29</v>
      </c>
      <c r="L208" s="56">
        <v>35.47</v>
      </c>
      <c r="M208" s="56">
        <v>4965.8</v>
      </c>
      <c r="N208" s="28" t="s">
        <v>172</v>
      </c>
      <c r="O208" s="28" t="s">
        <v>152</v>
      </c>
      <c r="P208" s="52">
        <v>46249.0</v>
      </c>
      <c r="Q208" s="52"/>
      <c r="R208" s="28" t="s">
        <v>173</v>
      </c>
      <c r="S208" s="28" t="str">
        <f t="array" ref="S208">IF(C208="","",IFERROR(_xlfn.XLOOKUP(C208,Volunteers!D:D,Volunteers!A:A),""))</f>
        <v>007</v>
      </c>
      <c r="T208" s="28">
        <v>0.24305555555555555</v>
      </c>
    </row>
    <row r="209">
      <c r="A209" s="57">
        <v>46239.0</v>
      </c>
      <c r="B209" s="40" t="s">
        <v>185</v>
      </c>
      <c r="C209" s="40" t="s">
        <v>186</v>
      </c>
      <c r="D209" s="40" t="s">
        <v>53</v>
      </c>
      <c r="E209" s="40" t="s">
        <v>42</v>
      </c>
      <c r="F209" s="40" t="s">
        <v>44</v>
      </c>
      <c r="G209" s="58">
        <v>0.5625</v>
      </c>
      <c r="H209" s="58">
        <v>0.6111111111111112</v>
      </c>
      <c r="I209" s="51">
        <v>0.048611125</v>
      </c>
      <c r="J209" s="54">
        <v>1.166667</v>
      </c>
      <c r="K209" s="55" t="s">
        <v>29</v>
      </c>
      <c r="L209" s="56">
        <v>35.47</v>
      </c>
      <c r="M209" s="56">
        <v>41.38167848999999</v>
      </c>
      <c r="N209" s="40" t="s">
        <v>187</v>
      </c>
      <c r="O209" s="40" t="s">
        <v>152</v>
      </c>
      <c r="P209" s="57">
        <v>46239.0</v>
      </c>
      <c r="Q209" s="57"/>
      <c r="R209" s="40" t="s">
        <v>333</v>
      </c>
      <c r="S209" s="40" t="str">
        <f t="array" ref="S209">IF(C209="","",IFERROR(_xlfn.XLOOKUP(C209,Volunteers!D:D,Volunteers!A:A),""))</f>
        <v>002</v>
      </c>
      <c r="T209" s="40">
        <v>0.0020254635416666667</v>
      </c>
    </row>
    <row r="210">
      <c r="A210" s="52">
        <v>46293.0</v>
      </c>
      <c r="B210" s="28" t="s">
        <v>185</v>
      </c>
      <c r="C210" s="28" t="s">
        <v>186</v>
      </c>
      <c r="D210" s="28" t="s">
        <v>53</v>
      </c>
      <c r="E210" s="28" t="s">
        <v>42</v>
      </c>
      <c r="F210" s="28" t="s">
        <v>44</v>
      </c>
      <c r="G210" s="53">
        <v>0.8319444444444445</v>
      </c>
      <c r="H210" s="53">
        <v>0.85625</v>
      </c>
      <c r="I210" s="31">
        <v>0.024305541666666666</v>
      </c>
      <c r="J210" s="54">
        <v>0.583333</v>
      </c>
      <c r="K210" s="55" t="s">
        <v>29</v>
      </c>
      <c r="L210" s="56">
        <v>35.47</v>
      </c>
      <c r="M210" s="56">
        <v>20.69082151</v>
      </c>
      <c r="N210" s="28" t="s">
        <v>187</v>
      </c>
      <c r="O210" s="28" t="s">
        <v>152</v>
      </c>
      <c r="P210" s="52">
        <v>46293.0</v>
      </c>
      <c r="Q210" s="52"/>
      <c r="R210" s="28" t="s">
        <v>334</v>
      </c>
      <c r="S210" s="28" t="str">
        <f t="array" ref="S210">IF(C210="","",IFERROR(_xlfn.XLOOKUP(C210,Volunteers!D:D,Volunteers!A:A),""))</f>
        <v>002</v>
      </c>
      <c r="T210" s="28">
        <v>0.0010127309027777778</v>
      </c>
    </row>
    <row r="211">
      <c r="A211" s="57">
        <v>46291.0</v>
      </c>
      <c r="B211" s="41" t="s">
        <v>133</v>
      </c>
      <c r="C211" s="40" t="s">
        <v>186</v>
      </c>
      <c r="D211" s="40" t="s">
        <v>53</v>
      </c>
      <c r="E211" s="40" t="s">
        <v>48</v>
      </c>
      <c r="F211" s="40" t="s">
        <v>44</v>
      </c>
      <c r="G211" s="58">
        <v>0.5881944444444445</v>
      </c>
      <c r="H211" s="58">
        <v>0.6777777777777778</v>
      </c>
      <c r="I211" s="51">
        <v>0.08958333333333333</v>
      </c>
      <c r="J211" s="54">
        <v>2.15</v>
      </c>
      <c r="K211" s="55" t="s">
        <v>29</v>
      </c>
      <c r="L211" s="56">
        <v>35.47</v>
      </c>
      <c r="M211" s="56">
        <v>76.2605</v>
      </c>
      <c r="N211" s="40" t="s">
        <v>336</v>
      </c>
      <c r="O211" s="40" t="s">
        <v>152</v>
      </c>
      <c r="P211" s="57">
        <v>46291.0</v>
      </c>
      <c r="Q211" s="57"/>
      <c r="R211" s="40" t="s">
        <v>335</v>
      </c>
      <c r="S211" s="40" t="str">
        <f t="array" ref="S211">IF(C211="","",IFERROR(_xlfn.XLOOKUP(C211,Volunteers!D:D,Volunteers!A:A),""))</f>
        <v>002</v>
      </c>
      <c r="T211" s="40">
        <v>0.003732638888888889</v>
      </c>
    </row>
    <row r="212">
      <c r="A212" s="52">
        <v>46291.0</v>
      </c>
      <c r="B212" s="26" t="s">
        <v>133</v>
      </c>
      <c r="C212" s="28" t="s">
        <v>186</v>
      </c>
      <c r="D212" s="28" t="s">
        <v>53</v>
      </c>
      <c r="E212" s="28" t="s">
        <v>48</v>
      </c>
      <c r="F212" s="28" t="s">
        <v>44</v>
      </c>
      <c r="G212" s="53">
        <v>0.58125</v>
      </c>
      <c r="H212" s="53">
        <v>0.6777777777777778</v>
      </c>
      <c r="I212" s="31">
        <v>0.09652779166666665</v>
      </c>
      <c r="J212" s="54">
        <v>2.316667</v>
      </c>
      <c r="K212" s="55" t="s">
        <v>29</v>
      </c>
      <c r="L212" s="56">
        <v>35.47</v>
      </c>
      <c r="M212" s="56">
        <v>82.17217849</v>
      </c>
      <c r="N212" s="28" t="s">
        <v>336</v>
      </c>
      <c r="O212" s="28" t="s">
        <v>152</v>
      </c>
      <c r="P212" s="52">
        <v>46291.0</v>
      </c>
      <c r="Q212" s="52"/>
      <c r="R212" s="28" t="s">
        <v>335</v>
      </c>
      <c r="S212" s="28" t="str">
        <f t="array" ref="S212">IF(C212="","",IFERROR(_xlfn.XLOOKUP(C212,Volunteers!D:D,Volunteers!A:A),""))</f>
        <v>002</v>
      </c>
      <c r="T212" s="28">
        <v>0.004021991319444444</v>
      </c>
    </row>
    <row r="213">
      <c r="A213" s="57">
        <v>46291.0</v>
      </c>
      <c r="B213" s="41" t="s">
        <v>133</v>
      </c>
      <c r="C213" s="40" t="s">
        <v>186</v>
      </c>
      <c r="D213" s="40" t="s">
        <v>53</v>
      </c>
      <c r="E213" s="40" t="s">
        <v>48</v>
      </c>
      <c r="F213" s="40" t="s">
        <v>44</v>
      </c>
      <c r="G213" s="58">
        <v>0.5798611111111112</v>
      </c>
      <c r="H213" s="58">
        <v>0.6777777777777778</v>
      </c>
      <c r="I213" s="51">
        <v>0.09791666666666667</v>
      </c>
      <c r="J213" s="54">
        <v>2.35</v>
      </c>
      <c r="K213" s="55" t="s">
        <v>29</v>
      </c>
      <c r="L213" s="56">
        <v>35.47</v>
      </c>
      <c r="M213" s="56">
        <v>83.3545</v>
      </c>
      <c r="N213" s="40" t="s">
        <v>336</v>
      </c>
      <c r="O213" s="40" t="s">
        <v>152</v>
      </c>
      <c r="P213" s="57">
        <v>46291.0</v>
      </c>
      <c r="Q213" s="57"/>
      <c r="R213" s="40" t="s">
        <v>335</v>
      </c>
      <c r="S213" s="40" t="str">
        <f t="array" ref="S213">IF(C213="","",IFERROR(_xlfn.XLOOKUP(C213,Volunteers!D:D,Volunteers!A:A),""))</f>
        <v>002</v>
      </c>
      <c r="T213" s="40">
        <v>0.004079861111111111</v>
      </c>
    </row>
    <row r="214">
      <c r="A214" s="52">
        <v>46291.0</v>
      </c>
      <c r="B214" s="26" t="s">
        <v>133</v>
      </c>
      <c r="C214" s="28" t="s">
        <v>186</v>
      </c>
      <c r="D214" s="28" t="s">
        <v>53</v>
      </c>
      <c r="E214" s="28" t="s">
        <v>48</v>
      </c>
      <c r="F214" s="28" t="s">
        <v>44</v>
      </c>
      <c r="G214" s="53">
        <v>0.5798611111111112</v>
      </c>
      <c r="H214" s="53">
        <v>0.6777777777777778</v>
      </c>
      <c r="I214" s="31">
        <v>0.09791666666666667</v>
      </c>
      <c r="J214" s="54">
        <v>2.35</v>
      </c>
      <c r="K214" s="55" t="s">
        <v>29</v>
      </c>
      <c r="L214" s="56">
        <v>35.47</v>
      </c>
      <c r="M214" s="56">
        <v>83.3545</v>
      </c>
      <c r="N214" s="28" t="s">
        <v>336</v>
      </c>
      <c r="O214" s="28" t="s">
        <v>152</v>
      </c>
      <c r="P214" s="52">
        <v>46291.0</v>
      </c>
      <c r="Q214" s="52"/>
      <c r="R214" s="28" t="s">
        <v>335</v>
      </c>
      <c r="S214" s="28" t="str">
        <f t="array" ref="S214">IF(C214="","",IFERROR(_xlfn.XLOOKUP(C214,Volunteers!D:D,Volunteers!A:A),""))</f>
        <v>002</v>
      </c>
      <c r="T214" s="28">
        <v>0.004079861111111111</v>
      </c>
    </row>
    <row r="215">
      <c r="A215" s="57">
        <v>46291.0</v>
      </c>
      <c r="B215" s="41" t="s">
        <v>133</v>
      </c>
      <c r="C215" s="40" t="s">
        <v>186</v>
      </c>
      <c r="D215" s="40" t="s">
        <v>53</v>
      </c>
      <c r="E215" s="40" t="s">
        <v>48</v>
      </c>
      <c r="F215" s="40" t="s">
        <v>44</v>
      </c>
      <c r="G215" s="58">
        <v>0.5756944444444444</v>
      </c>
      <c r="H215" s="58">
        <v>0.6777777777777778</v>
      </c>
      <c r="I215" s="51">
        <v>0.10208333333333335</v>
      </c>
      <c r="J215" s="54">
        <v>2.45</v>
      </c>
      <c r="K215" s="55" t="s">
        <v>29</v>
      </c>
      <c r="L215" s="56">
        <v>35.47</v>
      </c>
      <c r="M215" s="56">
        <v>86.9015</v>
      </c>
      <c r="N215" s="40" t="s">
        <v>336</v>
      </c>
      <c r="O215" s="40" t="s">
        <v>152</v>
      </c>
      <c r="P215" s="57">
        <v>46291.0</v>
      </c>
      <c r="Q215" s="57"/>
      <c r="R215" s="40" t="s">
        <v>335</v>
      </c>
      <c r="S215" s="40" t="str">
        <f t="array" ref="S215">IF(C215="","",IFERROR(_xlfn.XLOOKUP(C215,Volunteers!D:D,Volunteers!A:A),""))</f>
        <v>002</v>
      </c>
      <c r="T215" s="40">
        <v>0.004253472222222223</v>
      </c>
    </row>
    <row r="216">
      <c r="A216" s="52">
        <v>46291.0</v>
      </c>
      <c r="B216" s="26" t="s">
        <v>133</v>
      </c>
      <c r="C216" s="28" t="s">
        <v>186</v>
      </c>
      <c r="D216" s="28" t="s">
        <v>53</v>
      </c>
      <c r="E216" s="28" t="s">
        <v>48</v>
      </c>
      <c r="F216" s="28" t="s">
        <v>44</v>
      </c>
      <c r="G216" s="53">
        <v>0.5729166666666666</v>
      </c>
      <c r="H216" s="53">
        <v>0.6777777777777778</v>
      </c>
      <c r="I216" s="31">
        <v>0.104861125</v>
      </c>
      <c r="J216" s="54">
        <v>2.516667</v>
      </c>
      <c r="K216" s="55" t="s">
        <v>29</v>
      </c>
      <c r="L216" s="56">
        <v>35.47</v>
      </c>
      <c r="M216" s="56">
        <v>89.26617849</v>
      </c>
      <c r="N216" s="28" t="s">
        <v>336</v>
      </c>
      <c r="O216" s="28" t="s">
        <v>152</v>
      </c>
      <c r="P216" s="52">
        <v>46291.0</v>
      </c>
      <c r="Q216" s="52"/>
      <c r="R216" s="28" t="s">
        <v>335</v>
      </c>
      <c r="S216" s="28" t="str">
        <f t="array" ref="S216">IF(C216="","",IFERROR(_xlfn.XLOOKUP(C216,Volunteers!D:D,Volunteers!A:A),""))</f>
        <v>002</v>
      </c>
      <c r="T216" s="28">
        <v>0.004369213541666667</v>
      </c>
    </row>
    <row r="217">
      <c r="A217" s="57">
        <v>46291.0</v>
      </c>
      <c r="B217" s="41" t="s">
        <v>133</v>
      </c>
      <c r="C217" s="40" t="s">
        <v>186</v>
      </c>
      <c r="D217" s="40" t="s">
        <v>53</v>
      </c>
      <c r="E217" s="40" t="s">
        <v>48</v>
      </c>
      <c r="F217" s="40" t="s">
        <v>44</v>
      </c>
      <c r="G217" s="58">
        <v>0.4638888888888889</v>
      </c>
      <c r="H217" s="58">
        <v>0.5923611111111111</v>
      </c>
      <c r="I217" s="51">
        <v>0.12847220833333334</v>
      </c>
      <c r="J217" s="54">
        <v>3.083333</v>
      </c>
      <c r="K217" s="55" t="s">
        <v>29</v>
      </c>
      <c r="L217" s="56">
        <v>35.47</v>
      </c>
      <c r="M217" s="56">
        <v>109.36582151</v>
      </c>
      <c r="N217" s="40" t="s">
        <v>336</v>
      </c>
      <c r="O217" s="40" t="s">
        <v>152</v>
      </c>
      <c r="P217" s="57">
        <v>46291.0</v>
      </c>
      <c r="Q217" s="57"/>
      <c r="R217" s="40" t="s">
        <v>335</v>
      </c>
      <c r="S217" s="40" t="str">
        <f t="array" ref="S217">IF(C217="","",IFERROR(_xlfn.XLOOKUP(C217,Volunteers!D:D,Volunteers!A:A),""))</f>
        <v>002</v>
      </c>
      <c r="T217" s="40">
        <v>0.005353008680555556</v>
      </c>
    </row>
    <row r="218">
      <c r="A218" s="52">
        <v>46291.0</v>
      </c>
      <c r="B218" s="26" t="s">
        <v>133</v>
      </c>
      <c r="C218" s="28" t="s">
        <v>186</v>
      </c>
      <c r="D218" s="28" t="s">
        <v>53</v>
      </c>
      <c r="E218" s="28" t="s">
        <v>48</v>
      </c>
      <c r="F218" s="28" t="s">
        <v>44</v>
      </c>
      <c r="G218" s="53">
        <v>0.46319444444444446</v>
      </c>
      <c r="H218" s="53">
        <v>0.6895833333333333</v>
      </c>
      <c r="I218" s="31">
        <v>0.22638887500000002</v>
      </c>
      <c r="J218" s="54">
        <v>5.433333</v>
      </c>
      <c r="K218" s="55" t="s">
        <v>29</v>
      </c>
      <c r="L218" s="56">
        <v>35.47</v>
      </c>
      <c r="M218" s="56">
        <v>192.72032151</v>
      </c>
      <c r="N218" s="28" t="s">
        <v>336</v>
      </c>
      <c r="O218" s="28" t="s">
        <v>152</v>
      </c>
      <c r="P218" s="52">
        <v>46291.0</v>
      </c>
      <c r="Q218" s="52"/>
      <c r="R218" s="28" t="s">
        <v>335</v>
      </c>
      <c r="S218" s="28" t="str">
        <f t="array" ref="S218">IF(C218="","",IFERROR(_xlfn.XLOOKUP(C218,Volunteers!D:D,Volunteers!A:A),""))</f>
        <v>002</v>
      </c>
      <c r="T218" s="28">
        <v>0.009432869791666668</v>
      </c>
    </row>
    <row r="219">
      <c r="A219" s="57">
        <v>46291.0</v>
      </c>
      <c r="B219" s="41" t="s">
        <v>133</v>
      </c>
      <c r="C219" s="40" t="s">
        <v>186</v>
      </c>
      <c r="D219" s="40" t="s">
        <v>53</v>
      </c>
      <c r="E219" s="40" t="s">
        <v>48</v>
      </c>
      <c r="F219" s="40" t="s">
        <v>44</v>
      </c>
      <c r="G219" s="58">
        <v>0.4583333333333333</v>
      </c>
      <c r="H219" s="58">
        <v>0.5972222222222222</v>
      </c>
      <c r="I219" s="51">
        <v>0.138888875</v>
      </c>
      <c r="J219" s="54">
        <v>3.3333329999999997</v>
      </c>
      <c r="K219" s="55" t="s">
        <v>29</v>
      </c>
      <c r="L219" s="56">
        <v>35.47</v>
      </c>
      <c r="M219" s="56">
        <v>118.23332150999998</v>
      </c>
      <c r="N219" s="40" t="s">
        <v>336</v>
      </c>
      <c r="O219" s="40" t="s">
        <v>152</v>
      </c>
      <c r="P219" s="57">
        <v>46291.0</v>
      </c>
      <c r="Q219" s="57"/>
      <c r="R219" s="40" t="s">
        <v>335</v>
      </c>
      <c r="S219" s="40" t="str">
        <f t="array" ref="S219">IF(C219="","",IFERROR(_xlfn.XLOOKUP(C219,Volunteers!D:D,Volunteers!A:A),""))</f>
        <v>002</v>
      </c>
      <c r="T219" s="40">
        <v>0.005787036458333333</v>
      </c>
    </row>
    <row r="220">
      <c r="A220" s="52">
        <v>46291.0</v>
      </c>
      <c r="B220" s="26" t="s">
        <v>133</v>
      </c>
      <c r="C220" s="28" t="s">
        <v>186</v>
      </c>
      <c r="D220" s="28" t="s">
        <v>53</v>
      </c>
      <c r="E220" s="28" t="s">
        <v>48</v>
      </c>
      <c r="F220" s="28" t="s">
        <v>44</v>
      </c>
      <c r="G220" s="53">
        <v>0.4583333333333333</v>
      </c>
      <c r="H220" s="53">
        <v>0.5972222222222222</v>
      </c>
      <c r="I220" s="31">
        <v>0.138888875</v>
      </c>
      <c r="J220" s="54">
        <v>3.3333329999999997</v>
      </c>
      <c r="K220" s="55" t="s">
        <v>29</v>
      </c>
      <c r="L220" s="56">
        <v>35.47</v>
      </c>
      <c r="M220" s="56">
        <v>118.23332150999998</v>
      </c>
      <c r="N220" s="28" t="s">
        <v>336</v>
      </c>
      <c r="O220" s="28" t="s">
        <v>152</v>
      </c>
      <c r="P220" s="52">
        <v>46291.0</v>
      </c>
      <c r="Q220" s="52"/>
      <c r="R220" s="28" t="s">
        <v>335</v>
      </c>
      <c r="S220" s="28" t="str">
        <f t="array" ref="S220">IF(C220="","",IFERROR(_xlfn.XLOOKUP(C220,Volunteers!D:D,Volunteers!A:A),""))</f>
        <v>002</v>
      </c>
      <c r="T220" s="28">
        <v>0.005787036458333333</v>
      </c>
    </row>
    <row r="221">
      <c r="A221" s="57">
        <v>46291.0</v>
      </c>
      <c r="B221" s="41" t="s">
        <v>133</v>
      </c>
      <c r="C221" s="40" t="s">
        <v>186</v>
      </c>
      <c r="D221" s="40" t="s">
        <v>53</v>
      </c>
      <c r="E221" s="40" t="s">
        <v>48</v>
      </c>
      <c r="F221" s="40" t="s">
        <v>44</v>
      </c>
      <c r="G221" s="58">
        <v>0.45555555555555555</v>
      </c>
      <c r="H221" s="58">
        <v>0.5888888888888889</v>
      </c>
      <c r="I221" s="51">
        <v>0.13333333333333333</v>
      </c>
      <c r="J221" s="54">
        <v>3.2</v>
      </c>
      <c r="K221" s="55" t="s">
        <v>29</v>
      </c>
      <c r="L221" s="56">
        <v>35.47</v>
      </c>
      <c r="M221" s="56">
        <v>113.504</v>
      </c>
      <c r="N221" s="40" t="s">
        <v>336</v>
      </c>
      <c r="O221" s="40" t="s">
        <v>152</v>
      </c>
      <c r="P221" s="57">
        <v>46291.0</v>
      </c>
      <c r="Q221" s="57"/>
      <c r="R221" s="40" t="s">
        <v>335</v>
      </c>
      <c r="S221" s="40" t="str">
        <f t="array" ref="S221">IF(C221="","",IFERROR(_xlfn.XLOOKUP(C221,Volunteers!D:D,Volunteers!A:A),""))</f>
        <v>002</v>
      </c>
      <c r="T221" s="40">
        <v>0.005555555555555556</v>
      </c>
    </row>
    <row r="222">
      <c r="A222" s="52">
        <v>46291.0</v>
      </c>
      <c r="B222" s="26" t="s">
        <v>133</v>
      </c>
      <c r="C222" s="28" t="s">
        <v>186</v>
      </c>
      <c r="D222" s="28" t="s">
        <v>53</v>
      </c>
      <c r="E222" s="28" t="s">
        <v>48</v>
      </c>
      <c r="F222" s="28" t="s">
        <v>44</v>
      </c>
      <c r="G222" s="53">
        <v>0.4548611111111111</v>
      </c>
      <c r="H222" s="53">
        <v>0.5888888888888889</v>
      </c>
      <c r="I222" s="31">
        <v>0.13402779166666667</v>
      </c>
      <c r="J222" s="54">
        <v>3.216667</v>
      </c>
      <c r="K222" s="55" t="s">
        <v>29</v>
      </c>
      <c r="L222" s="56">
        <v>35.47</v>
      </c>
      <c r="M222" s="56">
        <v>114.09517849000001</v>
      </c>
      <c r="N222" s="28" t="s">
        <v>336</v>
      </c>
      <c r="O222" s="28" t="s">
        <v>152</v>
      </c>
      <c r="P222" s="52">
        <v>46291.0</v>
      </c>
      <c r="Q222" s="52"/>
      <c r="R222" s="28" t="s">
        <v>335</v>
      </c>
      <c r="S222" s="28" t="str">
        <f t="array" ref="S222">IF(C222="","",IFERROR(_xlfn.XLOOKUP(C222,Volunteers!D:D,Volunteers!A:A),""))</f>
        <v>002</v>
      </c>
      <c r="T222" s="28">
        <v>0.0055844913194444444</v>
      </c>
    </row>
    <row r="223">
      <c r="A223" s="57">
        <v>46291.0</v>
      </c>
      <c r="B223" s="41" t="s">
        <v>133</v>
      </c>
      <c r="C223" s="40" t="s">
        <v>186</v>
      </c>
      <c r="D223" s="40" t="s">
        <v>53</v>
      </c>
      <c r="E223" s="40" t="s">
        <v>48</v>
      </c>
      <c r="F223" s="40" t="s">
        <v>44</v>
      </c>
      <c r="G223" s="58">
        <v>0.4131944444444444</v>
      </c>
      <c r="H223" s="58">
        <v>0.6041666666666666</v>
      </c>
      <c r="I223" s="51">
        <v>0.1909722083333333</v>
      </c>
      <c r="J223" s="54">
        <v>4.583333</v>
      </c>
      <c r="K223" s="55" t="s">
        <v>29</v>
      </c>
      <c r="L223" s="56">
        <v>35.47</v>
      </c>
      <c r="M223" s="56">
        <v>162.57082150999997</v>
      </c>
      <c r="N223" s="40" t="s">
        <v>336</v>
      </c>
      <c r="O223" s="40" t="s">
        <v>152</v>
      </c>
      <c r="P223" s="57">
        <v>46291.0</v>
      </c>
      <c r="Q223" s="57"/>
      <c r="R223" s="40" t="s">
        <v>335</v>
      </c>
      <c r="S223" s="40" t="str">
        <f t="array" ref="S223">IF(C223="","",IFERROR(_xlfn.XLOOKUP(C223,Volunteers!D:D,Volunteers!A:A),""))</f>
        <v>002</v>
      </c>
      <c r="T223" s="40">
        <v>0.007957175347222222</v>
      </c>
    </row>
    <row r="224">
      <c r="A224" s="52">
        <v>46291.0</v>
      </c>
      <c r="B224" s="26" t="s">
        <v>133</v>
      </c>
      <c r="C224" s="28" t="s">
        <v>186</v>
      </c>
      <c r="D224" s="28" t="s">
        <v>53</v>
      </c>
      <c r="E224" s="28" t="s">
        <v>48</v>
      </c>
      <c r="F224" s="28" t="s">
        <v>44</v>
      </c>
      <c r="G224" s="53">
        <v>0.3541666666666667</v>
      </c>
      <c r="H224" s="53">
        <v>0.4625</v>
      </c>
      <c r="I224" s="31">
        <v>0.10833333333333334</v>
      </c>
      <c r="J224" s="54">
        <v>2.6</v>
      </c>
      <c r="K224" s="55" t="s">
        <v>29</v>
      </c>
      <c r="L224" s="56">
        <v>35.47</v>
      </c>
      <c r="M224" s="56">
        <v>92.222</v>
      </c>
      <c r="N224" s="28" t="s">
        <v>336</v>
      </c>
      <c r="O224" s="28" t="s">
        <v>152</v>
      </c>
      <c r="P224" s="52">
        <v>46291.0</v>
      </c>
      <c r="Q224" s="52"/>
      <c r="R224" s="28" t="s">
        <v>335</v>
      </c>
      <c r="S224" s="28" t="str">
        <f t="array" ref="S224">IF(C224="","",IFERROR(_xlfn.XLOOKUP(C224,Volunteers!D:D,Volunteers!A:A),""))</f>
        <v>002</v>
      </c>
      <c r="T224" s="28">
        <v>0.004513888888888889</v>
      </c>
    </row>
    <row r="225">
      <c r="A225" s="57">
        <v>46291.0</v>
      </c>
      <c r="B225" s="41" t="s">
        <v>133</v>
      </c>
      <c r="C225" s="40" t="s">
        <v>186</v>
      </c>
      <c r="D225" s="40" t="s">
        <v>53</v>
      </c>
      <c r="E225" s="40" t="s">
        <v>48</v>
      </c>
      <c r="F225" s="40" t="s">
        <v>44</v>
      </c>
      <c r="G225" s="58">
        <v>0.3506944444444444</v>
      </c>
      <c r="H225" s="58">
        <v>0.46875</v>
      </c>
      <c r="I225" s="51">
        <v>0.11805554166666667</v>
      </c>
      <c r="J225" s="54">
        <v>2.833333</v>
      </c>
      <c r="K225" s="55" t="s">
        <v>29</v>
      </c>
      <c r="L225" s="56">
        <v>35.47</v>
      </c>
      <c r="M225" s="56">
        <v>100.49832151</v>
      </c>
      <c r="N225" s="40" t="s">
        <v>336</v>
      </c>
      <c r="O225" s="40" t="s">
        <v>152</v>
      </c>
      <c r="P225" s="57">
        <v>46291.0</v>
      </c>
      <c r="Q225" s="57"/>
      <c r="R225" s="40" t="s">
        <v>335</v>
      </c>
      <c r="S225" s="40" t="str">
        <f t="array" ref="S225">IF(C225="","",IFERROR(_xlfn.XLOOKUP(C225,Volunteers!D:D,Volunteers!A:A),""))</f>
        <v>002</v>
      </c>
      <c r="T225" s="40">
        <v>0.004918980902777778</v>
      </c>
    </row>
    <row r="226">
      <c r="A226" s="52">
        <v>46291.0</v>
      </c>
      <c r="B226" s="26" t="s">
        <v>133</v>
      </c>
      <c r="C226" s="26" t="s">
        <v>165</v>
      </c>
      <c r="D226" s="28" t="s">
        <v>53</v>
      </c>
      <c r="E226" s="28" t="s">
        <v>48</v>
      </c>
      <c r="F226" s="28" t="s">
        <v>44</v>
      </c>
      <c r="G226" s="53">
        <v>0.34375</v>
      </c>
      <c r="H226" s="53">
        <v>0.7055555555555556</v>
      </c>
      <c r="I226" s="31">
        <v>0.3618055416666666</v>
      </c>
      <c r="J226" s="54">
        <v>8.683333</v>
      </c>
      <c r="K226" s="55" t="s">
        <v>29</v>
      </c>
      <c r="L226" s="56">
        <v>35.47</v>
      </c>
      <c r="M226" s="56">
        <v>307.99782150999994</v>
      </c>
      <c r="N226" s="28" t="s">
        <v>336</v>
      </c>
      <c r="O226" s="28" t="s">
        <v>152</v>
      </c>
      <c r="P226" s="52">
        <v>46291.0</v>
      </c>
      <c r="Q226" s="52"/>
      <c r="R226" s="28" t="s">
        <v>335</v>
      </c>
      <c r="S226" s="28" t="str">
        <f t="array" ref="S226">IF(C226="","",IFERROR(_xlfn.XLOOKUP(C226,Volunteers!D:D,Volunteers!A:A),""))</f>
        <v>001</v>
      </c>
      <c r="T226" s="28">
        <v>0.015075230902777776</v>
      </c>
    </row>
    <row r="227">
      <c r="A227" s="57">
        <v>46290.0</v>
      </c>
      <c r="B227" s="40" t="s">
        <v>185</v>
      </c>
      <c r="C227" s="40" t="s">
        <v>186</v>
      </c>
      <c r="D227" s="40" t="s">
        <v>53</v>
      </c>
      <c r="E227" s="40" t="s">
        <v>42</v>
      </c>
      <c r="F227" s="40" t="s">
        <v>44</v>
      </c>
      <c r="G227" s="58">
        <v>0.4236111111111111</v>
      </c>
      <c r="H227" s="58">
        <v>0.42777777777777776</v>
      </c>
      <c r="I227" s="51">
        <v>0.004166666666666667</v>
      </c>
      <c r="J227" s="54">
        <v>0.1</v>
      </c>
      <c r="K227" s="55" t="s">
        <v>29</v>
      </c>
      <c r="L227" s="56">
        <v>35.47</v>
      </c>
      <c r="M227" s="56">
        <v>3.547</v>
      </c>
      <c r="N227" s="40" t="s">
        <v>187</v>
      </c>
      <c r="O227" s="40" t="s">
        <v>152</v>
      </c>
      <c r="P227" s="57">
        <v>46290.0</v>
      </c>
      <c r="Q227" s="57"/>
      <c r="R227" s="40" t="s">
        <v>337</v>
      </c>
      <c r="S227" s="40" t="str">
        <f t="array" ref="S227">IF(C227="","",IFERROR(_xlfn.XLOOKUP(C227,Volunteers!D:D,Volunteers!A:A),""))</f>
        <v>002</v>
      </c>
      <c r="T227" s="40">
        <v>1.7361111111111112E-4</v>
      </c>
    </row>
    <row r="228">
      <c r="A228" s="52">
        <v>46289.0</v>
      </c>
      <c r="B228" s="28" t="s">
        <v>185</v>
      </c>
      <c r="C228" s="28" t="s">
        <v>186</v>
      </c>
      <c r="D228" s="28" t="s">
        <v>53</v>
      </c>
      <c r="E228" s="28" t="s">
        <v>42</v>
      </c>
      <c r="F228" s="28" t="s">
        <v>44</v>
      </c>
      <c r="G228" s="53">
        <v>0.9166666666666666</v>
      </c>
      <c r="H228" s="53">
        <v>0.9402777777777778</v>
      </c>
      <c r="I228" s="31">
        <v>0.023611125</v>
      </c>
      <c r="J228" s="54">
        <v>0.566667</v>
      </c>
      <c r="K228" s="55" t="s">
        <v>29</v>
      </c>
      <c r="L228" s="56">
        <v>35.47</v>
      </c>
      <c r="M228" s="56">
        <v>20.09967849</v>
      </c>
      <c r="N228" s="28" t="s">
        <v>187</v>
      </c>
      <c r="O228" s="28" t="s">
        <v>152</v>
      </c>
      <c r="P228" s="52">
        <v>46289.0</v>
      </c>
      <c r="Q228" s="52"/>
      <c r="R228" s="28" t="s">
        <v>338</v>
      </c>
      <c r="S228" s="28" t="str">
        <f t="array" ref="S228">IF(C228="","",IFERROR(_xlfn.XLOOKUP(C228,Volunteers!D:D,Volunteers!A:A),""))</f>
        <v>002</v>
      </c>
      <c r="T228" s="28">
        <v>9.83796875E-4</v>
      </c>
    </row>
    <row r="229">
      <c r="A229" s="57">
        <v>46289.0</v>
      </c>
      <c r="B229" s="40" t="s">
        <v>185</v>
      </c>
      <c r="C229" s="40" t="s">
        <v>186</v>
      </c>
      <c r="D229" s="40" t="s">
        <v>53</v>
      </c>
      <c r="E229" s="40" t="s">
        <v>42</v>
      </c>
      <c r="F229" s="40" t="s">
        <v>44</v>
      </c>
      <c r="G229" s="58">
        <v>0.8263888888888888</v>
      </c>
      <c r="H229" s="58">
        <v>0.8958333333333334</v>
      </c>
      <c r="I229" s="51">
        <v>0.06944445833333333</v>
      </c>
      <c r="J229" s="54">
        <v>1.666667</v>
      </c>
      <c r="K229" s="55" t="s">
        <v>29</v>
      </c>
      <c r="L229" s="56">
        <v>35.47</v>
      </c>
      <c r="M229" s="56">
        <v>59.11667848999999</v>
      </c>
      <c r="N229" s="40" t="s">
        <v>187</v>
      </c>
      <c r="O229" s="40" t="s">
        <v>152</v>
      </c>
      <c r="P229" s="57">
        <v>46289.0</v>
      </c>
      <c r="Q229" s="57"/>
      <c r="R229" s="40" t="s">
        <v>339</v>
      </c>
      <c r="S229" s="40" t="str">
        <f t="array" ref="S229">IF(C229="","",IFERROR(_xlfn.XLOOKUP(C229,Volunteers!D:D,Volunteers!A:A),""))</f>
        <v>002</v>
      </c>
      <c r="T229" s="40">
        <v>0.0028935190972222222</v>
      </c>
    </row>
    <row r="230">
      <c r="A230" s="52">
        <v>46288.0</v>
      </c>
      <c r="B230" s="28" t="s">
        <v>185</v>
      </c>
      <c r="C230" s="28" t="s">
        <v>186</v>
      </c>
      <c r="D230" s="28" t="s">
        <v>53</v>
      </c>
      <c r="E230" s="28" t="s">
        <v>42</v>
      </c>
      <c r="F230" s="28" t="s">
        <v>44</v>
      </c>
      <c r="G230" s="53">
        <v>0.8333333333333334</v>
      </c>
      <c r="H230" s="53">
        <v>0.9430555555555555</v>
      </c>
      <c r="I230" s="31">
        <v>0.10972220833333333</v>
      </c>
      <c r="J230" s="54">
        <v>2.633333</v>
      </c>
      <c r="K230" s="55" t="s">
        <v>29</v>
      </c>
      <c r="L230" s="56">
        <v>35.47</v>
      </c>
      <c r="M230" s="56">
        <v>93.40432150999999</v>
      </c>
      <c r="N230" s="28" t="s">
        <v>187</v>
      </c>
      <c r="O230" s="28" t="s">
        <v>152</v>
      </c>
      <c r="P230" s="52">
        <v>46288.0</v>
      </c>
      <c r="Q230" s="52"/>
      <c r="R230" s="28" t="s">
        <v>340</v>
      </c>
      <c r="S230" s="28" t="str">
        <f t="array" ref="S230">IF(C230="","",IFERROR(_xlfn.XLOOKUP(C230,Volunteers!D:D,Volunteers!A:A),""))</f>
        <v>002</v>
      </c>
      <c r="T230" s="28">
        <v>0.004571758680555556</v>
      </c>
    </row>
    <row r="231">
      <c r="A231" s="57">
        <v>46287.0</v>
      </c>
      <c r="B231" s="40" t="s">
        <v>185</v>
      </c>
      <c r="C231" s="40" t="s">
        <v>186</v>
      </c>
      <c r="D231" s="40" t="s">
        <v>53</v>
      </c>
      <c r="E231" s="40" t="s">
        <v>42</v>
      </c>
      <c r="F231" s="40" t="s">
        <v>44</v>
      </c>
      <c r="G231" s="58">
        <v>0.3958333333333333</v>
      </c>
      <c r="H231" s="58">
        <v>0.4861111111111111</v>
      </c>
      <c r="I231" s="51">
        <v>0.09027779166666666</v>
      </c>
      <c r="J231" s="54">
        <v>2.166667</v>
      </c>
      <c r="K231" s="55" t="s">
        <v>29</v>
      </c>
      <c r="L231" s="56">
        <v>35.47</v>
      </c>
      <c r="M231" s="56">
        <v>76.85167849</v>
      </c>
      <c r="N231" s="40" t="s">
        <v>187</v>
      </c>
      <c r="O231" s="40" t="s">
        <v>152</v>
      </c>
      <c r="P231" s="57">
        <v>46287.0</v>
      </c>
      <c r="Q231" s="57"/>
      <c r="R231" s="40" t="s">
        <v>341</v>
      </c>
      <c r="S231" s="40" t="str">
        <f t="array" ref="S231">IF(C231="","",IFERROR(_xlfn.XLOOKUP(C231,Volunteers!D:D,Volunteers!A:A),""))</f>
        <v>002</v>
      </c>
      <c r="T231" s="40">
        <v>0.0037615746527777777</v>
      </c>
    </row>
    <row r="232">
      <c r="A232" s="52">
        <v>46286.0</v>
      </c>
      <c r="B232" s="28" t="s">
        <v>185</v>
      </c>
      <c r="C232" s="28" t="s">
        <v>186</v>
      </c>
      <c r="D232" s="28" t="s">
        <v>53</v>
      </c>
      <c r="E232" s="28" t="s">
        <v>42</v>
      </c>
      <c r="F232" s="28" t="s">
        <v>44</v>
      </c>
      <c r="G232" s="53">
        <v>0.3958333333333333</v>
      </c>
      <c r="H232" s="53">
        <v>0.4270833333333333</v>
      </c>
      <c r="I232" s="31">
        <v>0.03125</v>
      </c>
      <c r="J232" s="54">
        <v>0.75</v>
      </c>
      <c r="K232" s="55" t="s">
        <v>29</v>
      </c>
      <c r="L232" s="56">
        <v>35.47</v>
      </c>
      <c r="M232" s="56">
        <v>26.6025</v>
      </c>
      <c r="N232" s="28" t="s">
        <v>187</v>
      </c>
      <c r="O232" s="28" t="s">
        <v>152</v>
      </c>
      <c r="P232" s="52">
        <v>46286.0</v>
      </c>
      <c r="Q232" s="52"/>
      <c r="R232" s="28" t="s">
        <v>342</v>
      </c>
      <c r="S232" s="28" t="str">
        <f t="array" ref="S232">IF(C232="","",IFERROR(_xlfn.XLOOKUP(C232,Volunteers!D:D,Volunteers!A:A),""))</f>
        <v>002</v>
      </c>
      <c r="T232" s="28">
        <v>0.0013020833333333333</v>
      </c>
    </row>
    <row r="233">
      <c r="A233" s="57">
        <v>46279.0</v>
      </c>
      <c r="B233" s="40" t="s">
        <v>185</v>
      </c>
      <c r="C233" s="40" t="s">
        <v>186</v>
      </c>
      <c r="D233" s="40" t="s">
        <v>53</v>
      </c>
      <c r="E233" s="40" t="s">
        <v>42</v>
      </c>
      <c r="F233" s="40" t="s">
        <v>44</v>
      </c>
      <c r="G233" s="58">
        <v>0.8680555555555556</v>
      </c>
      <c r="H233" s="58">
        <v>0.8826388888888889</v>
      </c>
      <c r="I233" s="51">
        <v>0.014583333333333332</v>
      </c>
      <c r="J233" s="54">
        <v>0.35</v>
      </c>
      <c r="K233" s="55" t="s">
        <v>29</v>
      </c>
      <c r="L233" s="56">
        <v>35.47</v>
      </c>
      <c r="M233" s="56">
        <v>12.414499999999999</v>
      </c>
      <c r="N233" s="40" t="s">
        <v>187</v>
      </c>
      <c r="O233" s="40" t="s">
        <v>152</v>
      </c>
      <c r="P233" s="57">
        <v>46279.0</v>
      </c>
      <c r="Q233" s="57"/>
      <c r="R233" s="40" t="s">
        <v>343</v>
      </c>
      <c r="S233" s="40" t="str">
        <f t="array" ref="S233">IF(C233="","",IFERROR(_xlfn.XLOOKUP(C233,Volunteers!D:D,Volunteers!A:A),""))</f>
        <v>002</v>
      </c>
      <c r="T233" s="40">
        <v>6.076388888888888E-4</v>
      </c>
    </row>
    <row r="234">
      <c r="A234" s="52">
        <v>46275.0</v>
      </c>
      <c r="B234" s="28" t="s">
        <v>185</v>
      </c>
      <c r="C234" s="28" t="s">
        <v>186</v>
      </c>
      <c r="D234" s="28" t="s">
        <v>53</v>
      </c>
      <c r="E234" s="28" t="s">
        <v>42</v>
      </c>
      <c r="F234" s="28" t="s">
        <v>44</v>
      </c>
      <c r="G234" s="53">
        <v>0.9784722222222222</v>
      </c>
      <c r="H234" s="53">
        <v>0.9965277777777778</v>
      </c>
      <c r="I234" s="31">
        <v>0.018055541666666668</v>
      </c>
      <c r="J234" s="54">
        <v>0.433333</v>
      </c>
      <c r="K234" s="55" t="s">
        <v>29</v>
      </c>
      <c r="L234" s="56">
        <v>35.47</v>
      </c>
      <c r="M234" s="56">
        <v>15.37032151</v>
      </c>
      <c r="N234" s="28" t="s">
        <v>187</v>
      </c>
      <c r="O234" s="28" t="s">
        <v>152</v>
      </c>
      <c r="P234" s="52">
        <v>46275.0</v>
      </c>
      <c r="Q234" s="52"/>
      <c r="R234" s="28" t="s">
        <v>344</v>
      </c>
      <c r="S234" s="28" t="str">
        <f t="array" ref="S234">IF(C234="","",IFERROR(_xlfn.XLOOKUP(C234,Volunteers!D:D,Volunteers!A:A),""))</f>
        <v>002</v>
      </c>
      <c r="T234" s="28">
        <v>7.523142361111112E-4</v>
      </c>
    </row>
    <row r="235">
      <c r="A235" s="57">
        <v>46275.0</v>
      </c>
      <c r="B235" s="40" t="s">
        <v>185</v>
      </c>
      <c r="C235" s="40" t="s">
        <v>186</v>
      </c>
      <c r="D235" s="40" t="s">
        <v>53</v>
      </c>
      <c r="E235" s="40" t="s">
        <v>42</v>
      </c>
      <c r="F235" s="40" t="s">
        <v>44</v>
      </c>
      <c r="G235" s="58">
        <v>0.875</v>
      </c>
      <c r="H235" s="58">
        <v>0.8958333333333334</v>
      </c>
      <c r="I235" s="51">
        <v>0.020833333333333332</v>
      </c>
      <c r="J235" s="54">
        <v>0.5</v>
      </c>
      <c r="K235" s="55" t="s">
        <v>29</v>
      </c>
      <c r="L235" s="56">
        <v>35.47</v>
      </c>
      <c r="M235" s="56">
        <v>17.735</v>
      </c>
      <c r="N235" s="40" t="s">
        <v>187</v>
      </c>
      <c r="O235" s="40" t="s">
        <v>152</v>
      </c>
      <c r="P235" s="57">
        <v>46275.0</v>
      </c>
      <c r="Q235" s="57"/>
      <c r="R235" s="40" t="s">
        <v>345</v>
      </c>
      <c r="S235" s="40" t="str">
        <f t="array" ref="S235">IF(C235="","",IFERROR(_xlfn.XLOOKUP(C235,Volunteers!D:D,Volunteers!A:A),""))</f>
        <v>002</v>
      </c>
      <c r="T235" s="40">
        <v>8.680555555555555E-4</v>
      </c>
    </row>
    <row r="236">
      <c r="A236" s="52">
        <v>46275.0</v>
      </c>
      <c r="B236" s="28" t="s">
        <v>185</v>
      </c>
      <c r="C236" s="28" t="s">
        <v>186</v>
      </c>
      <c r="D236" s="28" t="s">
        <v>53</v>
      </c>
      <c r="E236" s="28" t="s">
        <v>42</v>
      </c>
      <c r="F236" s="28" t="s">
        <v>44</v>
      </c>
      <c r="G236" s="53">
        <v>0.3333333333333333</v>
      </c>
      <c r="H236" s="53">
        <v>0.3645833333333333</v>
      </c>
      <c r="I236" s="31">
        <v>0.03125</v>
      </c>
      <c r="J236" s="54">
        <v>0.75</v>
      </c>
      <c r="K236" s="55" t="s">
        <v>29</v>
      </c>
      <c r="L236" s="56">
        <v>35.47</v>
      </c>
      <c r="M236" s="56">
        <v>26.6025</v>
      </c>
      <c r="N236" s="28" t="s">
        <v>187</v>
      </c>
      <c r="O236" s="28" t="s">
        <v>152</v>
      </c>
      <c r="P236" s="52">
        <v>46275.0</v>
      </c>
      <c r="Q236" s="52"/>
      <c r="R236" s="28" t="s">
        <v>346</v>
      </c>
      <c r="S236" s="28" t="str">
        <f t="array" ref="S236">IF(C236="","",IFERROR(_xlfn.XLOOKUP(C236,Volunteers!D:D,Volunteers!A:A),""))</f>
        <v>002</v>
      </c>
      <c r="T236" s="28">
        <v>0.0013020833333333333</v>
      </c>
    </row>
    <row r="237">
      <c r="A237" s="57">
        <v>46266.0</v>
      </c>
      <c r="B237" s="40" t="s">
        <v>185</v>
      </c>
      <c r="C237" s="40" t="s">
        <v>186</v>
      </c>
      <c r="D237" s="40" t="s">
        <v>53</v>
      </c>
      <c r="E237" s="40" t="s">
        <v>42</v>
      </c>
      <c r="F237" s="40" t="s">
        <v>44</v>
      </c>
      <c r="G237" s="58">
        <v>0.46319444444444446</v>
      </c>
      <c r="H237" s="58">
        <v>0.4875</v>
      </c>
      <c r="I237" s="51">
        <v>0.024305541666666666</v>
      </c>
      <c r="J237" s="54">
        <v>0.583333</v>
      </c>
      <c r="K237" s="55" t="s">
        <v>29</v>
      </c>
      <c r="L237" s="56">
        <v>35.47</v>
      </c>
      <c r="M237" s="56">
        <v>20.69082151</v>
      </c>
      <c r="N237" s="40" t="s">
        <v>187</v>
      </c>
      <c r="O237" s="40" t="s">
        <v>152</v>
      </c>
      <c r="P237" s="57">
        <v>46266.0</v>
      </c>
      <c r="Q237" s="57"/>
      <c r="R237" s="40" t="s">
        <v>347</v>
      </c>
      <c r="S237" s="40" t="str">
        <f t="array" ref="S237">IF(C237="","",IFERROR(_xlfn.XLOOKUP(C237,Volunteers!D:D,Volunteers!A:A),""))</f>
        <v>002</v>
      </c>
      <c r="T237" s="40">
        <v>0.0010127309027777778</v>
      </c>
    </row>
    <row r="238">
      <c r="A238" s="52">
        <v>46296.0</v>
      </c>
      <c r="B238" s="28" t="s">
        <v>185</v>
      </c>
      <c r="C238" s="28" t="s">
        <v>186</v>
      </c>
      <c r="D238" s="28" t="s">
        <v>53</v>
      </c>
      <c r="E238" s="28" t="s">
        <v>42</v>
      </c>
      <c r="F238" s="28" t="s">
        <v>44</v>
      </c>
      <c r="G238" s="53">
        <v>0.8777777777777778</v>
      </c>
      <c r="H238" s="53">
        <v>0.8868055555555555</v>
      </c>
      <c r="I238" s="31">
        <v>0.009027791666666667</v>
      </c>
      <c r="J238" s="54">
        <v>0.216667</v>
      </c>
      <c r="K238" s="55" t="s">
        <v>29</v>
      </c>
      <c r="L238" s="56">
        <v>35.47</v>
      </c>
      <c r="M238" s="56">
        <v>7.685178489999999</v>
      </c>
      <c r="N238" s="28" t="s">
        <v>187</v>
      </c>
      <c r="O238" s="28" t="s">
        <v>152</v>
      </c>
      <c r="P238" s="52">
        <v>46296.0</v>
      </c>
      <c r="Q238" s="52"/>
      <c r="R238" s="28" t="s">
        <v>348</v>
      </c>
      <c r="S238" s="28" t="str">
        <f t="array" ref="S238">IF(C238="","",IFERROR(_xlfn.XLOOKUP(C238,Volunteers!D:D,Volunteers!A:A),""))</f>
        <v>002</v>
      </c>
      <c r="T238" s="28">
        <v>3.761579861111111E-4</v>
      </c>
    </row>
    <row r="239">
      <c r="A239" s="49">
        <v>46239.0</v>
      </c>
      <c r="B239" s="41" t="s">
        <v>185</v>
      </c>
      <c r="C239" s="41" t="s">
        <v>189</v>
      </c>
      <c r="D239" s="40" t="str">
        <f t="array" ref="D239">IF(B239="","",IFERROR(_xlfn.XLOOKUP(B239,'Lists &amp; Settings'!A:A,'Lists &amp; Settings'!E:E),""))</f>
        <v/>
      </c>
      <c r="E239" s="41" t="s">
        <v>42</v>
      </c>
      <c r="F239" s="41" t="s">
        <v>44</v>
      </c>
      <c r="G239" s="95"/>
      <c r="H239" s="95"/>
      <c r="I239" s="96">
        <v>0.125</v>
      </c>
      <c r="J239" s="54">
        <v>3.0</v>
      </c>
      <c r="K239" s="55" t="s">
        <v>29</v>
      </c>
      <c r="L239" s="56">
        <v>35.47</v>
      </c>
      <c r="M239" s="56">
        <v>106.41</v>
      </c>
      <c r="N239" s="40"/>
      <c r="O239" s="40"/>
      <c r="P239" s="97">
        <v>46303.62263349537</v>
      </c>
      <c r="Q239" s="57"/>
      <c r="R239" s="40"/>
      <c r="S239" s="40" t="str">
        <f t="array" ref="S239">IF(C239="","",IFERROR(_xlfn.XLOOKUP(C239,Volunteers!D:D,Volunteers!A:A),""))</f>
        <v>013</v>
      </c>
      <c r="T239" s="40"/>
    </row>
    <row r="240">
      <c r="A240" s="24">
        <v>46244.0</v>
      </c>
      <c r="B240" s="26" t="s">
        <v>185</v>
      </c>
      <c r="C240" s="26" t="s">
        <v>189</v>
      </c>
      <c r="D240" s="28" t="str">
        <f t="array" ref="D240">IF(B240="","",IFERROR(_xlfn.XLOOKUP(B240,'Lists &amp; Settings'!A:A,'Lists &amp; Settings'!E:E),""))</f>
        <v/>
      </c>
      <c r="E240" s="26" t="s">
        <v>42</v>
      </c>
      <c r="F240" s="26" t="s">
        <v>44</v>
      </c>
      <c r="G240" s="98"/>
      <c r="H240" s="98"/>
      <c r="I240" s="99">
        <v>0.08333333333333333</v>
      </c>
      <c r="J240" s="54">
        <v>2.0</v>
      </c>
      <c r="K240" s="55" t="s">
        <v>29</v>
      </c>
      <c r="L240" s="56">
        <v>35.47</v>
      </c>
      <c r="M240" s="56">
        <v>70.94</v>
      </c>
      <c r="N240" s="28"/>
      <c r="O240" s="28"/>
      <c r="P240" s="100">
        <v>46303.62310377315</v>
      </c>
      <c r="Q240" s="52"/>
      <c r="R240" s="28"/>
      <c r="S240" s="28" t="str">
        <f t="array" ref="S240">IF(C240="","",IFERROR(_xlfn.XLOOKUP(C240,Volunteers!D:D,Volunteers!A:A),""))</f>
        <v>013</v>
      </c>
      <c r="T240" s="28"/>
    </row>
    <row r="241">
      <c r="A241" s="49">
        <v>46246.0</v>
      </c>
      <c r="B241" s="41" t="s">
        <v>185</v>
      </c>
      <c r="C241" s="41" t="s">
        <v>189</v>
      </c>
      <c r="D241" s="40" t="str">
        <f t="array" ref="D241">IF(B241="","",IFERROR(_xlfn.XLOOKUP(B241,'Lists &amp; Settings'!A:A,'Lists &amp; Settings'!E:E),""))</f>
        <v/>
      </c>
      <c r="E241" s="41" t="s">
        <v>42</v>
      </c>
      <c r="F241" s="41" t="s">
        <v>44</v>
      </c>
      <c r="G241" s="95"/>
      <c r="H241" s="95"/>
      <c r="I241" s="96">
        <v>0.125</v>
      </c>
      <c r="J241" s="54">
        <v>3.0</v>
      </c>
      <c r="K241" s="55" t="s">
        <v>29</v>
      </c>
      <c r="L241" s="56">
        <v>35.47</v>
      </c>
      <c r="M241" s="56">
        <v>106.41</v>
      </c>
      <c r="N241" s="40"/>
      <c r="O241" s="40"/>
      <c r="P241" s="97">
        <v>46303.62330439815</v>
      </c>
      <c r="Q241" s="57"/>
      <c r="R241" s="40"/>
      <c r="S241" s="40" t="str">
        <f t="array" ref="S241">IF(C241="","",IFERROR(_xlfn.XLOOKUP(C241,Volunteers!D:D,Volunteers!A:A),""))</f>
        <v>013</v>
      </c>
      <c r="T241" s="40"/>
    </row>
    <row r="242">
      <c r="A242" s="24">
        <v>46251.0</v>
      </c>
      <c r="B242" s="26" t="s">
        <v>185</v>
      </c>
      <c r="C242" s="26" t="s">
        <v>189</v>
      </c>
      <c r="D242" s="28" t="str">
        <f t="array" ref="D242">IF(B242="","",IFERROR(_xlfn.XLOOKUP(B242,'Lists &amp; Settings'!A:A,'Lists &amp; Settings'!E:E),""))</f>
        <v/>
      </c>
      <c r="E242" s="26" t="s">
        <v>42</v>
      </c>
      <c r="F242" s="26" t="s">
        <v>44</v>
      </c>
      <c r="G242" s="98"/>
      <c r="H242" s="98"/>
      <c r="I242" s="99">
        <v>0.08333333333333333</v>
      </c>
      <c r="J242" s="54">
        <v>2.0</v>
      </c>
      <c r="K242" s="55" t="s">
        <v>29</v>
      </c>
      <c r="L242" s="56">
        <v>35.47</v>
      </c>
      <c r="M242" s="56">
        <v>70.94</v>
      </c>
      <c r="N242" s="28"/>
      <c r="O242" s="28"/>
      <c r="P242" s="100">
        <v>46303.63298365741</v>
      </c>
      <c r="Q242" s="52"/>
      <c r="R242" s="28"/>
      <c r="S242" s="28" t="str">
        <f t="array" ref="S242">IF(C242="","",IFERROR(_xlfn.XLOOKUP(C242,Volunteers!D:D,Volunteers!A:A),""))</f>
        <v>013</v>
      </c>
      <c r="T242" s="28"/>
    </row>
    <row r="243">
      <c r="A243" s="49">
        <v>46254.0</v>
      </c>
      <c r="B243" s="41" t="s">
        <v>185</v>
      </c>
      <c r="C243" s="41" t="s">
        <v>189</v>
      </c>
      <c r="D243" s="40" t="str">
        <f t="array" ref="D243">IF(B243="","",IFERROR(_xlfn.XLOOKUP(B243,'Lists &amp; Settings'!A:A,'Lists &amp; Settings'!E:E),""))</f>
        <v/>
      </c>
      <c r="E243" s="41" t="s">
        <v>42</v>
      </c>
      <c r="F243" s="41" t="s">
        <v>44</v>
      </c>
      <c r="G243" s="95"/>
      <c r="H243" s="95"/>
      <c r="I243" s="96">
        <v>0.16666666666666666</v>
      </c>
      <c r="J243" s="54">
        <v>4.0</v>
      </c>
      <c r="K243" s="55" t="s">
        <v>29</v>
      </c>
      <c r="L243" s="56">
        <v>35.47</v>
      </c>
      <c r="M243" s="56">
        <v>141.88</v>
      </c>
      <c r="N243" s="40"/>
      <c r="O243" s="40"/>
      <c r="P243" s="97">
        <v>46303.63296027778</v>
      </c>
      <c r="Q243" s="57"/>
      <c r="R243" s="40"/>
      <c r="S243" s="40" t="str">
        <f t="array" ref="S243">IF(C243="","",IFERROR(_xlfn.XLOOKUP(C243,Volunteers!D:D,Volunteers!A:A),""))</f>
        <v>013</v>
      </c>
      <c r="T243" s="40"/>
    </row>
    <row r="244">
      <c r="A244" s="24">
        <v>46258.0</v>
      </c>
      <c r="B244" s="26" t="s">
        <v>185</v>
      </c>
      <c r="C244" s="26" t="s">
        <v>189</v>
      </c>
      <c r="D244" s="28" t="str">
        <f t="array" ref="D244">IF(B244="","",IFERROR(_xlfn.XLOOKUP(B244,'Lists &amp; Settings'!A:A,'Lists &amp; Settings'!E:E),""))</f>
        <v/>
      </c>
      <c r="E244" s="26" t="s">
        <v>42</v>
      </c>
      <c r="F244" s="26" t="s">
        <v>44</v>
      </c>
      <c r="G244" s="98"/>
      <c r="H244" s="98"/>
      <c r="I244" s="99">
        <v>0.08333333333333333</v>
      </c>
      <c r="J244" s="54">
        <v>2.0</v>
      </c>
      <c r="K244" s="55" t="s">
        <v>29</v>
      </c>
      <c r="L244" s="56">
        <v>35.47</v>
      </c>
      <c r="M244" s="56">
        <v>70.94</v>
      </c>
      <c r="N244" s="28"/>
      <c r="O244" s="28"/>
      <c r="P244" s="100">
        <v>46303.63291799769</v>
      </c>
      <c r="Q244" s="52"/>
      <c r="R244" s="28"/>
      <c r="S244" s="28" t="str">
        <f t="array" ref="S244">IF(C244="","",IFERROR(_xlfn.XLOOKUP(C244,Volunteers!D:D,Volunteers!A:A),""))</f>
        <v>013</v>
      </c>
      <c r="T244" s="28"/>
    </row>
    <row r="245">
      <c r="A245" s="49">
        <v>46275.0</v>
      </c>
      <c r="B245" s="41" t="s">
        <v>185</v>
      </c>
      <c r="C245" s="41" t="s">
        <v>189</v>
      </c>
      <c r="D245" s="40" t="str">
        <f t="array" ref="D245">IF(B245="","",IFERROR(_xlfn.XLOOKUP(B245,'Lists &amp; Settings'!A:A,'Lists &amp; Settings'!E:E),""))</f>
        <v/>
      </c>
      <c r="E245" s="41" t="s">
        <v>42</v>
      </c>
      <c r="F245" s="41" t="s">
        <v>44</v>
      </c>
      <c r="G245" s="95"/>
      <c r="H245" s="95"/>
      <c r="I245" s="96">
        <v>0.08333333333333333</v>
      </c>
      <c r="J245" s="54">
        <v>2.0</v>
      </c>
      <c r="K245" s="55" t="s">
        <v>29</v>
      </c>
      <c r="L245" s="56">
        <v>35.47</v>
      </c>
      <c r="M245" s="56">
        <v>70.94</v>
      </c>
      <c r="N245" s="40"/>
      <c r="O245" s="40"/>
      <c r="P245" s="97">
        <v>46303.632890925925</v>
      </c>
      <c r="Q245" s="57"/>
      <c r="R245" s="40"/>
      <c r="S245" s="40" t="str">
        <f t="array" ref="S245">IF(C245="","",IFERROR(_xlfn.XLOOKUP(C245,Volunteers!D:D,Volunteers!A:A),""))</f>
        <v>013</v>
      </c>
      <c r="T245" s="40"/>
    </row>
    <row r="246">
      <c r="A246" s="24">
        <v>46266.0</v>
      </c>
      <c r="B246" s="26" t="s">
        <v>185</v>
      </c>
      <c r="C246" s="26" t="s">
        <v>189</v>
      </c>
      <c r="D246" s="28" t="str">
        <f t="array" ref="D246">IF(B246="","",IFERROR(_xlfn.XLOOKUP(B246,'Lists &amp; Settings'!A:A,'Lists &amp; Settings'!E:E),""))</f>
        <v/>
      </c>
      <c r="E246" s="26" t="s">
        <v>42</v>
      </c>
      <c r="F246" s="26" t="s">
        <v>44</v>
      </c>
      <c r="G246" s="98"/>
      <c r="H246" s="98"/>
      <c r="I246" s="99">
        <v>0.5833333333333334</v>
      </c>
      <c r="J246" s="54">
        <v>14.0</v>
      </c>
      <c r="K246" s="55" t="s">
        <v>29</v>
      </c>
      <c r="L246" s="56">
        <v>35.47</v>
      </c>
      <c r="M246" s="56">
        <v>496.58</v>
      </c>
      <c r="N246" s="28"/>
      <c r="O246" s="28"/>
      <c r="P246" s="100">
        <v>46303.632851863425</v>
      </c>
      <c r="Q246" s="52"/>
      <c r="R246" s="28"/>
      <c r="S246" s="28" t="str">
        <f t="array" ref="S246">IF(C246="","",IFERROR(_xlfn.XLOOKUP(C246,Volunteers!D:D,Volunteers!A:A),""))</f>
        <v>013</v>
      </c>
      <c r="T246" s="28"/>
    </row>
    <row r="247">
      <c r="A247" s="49">
        <v>46290.0</v>
      </c>
      <c r="B247" s="41" t="s">
        <v>185</v>
      </c>
      <c r="C247" s="41" t="s">
        <v>189</v>
      </c>
      <c r="D247" s="40" t="str">
        <f t="array" ref="D247">IF(B247="","",IFERROR(_xlfn.XLOOKUP(B247,'Lists &amp; Settings'!A:A,'Lists &amp; Settings'!E:E),""))</f>
        <v/>
      </c>
      <c r="E247" s="41" t="s">
        <v>42</v>
      </c>
      <c r="F247" s="41" t="s">
        <v>44</v>
      </c>
      <c r="G247" s="95"/>
      <c r="H247" s="95"/>
      <c r="I247" s="96">
        <v>0.20833333333333334</v>
      </c>
      <c r="J247" s="54">
        <v>5.0</v>
      </c>
      <c r="K247" s="55" t="s">
        <v>29</v>
      </c>
      <c r="L247" s="56">
        <v>35.47</v>
      </c>
      <c r="M247" s="56">
        <v>177.35</v>
      </c>
      <c r="N247" s="40"/>
      <c r="O247" s="40"/>
      <c r="P247" s="97">
        <v>46303.632817731486</v>
      </c>
      <c r="Q247" s="57"/>
      <c r="R247" s="40"/>
      <c r="S247" s="40" t="str">
        <f t="array" ref="S247">IF(C247="","",IFERROR(_xlfn.XLOOKUP(C247,Volunteers!D:D,Volunteers!A:A),""))</f>
        <v>013</v>
      </c>
      <c r="T247" s="40"/>
    </row>
    <row r="248">
      <c r="A248" s="24">
        <v>46293.0</v>
      </c>
      <c r="B248" s="26" t="s">
        <v>185</v>
      </c>
      <c r="C248" s="26" t="s">
        <v>189</v>
      </c>
      <c r="D248" s="28" t="str">
        <f t="array" ref="D248">IF(B248="","",IFERROR(_xlfn.XLOOKUP(B248,'Lists &amp; Settings'!A:A,'Lists &amp; Settings'!E:E),""))</f>
        <v/>
      </c>
      <c r="E248" s="26" t="s">
        <v>42</v>
      </c>
      <c r="F248" s="26" t="s">
        <v>44</v>
      </c>
      <c r="G248" s="98"/>
      <c r="H248" s="98"/>
      <c r="I248" s="99">
        <v>0.4166666666666667</v>
      </c>
      <c r="J248" s="54">
        <v>10.0</v>
      </c>
      <c r="K248" s="55" t="s">
        <v>29</v>
      </c>
      <c r="L248" s="56">
        <v>35.47</v>
      </c>
      <c r="M248" s="56">
        <v>354.7</v>
      </c>
      <c r="N248" s="28"/>
      <c r="O248" s="28"/>
      <c r="P248" s="100">
        <v>46303.63400747685</v>
      </c>
      <c r="Q248" s="52"/>
      <c r="R248" s="28"/>
      <c r="S248" s="28" t="str">
        <f t="array" ref="S248">IF(C248="","",IFERROR(_xlfn.XLOOKUP(C248,Volunteers!D:D,Volunteers!A:A),""))</f>
        <v>013</v>
      </c>
      <c r="T248" s="28"/>
    </row>
    <row r="249">
      <c r="A249" s="101">
        <v>46291.0</v>
      </c>
      <c r="B249" s="41" t="s">
        <v>185</v>
      </c>
      <c r="C249" s="41" t="s">
        <v>189</v>
      </c>
      <c r="D249" s="40" t="str">
        <f t="array" ref="D249">IF(B249="","",IFERROR(_xlfn.XLOOKUP(B249,'Lists &amp; Settings'!A:A,'Lists &amp; Settings'!E:E),""))</f>
        <v/>
      </c>
      <c r="E249" s="41" t="s">
        <v>42</v>
      </c>
      <c r="F249" s="41" t="s">
        <v>44</v>
      </c>
      <c r="G249" s="95"/>
      <c r="H249" s="95"/>
      <c r="I249" s="96">
        <v>0.08333333333333333</v>
      </c>
      <c r="J249" s="54">
        <v>2.0</v>
      </c>
      <c r="K249" s="55" t="s">
        <v>29</v>
      </c>
      <c r="L249" s="56">
        <v>35.47</v>
      </c>
      <c r="M249" s="56">
        <v>70.94</v>
      </c>
      <c r="N249" s="40"/>
      <c r="O249" s="40"/>
      <c r="P249" s="97">
        <v>46303.63447457176</v>
      </c>
      <c r="Q249" s="57"/>
      <c r="R249" s="40"/>
      <c r="S249" s="40" t="str">
        <f t="array" ref="S249">IF(C249="","",IFERROR(_xlfn.XLOOKUP(C249,Volunteers!D:D,Volunteers!A:A),""))</f>
        <v>013</v>
      </c>
      <c r="T249" s="40"/>
    </row>
    <row r="250">
      <c r="A250" s="102">
        <v>46291.0</v>
      </c>
      <c r="B250" s="26" t="s">
        <v>133</v>
      </c>
      <c r="C250" s="26" t="s">
        <v>349</v>
      </c>
      <c r="D250" s="26" t="s">
        <v>53</v>
      </c>
      <c r="E250" s="26" t="s">
        <v>42</v>
      </c>
      <c r="F250" s="26" t="s">
        <v>44</v>
      </c>
      <c r="G250" s="98"/>
      <c r="H250" s="98"/>
      <c r="I250" s="99">
        <v>0.16666666666666666</v>
      </c>
      <c r="J250" s="54">
        <v>4.0</v>
      </c>
      <c r="K250" s="55" t="s">
        <v>29</v>
      </c>
      <c r="L250" s="56">
        <v>35.47</v>
      </c>
      <c r="M250" s="56">
        <v>141.88</v>
      </c>
      <c r="N250" s="28"/>
      <c r="O250" s="28"/>
      <c r="P250" s="100">
        <v>46303.63756803241</v>
      </c>
      <c r="Q250" s="52"/>
      <c r="R250" s="28"/>
      <c r="S250" s="28"/>
      <c r="T250" s="28"/>
    </row>
    <row r="251">
      <c r="A251" s="57"/>
      <c r="B251" s="40"/>
      <c r="C251" s="40"/>
      <c r="D251" s="40" t="str">
        <f t="array" ref="D251">IF(B251="","",IFERROR(_xlfn.XLOOKUP(B251,'Lists &amp; Settings'!A:A,'Lists &amp; Settings'!E:E),""))</f>
        <v/>
      </c>
      <c r="E251" s="40"/>
      <c r="F251" s="40"/>
      <c r="G251" s="95"/>
      <c r="H251" s="95"/>
      <c r="I251" s="51"/>
      <c r="J251" s="54" t="s">
        <v>179</v>
      </c>
      <c r="K251" s="55" t="s">
        <v>179</v>
      </c>
      <c r="L251" s="56" t="s">
        <v>179</v>
      </c>
      <c r="M251" s="56" t="s">
        <v>179</v>
      </c>
      <c r="N251" s="40"/>
      <c r="O251" s="40"/>
      <c r="P251" s="57"/>
      <c r="Q251" s="57"/>
      <c r="R251" s="40"/>
      <c r="S251" s="40" t="str">
        <f t="array" ref="S251">IF(C251="","",IFERROR(_xlfn.XLOOKUP(C251,Volunteers!D:D,Volunteers!A:A),""))</f>
        <v/>
      </c>
      <c r="T251" s="40"/>
    </row>
    <row r="252">
      <c r="A252" s="52"/>
      <c r="B252" s="28"/>
      <c r="C252" s="28"/>
      <c r="D252" s="28" t="str">
        <f t="array" ref="D252">IF(B252="","",IFERROR(_xlfn.XLOOKUP(B252,'Lists &amp; Settings'!A:A,'Lists &amp; Settings'!E:E),""))</f>
        <v/>
      </c>
      <c r="E252" s="28"/>
      <c r="F252" s="28"/>
      <c r="G252" s="98"/>
      <c r="H252" s="98"/>
      <c r="I252" s="31"/>
      <c r="J252" s="54" t="s">
        <v>179</v>
      </c>
      <c r="K252" s="55" t="s">
        <v>179</v>
      </c>
      <c r="L252" s="56" t="s">
        <v>179</v>
      </c>
      <c r="M252" s="56" t="s">
        <v>179</v>
      </c>
      <c r="N252" s="28"/>
      <c r="O252" s="28"/>
      <c r="P252" s="52"/>
      <c r="Q252" s="52"/>
      <c r="R252" s="28"/>
      <c r="S252" s="28" t="str">
        <f t="array" ref="S252">IF(C252="","",IFERROR(_xlfn.XLOOKUP(C252,Volunteers!D:D,Volunteers!A:A),""))</f>
        <v/>
      </c>
      <c r="T252" s="28"/>
    </row>
    <row r="253">
      <c r="A253" s="57"/>
      <c r="B253" s="40"/>
      <c r="C253" s="40"/>
      <c r="D253" s="40" t="str">
        <f t="array" ref="D253">IF(B253="","",IFERROR(_xlfn.XLOOKUP(B253,'Lists &amp; Settings'!A:A,'Lists &amp; Settings'!E:E),""))</f>
        <v/>
      </c>
      <c r="E253" s="40"/>
      <c r="F253" s="40"/>
      <c r="G253" s="95"/>
      <c r="H253" s="95"/>
      <c r="I253" s="51"/>
      <c r="J253" s="54" t="s">
        <v>179</v>
      </c>
      <c r="K253" s="55" t="s">
        <v>179</v>
      </c>
      <c r="L253" s="56" t="s">
        <v>179</v>
      </c>
      <c r="M253" s="56" t="s">
        <v>179</v>
      </c>
      <c r="N253" s="40"/>
      <c r="O253" s="40"/>
      <c r="P253" s="57"/>
      <c r="Q253" s="57"/>
      <c r="R253" s="40"/>
      <c r="S253" s="40" t="str">
        <f t="array" ref="S253">IF(C253="","",IFERROR(_xlfn.XLOOKUP(C253,Volunteers!D:D,Volunteers!A:A),""))</f>
        <v/>
      </c>
      <c r="T253" s="40"/>
    </row>
    <row r="254">
      <c r="A254" s="52"/>
      <c r="B254" s="28"/>
      <c r="C254" s="28"/>
      <c r="D254" s="28" t="str">
        <f t="array" ref="D254">IF(B254="","",IFERROR(_xlfn.XLOOKUP(B254,'Lists &amp; Settings'!A:A,'Lists &amp; Settings'!E:E),""))</f>
        <v/>
      </c>
      <c r="E254" s="28"/>
      <c r="F254" s="28"/>
      <c r="G254" s="98"/>
      <c r="H254" s="98"/>
      <c r="I254" s="31"/>
      <c r="J254" s="54" t="s">
        <v>179</v>
      </c>
      <c r="K254" s="55" t="s">
        <v>179</v>
      </c>
      <c r="L254" s="56" t="s">
        <v>179</v>
      </c>
      <c r="M254" s="56" t="s">
        <v>179</v>
      </c>
      <c r="N254" s="28"/>
      <c r="O254" s="28"/>
      <c r="P254" s="52"/>
      <c r="Q254" s="52"/>
      <c r="R254" s="28"/>
      <c r="S254" s="28" t="str">
        <f t="array" ref="S254">IF(C254="","",IFERROR(_xlfn.XLOOKUP(C254,Volunteers!D:D,Volunteers!A:A),""))</f>
        <v/>
      </c>
      <c r="T254" s="28"/>
    </row>
    <row r="255">
      <c r="A255" s="57"/>
      <c r="B255" s="40"/>
      <c r="C255" s="40"/>
      <c r="D255" s="40" t="str">
        <f t="array" ref="D255">IF(B255="","",IFERROR(_xlfn.XLOOKUP(B255,'Lists &amp; Settings'!A:A,'Lists &amp; Settings'!E:E),""))</f>
        <v/>
      </c>
      <c r="E255" s="40"/>
      <c r="F255" s="40"/>
      <c r="G255" s="95"/>
      <c r="H255" s="95"/>
      <c r="I255" s="51"/>
      <c r="J255" s="54" t="s">
        <v>179</v>
      </c>
      <c r="K255" s="55" t="s">
        <v>179</v>
      </c>
      <c r="L255" s="56" t="s">
        <v>179</v>
      </c>
      <c r="M255" s="56" t="s">
        <v>179</v>
      </c>
      <c r="N255" s="40"/>
      <c r="O255" s="40"/>
      <c r="P255" s="57"/>
      <c r="Q255" s="57"/>
      <c r="R255" s="40"/>
      <c r="S255" s="40" t="str">
        <f t="array" ref="S255">IF(C255="","",IFERROR(_xlfn.XLOOKUP(C255,Volunteers!D:D,Volunteers!A:A),""))</f>
        <v/>
      </c>
      <c r="T255" s="40"/>
    </row>
    <row r="256">
      <c r="A256" s="52"/>
      <c r="B256" s="28"/>
      <c r="C256" s="28"/>
      <c r="D256" s="28" t="str">
        <f t="array" ref="D256">IF(B256="","",IFERROR(_xlfn.XLOOKUP(B256,'Lists &amp; Settings'!A:A,'Lists &amp; Settings'!E:E),""))</f>
        <v/>
      </c>
      <c r="E256" s="28"/>
      <c r="F256" s="28"/>
      <c r="G256" s="98"/>
      <c r="H256" s="98"/>
      <c r="I256" s="31"/>
      <c r="J256" s="54" t="s">
        <v>179</v>
      </c>
      <c r="K256" s="55" t="s">
        <v>179</v>
      </c>
      <c r="L256" s="56" t="s">
        <v>179</v>
      </c>
      <c r="M256" s="56" t="s">
        <v>179</v>
      </c>
      <c r="N256" s="28"/>
      <c r="O256" s="28"/>
      <c r="P256" s="52"/>
      <c r="Q256" s="52"/>
      <c r="R256" s="28"/>
      <c r="S256" s="28" t="str">
        <f t="array" ref="S256">IF(C256="","",IFERROR(_xlfn.XLOOKUP(C256,Volunteers!D:D,Volunteers!A:A),""))</f>
        <v/>
      </c>
      <c r="T256" s="28"/>
    </row>
    <row r="257">
      <c r="A257" s="57"/>
      <c r="B257" s="40"/>
      <c r="C257" s="40"/>
      <c r="D257" s="40" t="str">
        <f t="array" ref="D257">IF(B257="","",IFERROR(_xlfn.XLOOKUP(B257,'Lists &amp; Settings'!A:A,'Lists &amp; Settings'!E:E),""))</f>
        <v/>
      </c>
      <c r="E257" s="40"/>
      <c r="F257" s="40"/>
      <c r="G257" s="95"/>
      <c r="H257" s="95"/>
      <c r="I257" s="51"/>
      <c r="J257" s="54" t="s">
        <v>179</v>
      </c>
      <c r="K257" s="55" t="s">
        <v>179</v>
      </c>
      <c r="L257" s="56" t="s">
        <v>179</v>
      </c>
      <c r="M257" s="56" t="s">
        <v>179</v>
      </c>
      <c r="N257" s="40"/>
      <c r="O257" s="40"/>
      <c r="P257" s="57"/>
      <c r="Q257" s="57"/>
      <c r="R257" s="40"/>
      <c r="S257" s="40" t="str">
        <f t="array" ref="S257">IF(C257="","",IFERROR(_xlfn.XLOOKUP(C257,Volunteers!D:D,Volunteers!A:A),""))</f>
        <v/>
      </c>
      <c r="T257" s="40"/>
    </row>
    <row r="258">
      <c r="A258" s="52"/>
      <c r="B258" s="28"/>
      <c r="C258" s="28"/>
      <c r="D258" s="28" t="str">
        <f t="array" ref="D258">IF(B258="","",IFERROR(_xlfn.XLOOKUP(B258,'Lists &amp; Settings'!A:A,'Lists &amp; Settings'!E:E),""))</f>
        <v/>
      </c>
      <c r="E258" s="28"/>
      <c r="F258" s="28"/>
      <c r="G258" s="98"/>
      <c r="H258" s="98"/>
      <c r="I258" s="31"/>
      <c r="J258" s="54" t="s">
        <v>179</v>
      </c>
      <c r="K258" s="55" t="s">
        <v>179</v>
      </c>
      <c r="L258" s="56" t="s">
        <v>179</v>
      </c>
      <c r="M258" s="56" t="s">
        <v>179</v>
      </c>
      <c r="N258" s="28"/>
      <c r="O258" s="28"/>
      <c r="P258" s="52"/>
      <c r="Q258" s="52"/>
      <c r="R258" s="28"/>
      <c r="S258" s="28" t="str">
        <f t="array" ref="S258">IF(C258="","",IFERROR(_xlfn.XLOOKUP(C258,Volunteers!D:D,Volunteers!A:A),""))</f>
        <v/>
      </c>
      <c r="T258" s="28"/>
    </row>
    <row r="259">
      <c r="A259" s="57"/>
      <c r="B259" s="40"/>
      <c r="C259" s="40"/>
      <c r="D259" s="40" t="str">
        <f t="array" ref="D259">IF(B259="","",IFERROR(_xlfn.XLOOKUP(B259,'Lists &amp; Settings'!A:A,'Lists &amp; Settings'!E:E),""))</f>
        <v/>
      </c>
      <c r="E259" s="40"/>
      <c r="F259" s="40"/>
      <c r="G259" s="95"/>
      <c r="H259" s="95"/>
      <c r="I259" s="51"/>
      <c r="J259" s="54" t="s">
        <v>179</v>
      </c>
      <c r="K259" s="55" t="s">
        <v>179</v>
      </c>
      <c r="L259" s="56" t="s">
        <v>179</v>
      </c>
      <c r="M259" s="56" t="s">
        <v>179</v>
      </c>
      <c r="N259" s="40"/>
      <c r="O259" s="40"/>
      <c r="P259" s="57"/>
      <c r="Q259" s="57"/>
      <c r="R259" s="40"/>
      <c r="S259" s="40" t="str">
        <f t="array" ref="S259">IF(C259="","",IFERROR(_xlfn.XLOOKUP(C259,Volunteers!D:D,Volunteers!A:A),""))</f>
        <v/>
      </c>
      <c r="T259" s="40"/>
    </row>
    <row r="260">
      <c r="A260" s="52"/>
      <c r="B260" s="28"/>
      <c r="C260" s="28"/>
      <c r="D260" s="28" t="str">
        <f t="array" ref="D260">IF(B260="","",IFERROR(_xlfn.XLOOKUP(B260,'Lists &amp; Settings'!A:A,'Lists &amp; Settings'!E:E),""))</f>
        <v/>
      </c>
      <c r="E260" s="28"/>
      <c r="F260" s="28"/>
      <c r="G260" s="98"/>
      <c r="H260" s="98"/>
      <c r="I260" s="31"/>
      <c r="J260" s="54" t="s">
        <v>179</v>
      </c>
      <c r="K260" s="55" t="s">
        <v>179</v>
      </c>
      <c r="L260" s="56" t="s">
        <v>179</v>
      </c>
      <c r="M260" s="56" t="s">
        <v>179</v>
      </c>
      <c r="N260" s="28"/>
      <c r="O260" s="28"/>
      <c r="P260" s="52"/>
      <c r="Q260" s="52"/>
      <c r="R260" s="28"/>
      <c r="S260" s="28" t="str">
        <f t="array" ref="S260">IF(C260="","",IFERROR(_xlfn.XLOOKUP(C260,Volunteers!D:D,Volunteers!A:A),""))</f>
        <v/>
      </c>
      <c r="T260" s="28"/>
    </row>
    <row r="261">
      <c r="A261" s="57"/>
      <c r="B261" s="40"/>
      <c r="C261" s="40"/>
      <c r="D261" s="40" t="str">
        <f t="array" ref="D261">IF(B261="","",IFERROR(_xlfn.XLOOKUP(B261,'Lists &amp; Settings'!A:A,'Lists &amp; Settings'!E:E),""))</f>
        <v/>
      </c>
      <c r="E261" s="40"/>
      <c r="F261" s="40"/>
      <c r="G261" s="95"/>
      <c r="H261" s="95"/>
      <c r="I261" s="51"/>
      <c r="J261" s="54" t="s">
        <v>179</v>
      </c>
      <c r="K261" s="55" t="s">
        <v>179</v>
      </c>
      <c r="L261" s="56" t="s">
        <v>179</v>
      </c>
      <c r="M261" s="56" t="s">
        <v>179</v>
      </c>
      <c r="N261" s="40"/>
      <c r="O261" s="40"/>
      <c r="P261" s="57"/>
      <c r="Q261" s="57"/>
      <c r="R261" s="40"/>
      <c r="S261" s="40" t="str">
        <f t="array" ref="S261">IF(C261="","",IFERROR(_xlfn.XLOOKUP(C261,Volunteers!D:D,Volunteers!A:A),""))</f>
        <v/>
      </c>
      <c r="T261" s="40"/>
    </row>
    <row r="262">
      <c r="A262" s="52"/>
      <c r="B262" s="28"/>
      <c r="C262" s="28"/>
      <c r="D262" s="28" t="str">
        <f t="array" ref="D262">IF(B262="","",IFERROR(_xlfn.XLOOKUP(B262,'Lists &amp; Settings'!A:A,'Lists &amp; Settings'!E:E),""))</f>
        <v/>
      </c>
      <c r="E262" s="28"/>
      <c r="F262" s="28"/>
      <c r="G262" s="98"/>
      <c r="H262" s="98"/>
      <c r="I262" s="31"/>
      <c r="J262" s="54" t="s">
        <v>179</v>
      </c>
      <c r="K262" s="55" t="s">
        <v>179</v>
      </c>
      <c r="L262" s="56" t="s">
        <v>179</v>
      </c>
      <c r="M262" s="56" t="s">
        <v>179</v>
      </c>
      <c r="N262" s="28"/>
      <c r="O262" s="28"/>
      <c r="P262" s="52"/>
      <c r="Q262" s="52"/>
      <c r="R262" s="28"/>
      <c r="S262" s="28" t="str">
        <f t="array" ref="S262">IF(C262="","",IFERROR(_xlfn.XLOOKUP(C262,Volunteers!D:D,Volunteers!A:A),""))</f>
        <v/>
      </c>
      <c r="T262" s="28"/>
    </row>
    <row r="263">
      <c r="A263" s="57"/>
      <c r="B263" s="40"/>
      <c r="C263" s="40"/>
      <c r="D263" s="40" t="str">
        <f t="array" ref="D263">IF(B263="","",IFERROR(_xlfn.XLOOKUP(B263,'Lists &amp; Settings'!A:A,'Lists &amp; Settings'!E:E),""))</f>
        <v/>
      </c>
      <c r="E263" s="40"/>
      <c r="F263" s="40"/>
      <c r="G263" s="95"/>
      <c r="H263" s="95"/>
      <c r="I263" s="51"/>
      <c r="J263" s="54" t="s">
        <v>179</v>
      </c>
      <c r="K263" s="55" t="s">
        <v>179</v>
      </c>
      <c r="L263" s="56" t="s">
        <v>179</v>
      </c>
      <c r="M263" s="56" t="s">
        <v>179</v>
      </c>
      <c r="N263" s="40"/>
      <c r="O263" s="40"/>
      <c r="P263" s="57"/>
      <c r="Q263" s="57"/>
      <c r="R263" s="40"/>
      <c r="S263" s="40" t="str">
        <f t="array" ref="S263">IF(C263="","",IFERROR(_xlfn.XLOOKUP(C263,Volunteers!D:D,Volunteers!A:A),""))</f>
        <v/>
      </c>
      <c r="T263" s="40"/>
    </row>
    <row r="264">
      <c r="A264" s="52"/>
      <c r="B264" s="28"/>
      <c r="C264" s="28"/>
      <c r="D264" s="28" t="str">
        <f t="array" ref="D264">IF(B264="","",IFERROR(_xlfn.XLOOKUP(B264,'Lists &amp; Settings'!A:A,'Lists &amp; Settings'!E:E),""))</f>
        <v/>
      </c>
      <c r="E264" s="28"/>
      <c r="F264" s="28"/>
      <c r="G264" s="98"/>
      <c r="H264" s="98"/>
      <c r="I264" s="31"/>
      <c r="J264" s="54" t="s">
        <v>179</v>
      </c>
      <c r="K264" s="55" t="s">
        <v>179</v>
      </c>
      <c r="L264" s="56" t="s">
        <v>179</v>
      </c>
      <c r="M264" s="56" t="s">
        <v>179</v>
      </c>
      <c r="N264" s="28"/>
      <c r="O264" s="28"/>
      <c r="P264" s="52"/>
      <c r="Q264" s="52"/>
      <c r="R264" s="28"/>
      <c r="S264" s="28" t="str">
        <f t="array" ref="S264">IF(C264="","",IFERROR(_xlfn.XLOOKUP(C264,Volunteers!D:D,Volunteers!A:A),""))</f>
        <v/>
      </c>
      <c r="T264" s="28"/>
    </row>
    <row r="265">
      <c r="A265" s="57"/>
      <c r="B265" s="40"/>
      <c r="C265" s="40"/>
      <c r="D265" s="40" t="str">
        <f t="array" ref="D265">IF(B265="","",IFERROR(_xlfn.XLOOKUP(B265,'Lists &amp; Settings'!A:A,'Lists &amp; Settings'!E:E),""))</f>
        <v/>
      </c>
      <c r="E265" s="40"/>
      <c r="F265" s="40"/>
      <c r="G265" s="95"/>
      <c r="H265" s="95"/>
      <c r="I265" s="51"/>
      <c r="J265" s="54" t="s">
        <v>179</v>
      </c>
      <c r="K265" s="55" t="s">
        <v>179</v>
      </c>
      <c r="L265" s="56" t="s">
        <v>179</v>
      </c>
      <c r="M265" s="56" t="s">
        <v>179</v>
      </c>
      <c r="N265" s="40"/>
      <c r="O265" s="40"/>
      <c r="P265" s="57"/>
      <c r="Q265" s="57"/>
      <c r="R265" s="40"/>
      <c r="S265" s="40" t="str">
        <f t="array" ref="S265">IF(C265="","",IFERROR(_xlfn.XLOOKUP(C265,Volunteers!D:D,Volunteers!A:A),""))</f>
        <v/>
      </c>
      <c r="T265" s="40"/>
    </row>
    <row r="266">
      <c r="A266" s="52"/>
      <c r="B266" s="28"/>
      <c r="C266" s="28"/>
      <c r="D266" s="28" t="str">
        <f t="array" ref="D266">IF(B266="","",IFERROR(_xlfn.XLOOKUP(B266,'Lists &amp; Settings'!A:A,'Lists &amp; Settings'!E:E),""))</f>
        <v/>
      </c>
      <c r="E266" s="28"/>
      <c r="F266" s="28"/>
      <c r="G266" s="98"/>
      <c r="H266" s="98"/>
      <c r="I266" s="31"/>
      <c r="J266" s="54" t="s">
        <v>179</v>
      </c>
      <c r="K266" s="55" t="s">
        <v>179</v>
      </c>
      <c r="L266" s="56" t="s">
        <v>179</v>
      </c>
      <c r="M266" s="56" t="s">
        <v>179</v>
      </c>
      <c r="N266" s="28"/>
      <c r="O266" s="28"/>
      <c r="P266" s="52"/>
      <c r="Q266" s="52"/>
      <c r="R266" s="28"/>
      <c r="S266" s="28" t="str">
        <f t="array" ref="S266">IF(C266="","",IFERROR(_xlfn.XLOOKUP(C266,Volunteers!D:D,Volunteers!A:A),""))</f>
        <v/>
      </c>
      <c r="T266" s="28"/>
    </row>
    <row r="267">
      <c r="A267" s="57"/>
      <c r="B267" s="40"/>
      <c r="C267" s="40"/>
      <c r="D267" s="40" t="str">
        <f t="array" ref="D267">IF(B267="","",IFERROR(_xlfn.XLOOKUP(B267,'Lists &amp; Settings'!A:A,'Lists &amp; Settings'!E:E),""))</f>
        <v/>
      </c>
      <c r="E267" s="40"/>
      <c r="F267" s="40"/>
      <c r="G267" s="95"/>
      <c r="H267" s="95"/>
      <c r="I267" s="51"/>
      <c r="J267" s="54" t="s">
        <v>179</v>
      </c>
      <c r="K267" s="55" t="s">
        <v>179</v>
      </c>
      <c r="L267" s="56" t="s">
        <v>179</v>
      </c>
      <c r="M267" s="56" t="s">
        <v>179</v>
      </c>
      <c r="N267" s="40"/>
      <c r="O267" s="40"/>
      <c r="P267" s="57"/>
      <c r="Q267" s="57"/>
      <c r="R267" s="40"/>
      <c r="S267" s="40" t="str">
        <f t="array" ref="S267">IF(C267="","",IFERROR(_xlfn.XLOOKUP(C267,Volunteers!D:D,Volunteers!A:A),""))</f>
        <v/>
      </c>
      <c r="T267" s="40"/>
    </row>
    <row r="268">
      <c r="A268" s="52"/>
      <c r="B268" s="28"/>
      <c r="C268" s="28"/>
      <c r="D268" s="28" t="str">
        <f t="array" ref="D268">IF(B268="","",IFERROR(_xlfn.XLOOKUP(B268,'Lists &amp; Settings'!A:A,'Lists &amp; Settings'!E:E),""))</f>
        <v/>
      </c>
      <c r="E268" s="28"/>
      <c r="F268" s="28"/>
      <c r="G268" s="98"/>
      <c r="H268" s="98"/>
      <c r="I268" s="31"/>
      <c r="J268" s="54" t="s">
        <v>179</v>
      </c>
      <c r="K268" s="55" t="s">
        <v>179</v>
      </c>
      <c r="L268" s="56" t="s">
        <v>179</v>
      </c>
      <c r="M268" s="56" t="s">
        <v>179</v>
      </c>
      <c r="N268" s="28"/>
      <c r="O268" s="28"/>
      <c r="P268" s="52"/>
      <c r="Q268" s="52"/>
      <c r="R268" s="28"/>
      <c r="S268" s="28" t="str">
        <f t="array" ref="S268">IF(C268="","",IFERROR(_xlfn.XLOOKUP(C268,Volunteers!D:D,Volunteers!A:A),""))</f>
        <v/>
      </c>
      <c r="T268" s="28"/>
    </row>
    <row r="269">
      <c r="A269" s="57"/>
      <c r="B269" s="40"/>
      <c r="C269" s="40"/>
      <c r="D269" s="40" t="str">
        <f t="array" ref="D269">IF(B269="","",IFERROR(_xlfn.XLOOKUP(B269,'Lists &amp; Settings'!A:A,'Lists &amp; Settings'!E:E),""))</f>
        <v/>
      </c>
      <c r="E269" s="40"/>
      <c r="F269" s="40"/>
      <c r="G269" s="95"/>
      <c r="H269" s="95"/>
      <c r="I269" s="51"/>
      <c r="J269" s="54" t="s">
        <v>179</v>
      </c>
      <c r="K269" s="55" t="s">
        <v>179</v>
      </c>
      <c r="L269" s="56" t="s">
        <v>179</v>
      </c>
      <c r="M269" s="56" t="s">
        <v>179</v>
      </c>
      <c r="N269" s="40"/>
      <c r="O269" s="40"/>
      <c r="P269" s="57"/>
      <c r="Q269" s="57"/>
      <c r="R269" s="40"/>
      <c r="S269" s="40" t="str">
        <f t="array" ref="S269">IF(C269="","",IFERROR(_xlfn.XLOOKUP(C269,Volunteers!D:D,Volunteers!A:A),""))</f>
        <v/>
      </c>
      <c r="T269" s="40"/>
    </row>
    <row r="270">
      <c r="A270" s="52"/>
      <c r="B270" s="28"/>
      <c r="C270" s="28"/>
      <c r="D270" s="28" t="str">
        <f t="array" ref="D270">IF(B270="","",IFERROR(_xlfn.XLOOKUP(B270,'Lists &amp; Settings'!A:A,'Lists &amp; Settings'!E:E),""))</f>
        <v/>
      </c>
      <c r="E270" s="28"/>
      <c r="F270" s="28"/>
      <c r="G270" s="98"/>
      <c r="H270" s="98"/>
      <c r="I270" s="31"/>
      <c r="J270" s="54" t="s">
        <v>179</v>
      </c>
      <c r="K270" s="55" t="s">
        <v>179</v>
      </c>
      <c r="L270" s="56" t="s">
        <v>179</v>
      </c>
      <c r="M270" s="56" t="s">
        <v>179</v>
      </c>
      <c r="N270" s="28"/>
      <c r="O270" s="28"/>
      <c r="P270" s="52"/>
      <c r="Q270" s="52"/>
      <c r="R270" s="28"/>
      <c r="S270" s="28" t="str">
        <f t="array" ref="S270">IF(C270="","",IFERROR(_xlfn.XLOOKUP(C270,Volunteers!D:D,Volunteers!A:A),""))</f>
        <v/>
      </c>
      <c r="T270" s="28"/>
    </row>
    <row r="271">
      <c r="A271" s="57"/>
      <c r="B271" s="40"/>
      <c r="C271" s="40"/>
      <c r="D271" s="40" t="str">
        <f t="array" ref="D271">IF(B271="","",IFERROR(_xlfn.XLOOKUP(B271,'Lists &amp; Settings'!A:A,'Lists &amp; Settings'!E:E),""))</f>
        <v/>
      </c>
      <c r="E271" s="40"/>
      <c r="F271" s="40"/>
      <c r="G271" s="95"/>
      <c r="H271" s="95"/>
      <c r="I271" s="51"/>
      <c r="J271" s="54" t="s">
        <v>179</v>
      </c>
      <c r="K271" s="55" t="s">
        <v>179</v>
      </c>
      <c r="L271" s="56" t="s">
        <v>179</v>
      </c>
      <c r="M271" s="56" t="s">
        <v>179</v>
      </c>
      <c r="N271" s="40"/>
      <c r="O271" s="40"/>
      <c r="P271" s="57"/>
      <c r="Q271" s="57"/>
      <c r="R271" s="40"/>
      <c r="S271" s="40" t="str">
        <f t="array" ref="S271">IF(C271="","",IFERROR(_xlfn.XLOOKUP(C271,Volunteers!D:D,Volunteers!A:A),""))</f>
        <v/>
      </c>
      <c r="T271" s="40"/>
    </row>
    <row r="272">
      <c r="A272" s="52"/>
      <c r="B272" s="28"/>
      <c r="C272" s="28"/>
      <c r="D272" s="28" t="str">
        <f t="array" ref="D272">IF(B272="","",IFERROR(_xlfn.XLOOKUP(B272,'Lists &amp; Settings'!A:A,'Lists &amp; Settings'!E:E),""))</f>
        <v/>
      </c>
      <c r="E272" s="28"/>
      <c r="F272" s="28"/>
      <c r="G272" s="98"/>
      <c r="H272" s="98"/>
      <c r="I272" s="31"/>
      <c r="J272" s="54" t="s">
        <v>179</v>
      </c>
      <c r="K272" s="55" t="s">
        <v>179</v>
      </c>
      <c r="L272" s="56" t="s">
        <v>179</v>
      </c>
      <c r="M272" s="56" t="s">
        <v>179</v>
      </c>
      <c r="N272" s="28"/>
      <c r="O272" s="28"/>
      <c r="P272" s="52"/>
      <c r="Q272" s="52"/>
      <c r="R272" s="28"/>
      <c r="S272" s="28" t="str">
        <f t="array" ref="S272">IF(C272="","",IFERROR(_xlfn.XLOOKUP(C272,Volunteers!D:D,Volunteers!A:A),""))</f>
        <v/>
      </c>
      <c r="T272" s="28"/>
    </row>
    <row r="273">
      <c r="A273" s="57"/>
      <c r="B273" s="40"/>
      <c r="C273" s="40"/>
      <c r="D273" s="40" t="str">
        <f t="array" ref="D273">IF(B273="","",IFERROR(_xlfn.XLOOKUP(B273,'Lists &amp; Settings'!A:A,'Lists &amp; Settings'!E:E),""))</f>
        <v/>
      </c>
      <c r="E273" s="40"/>
      <c r="F273" s="40"/>
      <c r="G273" s="95"/>
      <c r="H273" s="95"/>
      <c r="I273" s="51"/>
      <c r="J273" s="54" t="s">
        <v>179</v>
      </c>
      <c r="K273" s="55" t="s">
        <v>179</v>
      </c>
      <c r="L273" s="56" t="s">
        <v>179</v>
      </c>
      <c r="M273" s="56" t="s">
        <v>179</v>
      </c>
      <c r="N273" s="40"/>
      <c r="O273" s="40"/>
      <c r="P273" s="57"/>
      <c r="Q273" s="57"/>
      <c r="R273" s="40"/>
      <c r="S273" s="40" t="str">
        <f t="array" ref="S273">IF(C273="","",IFERROR(_xlfn.XLOOKUP(C273,Volunteers!D:D,Volunteers!A:A),""))</f>
        <v/>
      </c>
      <c r="T273" s="40"/>
    </row>
    <row r="274">
      <c r="A274" s="52"/>
      <c r="B274" s="28"/>
      <c r="C274" s="28"/>
      <c r="D274" s="28" t="str">
        <f t="array" ref="D274">IF(B274="","",IFERROR(_xlfn.XLOOKUP(B274,'Lists &amp; Settings'!A:A,'Lists &amp; Settings'!E:E),""))</f>
        <v/>
      </c>
      <c r="E274" s="28"/>
      <c r="F274" s="28"/>
      <c r="G274" s="98"/>
      <c r="H274" s="98"/>
      <c r="I274" s="31"/>
      <c r="J274" s="54" t="s">
        <v>179</v>
      </c>
      <c r="K274" s="55" t="s">
        <v>179</v>
      </c>
      <c r="L274" s="56" t="s">
        <v>179</v>
      </c>
      <c r="M274" s="56" t="s">
        <v>179</v>
      </c>
      <c r="N274" s="28"/>
      <c r="O274" s="28"/>
      <c r="P274" s="52"/>
      <c r="Q274" s="52"/>
      <c r="R274" s="28"/>
      <c r="S274" s="28" t="str">
        <f t="array" ref="S274">IF(C274="","",IFERROR(_xlfn.XLOOKUP(C274,Volunteers!D:D,Volunteers!A:A),""))</f>
        <v/>
      </c>
      <c r="T274" s="28"/>
    </row>
    <row r="275">
      <c r="A275" s="57"/>
      <c r="B275" s="40"/>
      <c r="C275" s="40"/>
      <c r="D275" s="40" t="str">
        <f t="array" ref="D275">IF(B275="","",IFERROR(_xlfn.XLOOKUP(B275,'Lists &amp; Settings'!A:A,'Lists &amp; Settings'!E:E),""))</f>
        <v/>
      </c>
      <c r="E275" s="40"/>
      <c r="F275" s="40"/>
      <c r="G275" s="95"/>
      <c r="H275" s="95"/>
      <c r="I275" s="51"/>
      <c r="J275" s="54" t="s">
        <v>179</v>
      </c>
      <c r="K275" s="55" t="s">
        <v>179</v>
      </c>
      <c r="L275" s="56" t="s">
        <v>179</v>
      </c>
      <c r="M275" s="56" t="s">
        <v>179</v>
      </c>
      <c r="N275" s="40"/>
      <c r="O275" s="40"/>
      <c r="P275" s="57"/>
      <c r="Q275" s="57"/>
      <c r="R275" s="40"/>
      <c r="S275" s="40" t="str">
        <f t="array" ref="S275">IF(C275="","",IFERROR(_xlfn.XLOOKUP(C275,Volunteers!D:D,Volunteers!A:A),""))</f>
        <v/>
      </c>
      <c r="T275" s="40"/>
    </row>
    <row r="276">
      <c r="A276" s="52"/>
      <c r="B276" s="28"/>
      <c r="C276" s="28"/>
      <c r="D276" s="28" t="str">
        <f t="array" ref="D276">IF(B276="","",IFERROR(_xlfn.XLOOKUP(B276,'Lists &amp; Settings'!A:A,'Lists &amp; Settings'!E:E),""))</f>
        <v/>
      </c>
      <c r="E276" s="28"/>
      <c r="F276" s="28"/>
      <c r="G276" s="98"/>
      <c r="H276" s="98"/>
      <c r="I276" s="31"/>
      <c r="J276" s="54" t="s">
        <v>179</v>
      </c>
      <c r="K276" s="55" t="s">
        <v>179</v>
      </c>
      <c r="L276" s="56" t="s">
        <v>179</v>
      </c>
      <c r="M276" s="56" t="s">
        <v>179</v>
      </c>
      <c r="N276" s="28"/>
      <c r="O276" s="28"/>
      <c r="P276" s="52"/>
      <c r="Q276" s="52"/>
      <c r="R276" s="28"/>
      <c r="S276" s="28" t="str">
        <f t="array" ref="S276">IF(C276="","",IFERROR(_xlfn.XLOOKUP(C276,Volunteers!D:D,Volunteers!A:A),""))</f>
        <v/>
      </c>
      <c r="T276" s="28"/>
    </row>
    <row r="277">
      <c r="A277" s="57"/>
      <c r="B277" s="40"/>
      <c r="C277" s="40"/>
      <c r="D277" s="40" t="str">
        <f t="array" ref="D277">IF(B277="","",IFERROR(_xlfn.XLOOKUP(B277,'Lists &amp; Settings'!A:A,'Lists &amp; Settings'!E:E),""))</f>
        <v/>
      </c>
      <c r="E277" s="40"/>
      <c r="F277" s="40"/>
      <c r="G277" s="95"/>
      <c r="H277" s="95"/>
      <c r="I277" s="51"/>
      <c r="J277" s="54" t="s">
        <v>179</v>
      </c>
      <c r="K277" s="55" t="s">
        <v>179</v>
      </c>
      <c r="L277" s="56" t="s">
        <v>179</v>
      </c>
      <c r="M277" s="56" t="s">
        <v>179</v>
      </c>
      <c r="N277" s="40"/>
      <c r="O277" s="40"/>
      <c r="P277" s="57"/>
      <c r="Q277" s="57"/>
      <c r="R277" s="40"/>
      <c r="S277" s="40" t="str">
        <f t="array" ref="S277">IF(C277="","",IFERROR(_xlfn.XLOOKUP(C277,Volunteers!D:D,Volunteers!A:A),""))</f>
        <v/>
      </c>
      <c r="T277" s="40"/>
    </row>
    <row r="278">
      <c r="A278" s="52"/>
      <c r="B278" s="28"/>
      <c r="C278" s="28"/>
      <c r="D278" s="28" t="str">
        <f t="array" ref="D278">IF(B278="","",IFERROR(_xlfn.XLOOKUP(B278,'Lists &amp; Settings'!A:A,'Lists &amp; Settings'!E:E),""))</f>
        <v/>
      </c>
      <c r="E278" s="28"/>
      <c r="F278" s="28"/>
      <c r="G278" s="98"/>
      <c r="H278" s="98"/>
      <c r="I278" s="31"/>
      <c r="J278" s="54" t="s">
        <v>179</v>
      </c>
      <c r="K278" s="55" t="s">
        <v>179</v>
      </c>
      <c r="L278" s="56" t="s">
        <v>179</v>
      </c>
      <c r="M278" s="56" t="s">
        <v>179</v>
      </c>
      <c r="N278" s="28"/>
      <c r="O278" s="28"/>
      <c r="P278" s="52"/>
      <c r="Q278" s="52"/>
      <c r="R278" s="28"/>
      <c r="S278" s="28" t="str">
        <f t="array" ref="S278">IF(C278="","",IFERROR(_xlfn.XLOOKUP(C278,Volunteers!D:D,Volunteers!A:A),""))</f>
        <v/>
      </c>
      <c r="T278" s="28"/>
    </row>
    <row r="279">
      <c r="A279" s="57"/>
      <c r="B279" s="40"/>
      <c r="C279" s="40"/>
      <c r="D279" s="40" t="str">
        <f t="array" ref="D279">IF(B279="","",IFERROR(_xlfn.XLOOKUP(B279,'Lists &amp; Settings'!A:A,'Lists &amp; Settings'!E:E),""))</f>
        <v/>
      </c>
      <c r="E279" s="40"/>
      <c r="F279" s="40"/>
      <c r="G279" s="95"/>
      <c r="H279" s="95"/>
      <c r="I279" s="51"/>
      <c r="J279" s="54" t="s">
        <v>179</v>
      </c>
      <c r="K279" s="55" t="s">
        <v>179</v>
      </c>
      <c r="L279" s="56" t="s">
        <v>179</v>
      </c>
      <c r="M279" s="56" t="s">
        <v>179</v>
      </c>
      <c r="N279" s="40"/>
      <c r="O279" s="40"/>
      <c r="P279" s="57"/>
      <c r="Q279" s="57"/>
      <c r="R279" s="40"/>
      <c r="S279" s="40" t="str">
        <f t="array" ref="S279">IF(C279="","",IFERROR(_xlfn.XLOOKUP(C279,Volunteers!D:D,Volunteers!A:A),""))</f>
        <v/>
      </c>
      <c r="T279" s="40"/>
    </row>
    <row r="280">
      <c r="A280" s="52"/>
      <c r="B280" s="28"/>
      <c r="C280" s="28"/>
      <c r="D280" s="28" t="str">
        <f t="array" ref="D280">IF(B280="","",IFERROR(_xlfn.XLOOKUP(B280,'Lists &amp; Settings'!A:A,'Lists &amp; Settings'!E:E),""))</f>
        <v/>
      </c>
      <c r="E280" s="28"/>
      <c r="F280" s="28"/>
      <c r="G280" s="98"/>
      <c r="H280" s="98"/>
      <c r="I280" s="31"/>
      <c r="J280" s="54" t="s">
        <v>179</v>
      </c>
      <c r="K280" s="55" t="s">
        <v>179</v>
      </c>
      <c r="L280" s="56" t="s">
        <v>179</v>
      </c>
      <c r="M280" s="56" t="s">
        <v>179</v>
      </c>
      <c r="N280" s="28"/>
      <c r="O280" s="28"/>
      <c r="P280" s="52"/>
      <c r="Q280" s="52"/>
      <c r="R280" s="28"/>
      <c r="S280" s="28" t="str">
        <f t="array" ref="S280">IF(C280="","",IFERROR(_xlfn.XLOOKUP(C280,Volunteers!D:D,Volunteers!A:A),""))</f>
        <v/>
      </c>
      <c r="T280" s="28"/>
    </row>
    <row r="281">
      <c r="A281" s="57"/>
      <c r="B281" s="40"/>
      <c r="C281" s="40"/>
      <c r="D281" s="40" t="str">
        <f t="array" ref="D281">IF(B281="","",IFERROR(_xlfn.XLOOKUP(B281,'Lists &amp; Settings'!A:A,'Lists &amp; Settings'!E:E),""))</f>
        <v/>
      </c>
      <c r="E281" s="40"/>
      <c r="F281" s="40"/>
      <c r="G281" s="95"/>
      <c r="H281" s="95"/>
      <c r="I281" s="51"/>
      <c r="J281" s="54" t="s">
        <v>179</v>
      </c>
      <c r="K281" s="55" t="s">
        <v>179</v>
      </c>
      <c r="L281" s="56" t="s">
        <v>179</v>
      </c>
      <c r="M281" s="56" t="s">
        <v>179</v>
      </c>
      <c r="N281" s="40"/>
      <c r="O281" s="40"/>
      <c r="P281" s="57"/>
      <c r="Q281" s="57"/>
      <c r="R281" s="40"/>
      <c r="S281" s="40" t="str">
        <f t="array" ref="S281">IF(C281="","",IFERROR(_xlfn.XLOOKUP(C281,Volunteers!D:D,Volunteers!A:A),""))</f>
        <v/>
      </c>
      <c r="T281" s="40"/>
    </row>
    <row r="282">
      <c r="A282" s="52"/>
      <c r="B282" s="28"/>
      <c r="C282" s="28"/>
      <c r="D282" s="28" t="str">
        <f t="array" ref="D282">IF(B282="","",IFERROR(_xlfn.XLOOKUP(B282,'Lists &amp; Settings'!A:A,'Lists &amp; Settings'!E:E),""))</f>
        <v/>
      </c>
      <c r="E282" s="28"/>
      <c r="F282" s="28"/>
      <c r="G282" s="98"/>
      <c r="H282" s="98"/>
      <c r="I282" s="31"/>
      <c r="J282" s="54" t="s">
        <v>179</v>
      </c>
      <c r="K282" s="55" t="s">
        <v>179</v>
      </c>
      <c r="L282" s="56" t="s">
        <v>179</v>
      </c>
      <c r="M282" s="56" t="s">
        <v>179</v>
      </c>
      <c r="N282" s="28"/>
      <c r="O282" s="28"/>
      <c r="P282" s="52"/>
      <c r="Q282" s="52"/>
      <c r="R282" s="28"/>
      <c r="S282" s="28" t="str">
        <f t="array" ref="S282">IF(C282="","",IFERROR(_xlfn.XLOOKUP(C282,Volunteers!D:D,Volunteers!A:A),""))</f>
        <v/>
      </c>
      <c r="T282" s="28"/>
    </row>
    <row r="283">
      <c r="A283" s="57"/>
      <c r="B283" s="40"/>
      <c r="C283" s="40"/>
      <c r="D283" s="40" t="str">
        <f t="array" ref="D283">IF(B283="","",IFERROR(_xlfn.XLOOKUP(B283,'Lists &amp; Settings'!A:A,'Lists &amp; Settings'!E:E),""))</f>
        <v/>
      </c>
      <c r="E283" s="40"/>
      <c r="F283" s="40"/>
      <c r="G283" s="95"/>
      <c r="H283" s="95"/>
      <c r="I283" s="51"/>
      <c r="J283" s="54" t="s">
        <v>179</v>
      </c>
      <c r="K283" s="55" t="s">
        <v>179</v>
      </c>
      <c r="L283" s="56" t="s">
        <v>179</v>
      </c>
      <c r="M283" s="56" t="s">
        <v>179</v>
      </c>
      <c r="N283" s="40"/>
      <c r="O283" s="40"/>
      <c r="P283" s="57"/>
      <c r="Q283" s="57"/>
      <c r="R283" s="40"/>
      <c r="S283" s="40" t="str">
        <f t="array" ref="S283">IF(C283="","",IFERROR(_xlfn.XLOOKUP(C283,Volunteers!D:D,Volunteers!A:A),""))</f>
        <v/>
      </c>
      <c r="T283" s="40"/>
    </row>
    <row r="284">
      <c r="A284" s="52"/>
      <c r="B284" s="28"/>
      <c r="C284" s="28"/>
      <c r="D284" s="28" t="str">
        <f t="array" ref="D284">IF(B284="","",IFERROR(_xlfn.XLOOKUP(B284,'Lists &amp; Settings'!A:A,'Lists &amp; Settings'!E:E),""))</f>
        <v/>
      </c>
      <c r="E284" s="28"/>
      <c r="F284" s="28"/>
      <c r="G284" s="98"/>
      <c r="H284" s="98"/>
      <c r="I284" s="31"/>
      <c r="J284" s="54" t="s">
        <v>179</v>
      </c>
      <c r="K284" s="55" t="s">
        <v>179</v>
      </c>
      <c r="L284" s="56" t="s">
        <v>179</v>
      </c>
      <c r="M284" s="56" t="s">
        <v>179</v>
      </c>
      <c r="N284" s="28"/>
      <c r="O284" s="28"/>
      <c r="P284" s="52"/>
      <c r="Q284" s="52"/>
      <c r="R284" s="28"/>
      <c r="S284" s="28" t="str">
        <f t="array" ref="S284">IF(C284="","",IFERROR(_xlfn.XLOOKUP(C284,Volunteers!D:D,Volunteers!A:A),""))</f>
        <v/>
      </c>
      <c r="T284" s="28"/>
    </row>
    <row r="285">
      <c r="A285" s="57"/>
      <c r="B285" s="40"/>
      <c r="C285" s="40"/>
      <c r="D285" s="40" t="str">
        <f t="array" ref="D285">IF(B285="","",IFERROR(_xlfn.XLOOKUP(B285,'Lists &amp; Settings'!A:A,'Lists &amp; Settings'!E:E),""))</f>
        <v/>
      </c>
      <c r="E285" s="40"/>
      <c r="F285" s="40"/>
      <c r="G285" s="95"/>
      <c r="H285" s="95"/>
      <c r="I285" s="51"/>
      <c r="J285" s="54" t="s">
        <v>179</v>
      </c>
      <c r="K285" s="55" t="s">
        <v>179</v>
      </c>
      <c r="L285" s="56" t="s">
        <v>179</v>
      </c>
      <c r="M285" s="56" t="s">
        <v>179</v>
      </c>
      <c r="N285" s="40"/>
      <c r="O285" s="40"/>
      <c r="P285" s="57"/>
      <c r="Q285" s="57"/>
      <c r="R285" s="40"/>
      <c r="S285" s="40" t="str">
        <f t="array" ref="S285">IF(C285="","",IFERROR(_xlfn.XLOOKUP(C285,Volunteers!D:D,Volunteers!A:A),""))</f>
        <v/>
      </c>
      <c r="T285" s="40"/>
    </row>
    <row r="286">
      <c r="A286" s="52"/>
      <c r="B286" s="28"/>
      <c r="C286" s="28"/>
      <c r="D286" s="28" t="str">
        <f t="array" ref="D286">IF(B286="","",IFERROR(_xlfn.XLOOKUP(B286,'Lists &amp; Settings'!A:A,'Lists &amp; Settings'!E:E),""))</f>
        <v/>
      </c>
      <c r="E286" s="28"/>
      <c r="F286" s="28"/>
      <c r="G286" s="98"/>
      <c r="H286" s="98"/>
      <c r="I286" s="31"/>
      <c r="J286" s="54" t="s">
        <v>179</v>
      </c>
      <c r="K286" s="55" t="s">
        <v>179</v>
      </c>
      <c r="L286" s="56" t="s">
        <v>179</v>
      </c>
      <c r="M286" s="56" t="s">
        <v>179</v>
      </c>
      <c r="N286" s="28"/>
      <c r="O286" s="28"/>
      <c r="P286" s="52"/>
      <c r="Q286" s="52"/>
      <c r="R286" s="28"/>
      <c r="S286" s="28" t="str">
        <f t="array" ref="S286">IF(C286="","",IFERROR(_xlfn.XLOOKUP(C286,Volunteers!D:D,Volunteers!A:A),""))</f>
        <v/>
      </c>
      <c r="T286" s="28"/>
    </row>
    <row r="287">
      <c r="A287" s="57"/>
      <c r="B287" s="40"/>
      <c r="C287" s="40"/>
      <c r="D287" s="40" t="str">
        <f t="array" ref="D287">IF(B287="","",IFERROR(_xlfn.XLOOKUP(B287,'Lists &amp; Settings'!A:A,'Lists &amp; Settings'!E:E),""))</f>
        <v/>
      </c>
      <c r="E287" s="40"/>
      <c r="F287" s="40"/>
      <c r="G287" s="95"/>
      <c r="H287" s="95"/>
      <c r="I287" s="51"/>
      <c r="J287" s="54" t="s">
        <v>179</v>
      </c>
      <c r="K287" s="55" t="s">
        <v>179</v>
      </c>
      <c r="L287" s="56" t="s">
        <v>179</v>
      </c>
      <c r="M287" s="56" t="s">
        <v>179</v>
      </c>
      <c r="N287" s="40"/>
      <c r="O287" s="40"/>
      <c r="P287" s="57"/>
      <c r="Q287" s="57"/>
      <c r="R287" s="40"/>
      <c r="S287" s="40" t="str">
        <f t="array" ref="S287">IF(C287="","",IFERROR(_xlfn.XLOOKUP(C287,Volunteers!D:D,Volunteers!A:A),""))</f>
        <v/>
      </c>
      <c r="T287" s="40"/>
    </row>
    <row r="288">
      <c r="A288" s="52"/>
      <c r="B288" s="28"/>
      <c r="C288" s="28"/>
      <c r="D288" s="28" t="str">
        <f t="array" ref="D288">IF(B288="","",IFERROR(_xlfn.XLOOKUP(B288,'Lists &amp; Settings'!A:A,'Lists &amp; Settings'!E:E),""))</f>
        <v/>
      </c>
      <c r="E288" s="28"/>
      <c r="F288" s="28"/>
      <c r="G288" s="98"/>
      <c r="H288" s="98"/>
      <c r="I288" s="31"/>
      <c r="J288" s="54" t="s">
        <v>179</v>
      </c>
      <c r="K288" s="55" t="s">
        <v>179</v>
      </c>
      <c r="L288" s="56" t="s">
        <v>179</v>
      </c>
      <c r="M288" s="56" t="s">
        <v>179</v>
      </c>
      <c r="N288" s="28"/>
      <c r="O288" s="28"/>
      <c r="P288" s="52"/>
      <c r="Q288" s="52"/>
      <c r="R288" s="28"/>
      <c r="S288" s="28" t="str">
        <f t="array" ref="S288">IF(C288="","",IFERROR(_xlfn.XLOOKUP(C288,Volunteers!D:D,Volunteers!A:A),""))</f>
        <v/>
      </c>
      <c r="T288" s="28"/>
    </row>
    <row r="289">
      <c r="A289" s="57"/>
      <c r="B289" s="40"/>
      <c r="C289" s="40"/>
      <c r="D289" s="40" t="str">
        <f t="array" ref="D289">IF(B289="","",IFERROR(_xlfn.XLOOKUP(B289,'Lists &amp; Settings'!A:A,'Lists &amp; Settings'!E:E),""))</f>
        <v/>
      </c>
      <c r="E289" s="40"/>
      <c r="F289" s="40"/>
      <c r="G289" s="95"/>
      <c r="H289" s="95"/>
      <c r="I289" s="51"/>
      <c r="J289" s="54" t="s">
        <v>179</v>
      </c>
      <c r="K289" s="55" t="s">
        <v>179</v>
      </c>
      <c r="L289" s="56" t="s">
        <v>179</v>
      </c>
      <c r="M289" s="56" t="s">
        <v>179</v>
      </c>
      <c r="N289" s="40"/>
      <c r="O289" s="40"/>
      <c r="P289" s="57"/>
      <c r="Q289" s="57"/>
      <c r="R289" s="40"/>
      <c r="S289" s="40" t="str">
        <f t="array" ref="S289">IF(C289="","",IFERROR(_xlfn.XLOOKUP(C289,Volunteers!D:D,Volunteers!A:A),""))</f>
        <v/>
      </c>
      <c r="T289" s="40"/>
    </row>
    <row r="290">
      <c r="A290" s="52"/>
      <c r="B290" s="28"/>
      <c r="C290" s="28"/>
      <c r="D290" s="28" t="str">
        <f t="array" ref="D290">IF(B290="","",IFERROR(_xlfn.XLOOKUP(B290,'Lists &amp; Settings'!A:A,'Lists &amp; Settings'!E:E),""))</f>
        <v/>
      </c>
      <c r="E290" s="28"/>
      <c r="F290" s="28"/>
      <c r="G290" s="98"/>
      <c r="H290" s="98"/>
      <c r="I290" s="31"/>
      <c r="J290" s="54" t="s">
        <v>179</v>
      </c>
      <c r="K290" s="55" t="s">
        <v>179</v>
      </c>
      <c r="L290" s="56" t="s">
        <v>179</v>
      </c>
      <c r="M290" s="56" t="s">
        <v>179</v>
      </c>
      <c r="N290" s="28"/>
      <c r="O290" s="28"/>
      <c r="P290" s="52"/>
      <c r="Q290" s="52"/>
      <c r="R290" s="28"/>
      <c r="S290" s="28" t="str">
        <f t="array" ref="S290">IF(C290="","",IFERROR(_xlfn.XLOOKUP(C290,Volunteers!D:D,Volunteers!A:A),""))</f>
        <v/>
      </c>
      <c r="T290" s="28"/>
    </row>
    <row r="291">
      <c r="A291" s="57"/>
      <c r="B291" s="40"/>
      <c r="C291" s="40"/>
      <c r="D291" s="40" t="str">
        <f t="array" ref="D291">IF(B291="","",IFERROR(_xlfn.XLOOKUP(B291,'Lists &amp; Settings'!A:A,'Lists &amp; Settings'!E:E),""))</f>
        <v/>
      </c>
      <c r="E291" s="40"/>
      <c r="F291" s="40"/>
      <c r="G291" s="95"/>
      <c r="H291" s="95"/>
      <c r="I291" s="51"/>
      <c r="J291" s="54" t="s">
        <v>179</v>
      </c>
      <c r="K291" s="55" t="s">
        <v>179</v>
      </c>
      <c r="L291" s="56" t="s">
        <v>179</v>
      </c>
      <c r="M291" s="56" t="s">
        <v>179</v>
      </c>
      <c r="N291" s="40"/>
      <c r="O291" s="40"/>
      <c r="P291" s="57"/>
      <c r="Q291" s="57"/>
      <c r="R291" s="40"/>
      <c r="S291" s="40" t="str">
        <f t="array" ref="S291">IF(C291="","",IFERROR(_xlfn.XLOOKUP(C291,Volunteers!D:D,Volunteers!A:A),""))</f>
        <v/>
      </c>
      <c r="T291" s="40"/>
    </row>
    <row r="292">
      <c r="A292" s="52"/>
      <c r="B292" s="28"/>
      <c r="C292" s="28"/>
      <c r="D292" s="28" t="str">
        <f t="array" ref="D292">IF(B292="","",IFERROR(_xlfn.XLOOKUP(B292,'Lists &amp; Settings'!A:A,'Lists &amp; Settings'!E:E),""))</f>
        <v/>
      </c>
      <c r="E292" s="28"/>
      <c r="F292" s="28"/>
      <c r="G292" s="98"/>
      <c r="H292" s="98"/>
      <c r="I292" s="31"/>
      <c r="J292" s="54" t="s">
        <v>179</v>
      </c>
      <c r="K292" s="55" t="s">
        <v>179</v>
      </c>
      <c r="L292" s="56" t="s">
        <v>179</v>
      </c>
      <c r="M292" s="56" t="s">
        <v>179</v>
      </c>
      <c r="N292" s="28"/>
      <c r="O292" s="28"/>
      <c r="P292" s="52"/>
      <c r="Q292" s="52"/>
      <c r="R292" s="28"/>
      <c r="S292" s="28" t="str">
        <f t="array" ref="S292">IF(C292="","",IFERROR(_xlfn.XLOOKUP(C292,Volunteers!D:D,Volunteers!A:A),""))</f>
        <v/>
      </c>
      <c r="T292" s="28"/>
    </row>
    <row r="293">
      <c r="A293" s="57"/>
      <c r="B293" s="40"/>
      <c r="C293" s="40"/>
      <c r="D293" s="40" t="str">
        <f t="array" ref="D293">IF(B293="","",IFERROR(_xlfn.XLOOKUP(B293,'Lists &amp; Settings'!A:A,'Lists &amp; Settings'!E:E),""))</f>
        <v/>
      </c>
      <c r="E293" s="40"/>
      <c r="F293" s="40"/>
      <c r="G293" s="95"/>
      <c r="H293" s="95"/>
      <c r="I293" s="51"/>
      <c r="J293" s="54" t="s">
        <v>179</v>
      </c>
      <c r="K293" s="55" t="s">
        <v>179</v>
      </c>
      <c r="L293" s="56" t="s">
        <v>179</v>
      </c>
      <c r="M293" s="56" t="s">
        <v>179</v>
      </c>
      <c r="N293" s="40"/>
      <c r="O293" s="40"/>
      <c r="P293" s="57"/>
      <c r="Q293" s="57"/>
      <c r="R293" s="40"/>
      <c r="S293" s="40" t="str">
        <f t="array" ref="S293">IF(C293="","",IFERROR(_xlfn.XLOOKUP(C293,Volunteers!D:D,Volunteers!A:A),""))</f>
        <v/>
      </c>
      <c r="T293" s="40"/>
    </row>
    <row r="294">
      <c r="A294" s="52"/>
      <c r="B294" s="28"/>
      <c r="C294" s="28"/>
      <c r="D294" s="28" t="str">
        <f t="array" ref="D294">IF(B294="","",IFERROR(_xlfn.XLOOKUP(B294,'Lists &amp; Settings'!A:A,'Lists &amp; Settings'!E:E),""))</f>
        <v/>
      </c>
      <c r="E294" s="28"/>
      <c r="F294" s="28"/>
      <c r="G294" s="98"/>
      <c r="H294" s="98"/>
      <c r="I294" s="31"/>
      <c r="J294" s="54" t="s">
        <v>179</v>
      </c>
      <c r="K294" s="55" t="s">
        <v>179</v>
      </c>
      <c r="L294" s="56" t="s">
        <v>179</v>
      </c>
      <c r="M294" s="56" t="s">
        <v>179</v>
      </c>
      <c r="N294" s="28"/>
      <c r="O294" s="28"/>
      <c r="P294" s="52"/>
      <c r="Q294" s="52"/>
      <c r="R294" s="28"/>
      <c r="S294" s="28" t="str">
        <f t="array" ref="S294">IF(C294="","",IFERROR(_xlfn.XLOOKUP(C294,Volunteers!D:D,Volunteers!A:A),""))</f>
        <v/>
      </c>
      <c r="T294" s="28"/>
    </row>
    <row r="295">
      <c r="A295" s="57"/>
      <c r="B295" s="40"/>
      <c r="C295" s="40"/>
      <c r="D295" s="40" t="str">
        <f t="array" ref="D295">IF(B295="","",IFERROR(_xlfn.XLOOKUP(B295,'Lists &amp; Settings'!A:A,'Lists &amp; Settings'!E:E),""))</f>
        <v/>
      </c>
      <c r="E295" s="40"/>
      <c r="F295" s="40"/>
      <c r="G295" s="95"/>
      <c r="H295" s="95"/>
      <c r="I295" s="51"/>
      <c r="J295" s="54" t="s">
        <v>179</v>
      </c>
      <c r="K295" s="55" t="s">
        <v>179</v>
      </c>
      <c r="L295" s="56" t="s">
        <v>179</v>
      </c>
      <c r="M295" s="56" t="s">
        <v>179</v>
      </c>
      <c r="N295" s="40"/>
      <c r="O295" s="40"/>
      <c r="P295" s="57"/>
      <c r="Q295" s="57"/>
      <c r="R295" s="40"/>
      <c r="S295" s="40" t="str">
        <f t="array" ref="S295">IF(C295="","",IFERROR(_xlfn.XLOOKUP(C295,Volunteers!D:D,Volunteers!A:A),""))</f>
        <v/>
      </c>
      <c r="T295" s="40"/>
    </row>
    <row r="296">
      <c r="A296" s="52"/>
      <c r="B296" s="28"/>
      <c r="C296" s="28"/>
      <c r="D296" s="28" t="str">
        <f t="array" ref="D296">IF(B296="","",IFERROR(_xlfn.XLOOKUP(B296,'Lists &amp; Settings'!A:A,'Lists &amp; Settings'!E:E),""))</f>
        <v/>
      </c>
      <c r="E296" s="28"/>
      <c r="F296" s="28"/>
      <c r="G296" s="98"/>
      <c r="H296" s="98"/>
      <c r="I296" s="31"/>
      <c r="J296" s="54" t="s">
        <v>179</v>
      </c>
      <c r="K296" s="55" t="s">
        <v>179</v>
      </c>
      <c r="L296" s="56" t="s">
        <v>179</v>
      </c>
      <c r="M296" s="56" t="s">
        <v>179</v>
      </c>
      <c r="N296" s="28"/>
      <c r="O296" s="28"/>
      <c r="P296" s="52"/>
      <c r="Q296" s="52"/>
      <c r="R296" s="28"/>
      <c r="S296" s="28" t="str">
        <f t="array" ref="S296">IF(C296="","",IFERROR(_xlfn.XLOOKUP(C296,Volunteers!D:D,Volunteers!A:A),""))</f>
        <v/>
      </c>
      <c r="T296" s="28"/>
    </row>
    <row r="297">
      <c r="A297" s="57"/>
      <c r="B297" s="40"/>
      <c r="C297" s="40"/>
      <c r="D297" s="40" t="str">
        <f t="array" ref="D297">IF(B297="","",IFERROR(_xlfn.XLOOKUP(B297,'Lists &amp; Settings'!A:A,'Lists &amp; Settings'!E:E),""))</f>
        <v/>
      </c>
      <c r="E297" s="40"/>
      <c r="F297" s="40"/>
      <c r="G297" s="95"/>
      <c r="H297" s="95"/>
      <c r="I297" s="51"/>
      <c r="J297" s="54" t="s">
        <v>179</v>
      </c>
      <c r="K297" s="55" t="s">
        <v>179</v>
      </c>
      <c r="L297" s="56" t="s">
        <v>179</v>
      </c>
      <c r="M297" s="56" t="s">
        <v>179</v>
      </c>
      <c r="N297" s="40"/>
      <c r="O297" s="40"/>
      <c r="P297" s="57"/>
      <c r="Q297" s="57"/>
      <c r="R297" s="40"/>
      <c r="S297" s="40" t="str">
        <f t="array" ref="S297">IF(C297="","",IFERROR(_xlfn.XLOOKUP(C297,Volunteers!D:D,Volunteers!A:A),""))</f>
        <v/>
      </c>
      <c r="T297" s="40"/>
    </row>
    <row r="298">
      <c r="A298" s="52"/>
      <c r="B298" s="28"/>
      <c r="C298" s="28"/>
      <c r="D298" s="28" t="str">
        <f t="array" ref="D298">IF(B298="","",IFERROR(_xlfn.XLOOKUP(B298,'Lists &amp; Settings'!A:A,'Lists &amp; Settings'!E:E),""))</f>
        <v/>
      </c>
      <c r="E298" s="28"/>
      <c r="F298" s="28"/>
      <c r="G298" s="98"/>
      <c r="H298" s="98"/>
      <c r="I298" s="31"/>
      <c r="J298" s="54" t="s">
        <v>179</v>
      </c>
      <c r="K298" s="55" t="s">
        <v>179</v>
      </c>
      <c r="L298" s="56" t="s">
        <v>179</v>
      </c>
      <c r="M298" s="56" t="s">
        <v>179</v>
      </c>
      <c r="N298" s="28"/>
      <c r="O298" s="28"/>
      <c r="P298" s="52"/>
      <c r="Q298" s="52"/>
      <c r="R298" s="28"/>
      <c r="S298" s="28" t="str">
        <f t="array" ref="S298">IF(C298="","",IFERROR(_xlfn.XLOOKUP(C298,Volunteers!D:D,Volunteers!A:A),""))</f>
        <v/>
      </c>
      <c r="T298" s="28"/>
    </row>
    <row r="299">
      <c r="A299" s="57"/>
      <c r="B299" s="40"/>
      <c r="C299" s="40"/>
      <c r="D299" s="40" t="str">
        <f t="array" ref="D299">IF(B299="","",IFERROR(_xlfn.XLOOKUP(B299,'Lists &amp; Settings'!A:A,'Lists &amp; Settings'!E:E),""))</f>
        <v/>
      </c>
      <c r="E299" s="40"/>
      <c r="F299" s="40"/>
      <c r="G299" s="95"/>
      <c r="H299" s="95"/>
      <c r="I299" s="51"/>
      <c r="J299" s="54" t="s">
        <v>179</v>
      </c>
      <c r="K299" s="55" t="s">
        <v>179</v>
      </c>
      <c r="L299" s="56" t="s">
        <v>179</v>
      </c>
      <c r="M299" s="56" t="s">
        <v>179</v>
      </c>
      <c r="N299" s="40"/>
      <c r="O299" s="40"/>
      <c r="P299" s="57"/>
      <c r="Q299" s="57"/>
      <c r="R299" s="40"/>
      <c r="S299" s="40" t="str">
        <f t="array" ref="S299">IF(C299="","",IFERROR(_xlfn.XLOOKUP(C299,Volunteers!D:D,Volunteers!A:A),""))</f>
        <v/>
      </c>
      <c r="T299" s="40"/>
    </row>
    <row r="300">
      <c r="A300" s="52"/>
      <c r="B300" s="28"/>
      <c r="C300" s="28"/>
      <c r="D300" s="28" t="str">
        <f t="array" ref="D300">IF(B300="","",IFERROR(_xlfn.XLOOKUP(B300,'Lists &amp; Settings'!A:A,'Lists &amp; Settings'!E:E),""))</f>
        <v/>
      </c>
      <c r="E300" s="28"/>
      <c r="F300" s="28"/>
      <c r="G300" s="98"/>
      <c r="H300" s="98"/>
      <c r="I300" s="31"/>
      <c r="J300" s="54" t="s">
        <v>179</v>
      </c>
      <c r="K300" s="55" t="s">
        <v>179</v>
      </c>
      <c r="L300" s="56" t="s">
        <v>179</v>
      </c>
      <c r="M300" s="56" t="s">
        <v>179</v>
      </c>
      <c r="N300" s="28"/>
      <c r="O300" s="28"/>
      <c r="P300" s="52"/>
      <c r="Q300" s="52"/>
      <c r="R300" s="28"/>
      <c r="S300" s="28" t="str">
        <f t="array" ref="S300">IF(C300="","",IFERROR(_xlfn.XLOOKUP(C300,Volunteers!D:D,Volunteers!A:A),""))</f>
        <v/>
      </c>
      <c r="T300" s="28"/>
    </row>
    <row r="301">
      <c r="A301" s="57"/>
      <c r="B301" s="40"/>
      <c r="C301" s="40"/>
      <c r="D301" s="40" t="str">
        <f t="array" ref="D301">IF(B301="","",IFERROR(_xlfn.XLOOKUP(B301,'Lists &amp; Settings'!A:A,'Lists &amp; Settings'!E:E),""))</f>
        <v/>
      </c>
      <c r="E301" s="40"/>
      <c r="F301" s="40"/>
      <c r="G301" s="95"/>
      <c r="H301" s="95"/>
      <c r="I301" s="51"/>
      <c r="J301" s="54" t="s">
        <v>179</v>
      </c>
      <c r="K301" s="55" t="s">
        <v>179</v>
      </c>
      <c r="L301" s="56" t="s">
        <v>179</v>
      </c>
      <c r="M301" s="56" t="s">
        <v>179</v>
      </c>
      <c r="N301" s="40"/>
      <c r="O301" s="40"/>
      <c r="P301" s="57"/>
      <c r="Q301" s="57"/>
      <c r="R301" s="40"/>
      <c r="S301" s="40" t="str">
        <f t="array" ref="S301">IF(C301="","",IFERROR(_xlfn.XLOOKUP(C301,Volunteers!D:D,Volunteers!A:A),""))</f>
        <v/>
      </c>
      <c r="T301" s="40"/>
    </row>
    <row r="302">
      <c r="A302" s="52"/>
      <c r="B302" s="28"/>
      <c r="C302" s="28"/>
      <c r="D302" s="28" t="str">
        <f t="array" ref="D302">IF(B302="","",IFERROR(_xlfn.XLOOKUP(B302,'Lists &amp; Settings'!A:A,'Lists &amp; Settings'!E:E),""))</f>
        <v/>
      </c>
      <c r="E302" s="28"/>
      <c r="F302" s="28"/>
      <c r="G302" s="98"/>
      <c r="H302" s="98"/>
      <c r="I302" s="31"/>
      <c r="J302" s="54" t="s">
        <v>179</v>
      </c>
      <c r="K302" s="55" t="s">
        <v>179</v>
      </c>
      <c r="L302" s="56" t="s">
        <v>179</v>
      </c>
      <c r="M302" s="56" t="s">
        <v>179</v>
      </c>
      <c r="N302" s="28"/>
      <c r="O302" s="28"/>
      <c r="P302" s="52"/>
      <c r="Q302" s="52"/>
      <c r="R302" s="28"/>
      <c r="S302" s="28" t="str">
        <f t="array" ref="S302">IF(C302="","",IFERROR(_xlfn.XLOOKUP(C302,Volunteers!D:D,Volunteers!A:A),""))</f>
        <v/>
      </c>
      <c r="T302" s="28"/>
    </row>
    <row r="303">
      <c r="A303" s="57"/>
      <c r="B303" s="40"/>
      <c r="C303" s="40"/>
      <c r="D303" s="40" t="str">
        <f t="array" ref="D303">IF(B303="","",IFERROR(_xlfn.XLOOKUP(B303,'Lists &amp; Settings'!A:A,'Lists &amp; Settings'!E:E),""))</f>
        <v/>
      </c>
      <c r="E303" s="40"/>
      <c r="F303" s="40"/>
      <c r="G303" s="95"/>
      <c r="H303" s="95"/>
      <c r="I303" s="51"/>
      <c r="J303" s="54" t="s">
        <v>179</v>
      </c>
      <c r="K303" s="55" t="s">
        <v>179</v>
      </c>
      <c r="L303" s="56" t="s">
        <v>179</v>
      </c>
      <c r="M303" s="56" t="s">
        <v>179</v>
      </c>
      <c r="N303" s="40"/>
      <c r="O303" s="40"/>
      <c r="P303" s="57"/>
      <c r="Q303" s="57"/>
      <c r="R303" s="40"/>
      <c r="S303" s="40" t="str">
        <f t="array" ref="S303">IF(C303="","",IFERROR(_xlfn.XLOOKUP(C303,Volunteers!D:D,Volunteers!A:A),""))</f>
        <v/>
      </c>
      <c r="T303" s="40"/>
    </row>
    <row r="304">
      <c r="A304" s="52"/>
      <c r="B304" s="28"/>
      <c r="C304" s="28"/>
      <c r="D304" s="28" t="str">
        <f t="array" ref="D304">IF(B304="","",IFERROR(_xlfn.XLOOKUP(B304,'Lists &amp; Settings'!A:A,'Lists &amp; Settings'!E:E),""))</f>
        <v/>
      </c>
      <c r="E304" s="28"/>
      <c r="F304" s="28"/>
      <c r="G304" s="98"/>
      <c r="H304" s="98"/>
      <c r="I304" s="31"/>
      <c r="J304" s="54" t="s">
        <v>179</v>
      </c>
      <c r="K304" s="55" t="s">
        <v>179</v>
      </c>
      <c r="L304" s="56" t="s">
        <v>179</v>
      </c>
      <c r="M304" s="56" t="s">
        <v>179</v>
      </c>
      <c r="N304" s="28"/>
      <c r="O304" s="28"/>
      <c r="P304" s="52"/>
      <c r="Q304" s="52"/>
      <c r="R304" s="28"/>
      <c r="S304" s="28" t="str">
        <f t="array" ref="S304">IF(C304="","",IFERROR(_xlfn.XLOOKUP(C304,Volunteers!D:D,Volunteers!A:A),""))</f>
        <v/>
      </c>
      <c r="T304" s="28"/>
    </row>
    <row r="305">
      <c r="A305" s="57"/>
      <c r="B305" s="40"/>
      <c r="C305" s="40"/>
      <c r="D305" s="40" t="str">
        <f t="array" ref="D305">IF(B305="","",IFERROR(_xlfn.XLOOKUP(B305,'Lists &amp; Settings'!A:A,'Lists &amp; Settings'!E:E),""))</f>
        <v/>
      </c>
      <c r="E305" s="40"/>
      <c r="F305" s="40"/>
      <c r="G305" s="95"/>
      <c r="H305" s="95"/>
      <c r="I305" s="51"/>
      <c r="J305" s="54" t="s">
        <v>179</v>
      </c>
      <c r="K305" s="55" t="s">
        <v>179</v>
      </c>
      <c r="L305" s="56" t="s">
        <v>179</v>
      </c>
      <c r="M305" s="56" t="s">
        <v>179</v>
      </c>
      <c r="N305" s="40"/>
      <c r="O305" s="40"/>
      <c r="P305" s="57"/>
      <c r="Q305" s="57"/>
      <c r="R305" s="40"/>
      <c r="S305" s="40" t="str">
        <f t="array" ref="S305">IF(C305="","",IFERROR(_xlfn.XLOOKUP(C305,Volunteers!D:D,Volunteers!A:A),""))</f>
        <v/>
      </c>
      <c r="T305" s="40"/>
    </row>
    <row r="306">
      <c r="A306" s="52"/>
      <c r="B306" s="28"/>
      <c r="C306" s="28"/>
      <c r="D306" s="28" t="str">
        <f t="array" ref="D306">IF(B306="","",IFERROR(_xlfn.XLOOKUP(B306,'Lists &amp; Settings'!A:A,'Lists &amp; Settings'!E:E),""))</f>
        <v/>
      </c>
      <c r="E306" s="28"/>
      <c r="F306" s="28"/>
      <c r="G306" s="98"/>
      <c r="H306" s="98"/>
      <c r="I306" s="31"/>
      <c r="J306" s="54" t="s">
        <v>179</v>
      </c>
      <c r="K306" s="55" t="s">
        <v>179</v>
      </c>
      <c r="L306" s="56" t="s">
        <v>179</v>
      </c>
      <c r="M306" s="56" t="s">
        <v>179</v>
      </c>
      <c r="N306" s="28"/>
      <c r="O306" s="28"/>
      <c r="P306" s="52"/>
      <c r="Q306" s="52"/>
      <c r="R306" s="28"/>
      <c r="S306" s="28" t="str">
        <f t="array" ref="S306">IF(C306="","",IFERROR(_xlfn.XLOOKUP(C306,Volunteers!D:D,Volunteers!A:A),""))</f>
        <v/>
      </c>
      <c r="T306" s="28"/>
    </row>
    <row r="307">
      <c r="A307" s="57"/>
      <c r="B307" s="40"/>
      <c r="C307" s="40"/>
      <c r="D307" s="40" t="str">
        <f t="array" ref="D307">IF(B307="","",IFERROR(_xlfn.XLOOKUP(B307,'Lists &amp; Settings'!A:A,'Lists &amp; Settings'!E:E),""))</f>
        <v/>
      </c>
      <c r="E307" s="40"/>
      <c r="F307" s="40"/>
      <c r="G307" s="95"/>
      <c r="H307" s="95"/>
      <c r="I307" s="51"/>
      <c r="J307" s="54" t="s">
        <v>179</v>
      </c>
      <c r="K307" s="55" t="s">
        <v>179</v>
      </c>
      <c r="L307" s="56" t="s">
        <v>179</v>
      </c>
      <c r="M307" s="56" t="s">
        <v>179</v>
      </c>
      <c r="N307" s="40"/>
      <c r="O307" s="40"/>
      <c r="P307" s="57"/>
      <c r="Q307" s="57"/>
      <c r="R307" s="40"/>
      <c r="S307" s="40" t="str">
        <f t="array" ref="S307">IF(C307="","",IFERROR(_xlfn.XLOOKUP(C307,Volunteers!D:D,Volunteers!A:A),""))</f>
        <v/>
      </c>
      <c r="T307" s="40"/>
    </row>
    <row r="308">
      <c r="A308" s="52"/>
      <c r="B308" s="28"/>
      <c r="C308" s="28"/>
      <c r="D308" s="28" t="str">
        <f t="array" ref="D308">IF(B308="","",IFERROR(_xlfn.XLOOKUP(B308,'Lists &amp; Settings'!A:A,'Lists &amp; Settings'!E:E),""))</f>
        <v/>
      </c>
      <c r="E308" s="28"/>
      <c r="F308" s="28"/>
      <c r="G308" s="98"/>
      <c r="H308" s="98"/>
      <c r="I308" s="31"/>
      <c r="J308" s="54" t="s">
        <v>179</v>
      </c>
      <c r="K308" s="55" t="s">
        <v>179</v>
      </c>
      <c r="L308" s="56" t="s">
        <v>179</v>
      </c>
      <c r="M308" s="56" t="s">
        <v>179</v>
      </c>
      <c r="N308" s="28"/>
      <c r="O308" s="28"/>
      <c r="P308" s="52"/>
      <c r="Q308" s="52"/>
      <c r="R308" s="28"/>
      <c r="S308" s="28" t="str">
        <f t="array" ref="S308">IF(C308="","",IFERROR(_xlfn.XLOOKUP(C308,Volunteers!D:D,Volunteers!A:A),""))</f>
        <v/>
      </c>
      <c r="T308" s="28"/>
    </row>
    <row r="309">
      <c r="A309" s="57"/>
      <c r="B309" s="40"/>
      <c r="C309" s="40"/>
      <c r="D309" s="40" t="str">
        <f t="array" ref="D309">IF(B309="","",IFERROR(_xlfn.XLOOKUP(B309,'Lists &amp; Settings'!A:A,'Lists &amp; Settings'!E:E),""))</f>
        <v/>
      </c>
      <c r="E309" s="40"/>
      <c r="F309" s="40"/>
      <c r="G309" s="95"/>
      <c r="H309" s="95"/>
      <c r="I309" s="51"/>
      <c r="J309" s="54" t="s">
        <v>179</v>
      </c>
      <c r="K309" s="55" t="s">
        <v>179</v>
      </c>
      <c r="L309" s="56" t="s">
        <v>179</v>
      </c>
      <c r="M309" s="56" t="s">
        <v>179</v>
      </c>
      <c r="N309" s="40"/>
      <c r="O309" s="40"/>
      <c r="P309" s="57"/>
      <c r="Q309" s="57"/>
      <c r="R309" s="40"/>
      <c r="S309" s="40" t="str">
        <f t="array" ref="S309">IF(C309="","",IFERROR(_xlfn.XLOOKUP(C309,Volunteers!D:D,Volunteers!A:A),""))</f>
        <v/>
      </c>
      <c r="T309" s="40"/>
    </row>
    <row r="310">
      <c r="A310" s="52"/>
      <c r="B310" s="28"/>
      <c r="C310" s="28"/>
      <c r="D310" s="28" t="str">
        <f t="array" ref="D310">IF(B310="","",IFERROR(_xlfn.XLOOKUP(B310,'Lists &amp; Settings'!A:A,'Lists &amp; Settings'!E:E),""))</f>
        <v/>
      </c>
      <c r="E310" s="28"/>
      <c r="F310" s="28"/>
      <c r="G310" s="98"/>
      <c r="H310" s="98"/>
      <c r="I310" s="31"/>
      <c r="J310" s="54" t="s">
        <v>179</v>
      </c>
      <c r="K310" s="55" t="s">
        <v>179</v>
      </c>
      <c r="L310" s="56" t="s">
        <v>179</v>
      </c>
      <c r="M310" s="56" t="s">
        <v>179</v>
      </c>
      <c r="N310" s="28"/>
      <c r="O310" s="28"/>
      <c r="P310" s="52"/>
      <c r="Q310" s="52"/>
      <c r="R310" s="28"/>
      <c r="S310" s="28" t="str">
        <f t="array" ref="S310">IF(C310="","",IFERROR(_xlfn.XLOOKUP(C310,Volunteers!D:D,Volunteers!A:A),""))</f>
        <v/>
      </c>
      <c r="T310" s="28"/>
    </row>
    <row r="311">
      <c r="A311" s="57"/>
      <c r="B311" s="40"/>
      <c r="C311" s="40"/>
      <c r="D311" s="40" t="str">
        <f t="array" ref="D311">IF(B311="","",IFERROR(_xlfn.XLOOKUP(B311,'Lists &amp; Settings'!A:A,'Lists &amp; Settings'!E:E),""))</f>
        <v/>
      </c>
      <c r="E311" s="40"/>
      <c r="F311" s="40"/>
      <c r="G311" s="95"/>
      <c r="H311" s="95"/>
      <c r="I311" s="51"/>
      <c r="J311" s="54" t="s">
        <v>179</v>
      </c>
      <c r="K311" s="55" t="s">
        <v>179</v>
      </c>
      <c r="L311" s="56" t="s">
        <v>179</v>
      </c>
      <c r="M311" s="56" t="s">
        <v>179</v>
      </c>
      <c r="N311" s="40"/>
      <c r="O311" s="40"/>
      <c r="P311" s="57"/>
      <c r="Q311" s="57"/>
      <c r="R311" s="40"/>
      <c r="S311" s="40" t="str">
        <f t="array" ref="S311">IF(C311="","",IFERROR(_xlfn.XLOOKUP(C311,Volunteers!D:D,Volunteers!A:A),""))</f>
        <v/>
      </c>
      <c r="T311" s="40"/>
    </row>
    <row r="312">
      <c r="A312" s="52"/>
      <c r="B312" s="28"/>
      <c r="C312" s="28"/>
      <c r="D312" s="28" t="str">
        <f t="array" ref="D312">IF(B312="","",IFERROR(_xlfn.XLOOKUP(B312,'Lists &amp; Settings'!A:A,'Lists &amp; Settings'!E:E),""))</f>
        <v/>
      </c>
      <c r="E312" s="28"/>
      <c r="F312" s="28"/>
      <c r="G312" s="98"/>
      <c r="H312" s="98"/>
      <c r="I312" s="31"/>
      <c r="J312" s="54" t="s">
        <v>179</v>
      </c>
      <c r="K312" s="55" t="s">
        <v>179</v>
      </c>
      <c r="L312" s="56" t="s">
        <v>179</v>
      </c>
      <c r="M312" s="56" t="s">
        <v>179</v>
      </c>
      <c r="N312" s="28"/>
      <c r="O312" s="28"/>
      <c r="P312" s="52"/>
      <c r="Q312" s="52"/>
      <c r="R312" s="28"/>
      <c r="S312" s="28" t="str">
        <f t="array" ref="S312">IF(C312="","",IFERROR(_xlfn.XLOOKUP(C312,Volunteers!D:D,Volunteers!A:A),""))</f>
        <v/>
      </c>
      <c r="T312" s="28"/>
    </row>
    <row r="313">
      <c r="A313" s="57"/>
      <c r="B313" s="40"/>
      <c r="C313" s="40"/>
      <c r="D313" s="40" t="str">
        <f t="array" ref="D313">IF(B313="","",IFERROR(_xlfn.XLOOKUP(B313,'Lists &amp; Settings'!A:A,'Lists &amp; Settings'!E:E),""))</f>
        <v/>
      </c>
      <c r="E313" s="40"/>
      <c r="F313" s="40"/>
      <c r="G313" s="95"/>
      <c r="H313" s="95"/>
      <c r="I313" s="51"/>
      <c r="J313" s="54" t="s">
        <v>179</v>
      </c>
      <c r="K313" s="55" t="s">
        <v>179</v>
      </c>
      <c r="L313" s="56" t="s">
        <v>179</v>
      </c>
      <c r="M313" s="56" t="s">
        <v>179</v>
      </c>
      <c r="N313" s="40"/>
      <c r="O313" s="40"/>
      <c r="P313" s="57"/>
      <c r="Q313" s="57"/>
      <c r="R313" s="40"/>
      <c r="S313" s="40" t="str">
        <f t="array" ref="S313">IF(C313="","",IFERROR(_xlfn.XLOOKUP(C313,Volunteers!D:D,Volunteers!A:A),""))</f>
        <v/>
      </c>
      <c r="T313" s="40"/>
    </row>
    <row r="314">
      <c r="A314" s="52"/>
      <c r="B314" s="28"/>
      <c r="C314" s="28"/>
      <c r="D314" s="28" t="str">
        <f t="array" ref="D314">IF(B314="","",IFERROR(_xlfn.XLOOKUP(B314,'Lists &amp; Settings'!A:A,'Lists &amp; Settings'!E:E),""))</f>
        <v/>
      </c>
      <c r="E314" s="28"/>
      <c r="F314" s="28"/>
      <c r="G314" s="98"/>
      <c r="H314" s="98"/>
      <c r="I314" s="31"/>
      <c r="J314" s="54" t="s">
        <v>179</v>
      </c>
      <c r="K314" s="55" t="s">
        <v>179</v>
      </c>
      <c r="L314" s="56" t="s">
        <v>179</v>
      </c>
      <c r="M314" s="56" t="s">
        <v>179</v>
      </c>
      <c r="N314" s="28"/>
      <c r="O314" s="28"/>
      <c r="P314" s="52"/>
      <c r="Q314" s="52"/>
      <c r="R314" s="28"/>
      <c r="S314" s="28" t="str">
        <f t="array" ref="S314">IF(C314="","",IFERROR(_xlfn.XLOOKUP(C314,Volunteers!D:D,Volunteers!A:A),""))</f>
        <v/>
      </c>
      <c r="T314" s="28"/>
    </row>
    <row r="315">
      <c r="A315" s="57"/>
      <c r="B315" s="40"/>
      <c r="C315" s="40"/>
      <c r="D315" s="40" t="str">
        <f t="array" ref="D315">IF(B315="","",IFERROR(_xlfn.XLOOKUP(B315,'Lists &amp; Settings'!A:A,'Lists &amp; Settings'!E:E),""))</f>
        <v/>
      </c>
      <c r="E315" s="40"/>
      <c r="F315" s="40"/>
      <c r="G315" s="95"/>
      <c r="H315" s="95"/>
      <c r="I315" s="51"/>
      <c r="J315" s="54" t="s">
        <v>179</v>
      </c>
      <c r="K315" s="55" t="s">
        <v>179</v>
      </c>
      <c r="L315" s="56" t="s">
        <v>179</v>
      </c>
      <c r="M315" s="56" t="s">
        <v>179</v>
      </c>
      <c r="N315" s="40"/>
      <c r="O315" s="40"/>
      <c r="P315" s="57"/>
      <c r="Q315" s="57"/>
      <c r="R315" s="40"/>
      <c r="S315" s="40" t="str">
        <f t="array" ref="S315">IF(C315="","",IFERROR(_xlfn.XLOOKUP(C315,Volunteers!D:D,Volunteers!A:A),""))</f>
        <v/>
      </c>
      <c r="T315" s="40"/>
    </row>
    <row r="316">
      <c r="A316" s="52"/>
      <c r="B316" s="28"/>
      <c r="C316" s="28"/>
      <c r="D316" s="28" t="str">
        <f t="array" ref="D316">IF(B316="","",IFERROR(_xlfn.XLOOKUP(B316,'Lists &amp; Settings'!A:A,'Lists &amp; Settings'!E:E),""))</f>
        <v/>
      </c>
      <c r="E316" s="28"/>
      <c r="F316" s="28"/>
      <c r="G316" s="98"/>
      <c r="H316" s="98"/>
      <c r="I316" s="31"/>
      <c r="J316" s="54" t="s">
        <v>179</v>
      </c>
      <c r="K316" s="55" t="s">
        <v>179</v>
      </c>
      <c r="L316" s="56" t="s">
        <v>179</v>
      </c>
      <c r="M316" s="56" t="s">
        <v>179</v>
      </c>
      <c r="N316" s="28"/>
      <c r="O316" s="28"/>
      <c r="P316" s="52"/>
      <c r="Q316" s="52"/>
      <c r="R316" s="28"/>
      <c r="S316" s="28" t="str">
        <f t="array" ref="S316">IF(C316="","",IFERROR(_xlfn.XLOOKUP(C316,Volunteers!D:D,Volunteers!A:A),""))</f>
        <v/>
      </c>
      <c r="T316" s="28"/>
    </row>
    <row r="317">
      <c r="A317" s="57"/>
      <c r="B317" s="40"/>
      <c r="C317" s="40"/>
      <c r="D317" s="40" t="str">
        <f t="array" ref="D317">IF(B317="","",IFERROR(_xlfn.XLOOKUP(B317,'Lists &amp; Settings'!A:A,'Lists &amp; Settings'!E:E),""))</f>
        <v/>
      </c>
      <c r="E317" s="40"/>
      <c r="F317" s="40"/>
      <c r="G317" s="95"/>
      <c r="H317" s="95"/>
      <c r="I317" s="51"/>
      <c r="J317" s="54" t="s">
        <v>179</v>
      </c>
      <c r="K317" s="55" t="s">
        <v>179</v>
      </c>
      <c r="L317" s="56" t="s">
        <v>179</v>
      </c>
      <c r="M317" s="56" t="s">
        <v>179</v>
      </c>
      <c r="N317" s="40"/>
      <c r="O317" s="40"/>
      <c r="P317" s="57"/>
      <c r="Q317" s="57"/>
      <c r="R317" s="40"/>
      <c r="S317" s="40" t="str">
        <f t="array" ref="S317">IF(C317="","",IFERROR(_xlfn.XLOOKUP(C317,Volunteers!D:D,Volunteers!A:A),""))</f>
        <v/>
      </c>
      <c r="T317" s="40"/>
    </row>
    <row r="318">
      <c r="A318" s="52"/>
      <c r="B318" s="28"/>
      <c r="C318" s="28"/>
      <c r="D318" s="28" t="str">
        <f t="array" ref="D318">IF(B318="","",IFERROR(_xlfn.XLOOKUP(B318,'Lists &amp; Settings'!A:A,'Lists &amp; Settings'!E:E),""))</f>
        <v/>
      </c>
      <c r="E318" s="28"/>
      <c r="F318" s="28"/>
      <c r="G318" s="98"/>
      <c r="H318" s="98"/>
      <c r="I318" s="31"/>
      <c r="J318" s="54" t="s">
        <v>179</v>
      </c>
      <c r="K318" s="55" t="s">
        <v>179</v>
      </c>
      <c r="L318" s="56" t="s">
        <v>179</v>
      </c>
      <c r="M318" s="56" t="s">
        <v>179</v>
      </c>
      <c r="N318" s="28"/>
      <c r="O318" s="28"/>
      <c r="P318" s="52"/>
      <c r="Q318" s="52"/>
      <c r="R318" s="28"/>
      <c r="S318" s="28" t="str">
        <f t="array" ref="S318">IF(C318="","",IFERROR(_xlfn.XLOOKUP(C318,Volunteers!D:D,Volunteers!A:A),""))</f>
        <v/>
      </c>
      <c r="T318" s="28"/>
    </row>
    <row r="319">
      <c r="A319" s="57"/>
      <c r="B319" s="40"/>
      <c r="C319" s="40"/>
      <c r="D319" s="40" t="str">
        <f t="array" ref="D319">IF(B319="","",IFERROR(_xlfn.XLOOKUP(B319,'Lists &amp; Settings'!A:A,'Lists &amp; Settings'!E:E),""))</f>
        <v/>
      </c>
      <c r="E319" s="40"/>
      <c r="F319" s="40"/>
      <c r="G319" s="95"/>
      <c r="H319" s="95"/>
      <c r="I319" s="51"/>
      <c r="J319" s="54" t="s">
        <v>179</v>
      </c>
      <c r="K319" s="55" t="s">
        <v>179</v>
      </c>
      <c r="L319" s="56" t="s">
        <v>179</v>
      </c>
      <c r="M319" s="56" t="s">
        <v>179</v>
      </c>
      <c r="N319" s="40"/>
      <c r="O319" s="40"/>
      <c r="P319" s="57"/>
      <c r="Q319" s="57"/>
      <c r="R319" s="40"/>
      <c r="S319" s="40" t="str">
        <f t="array" ref="S319">IF(C319="","",IFERROR(_xlfn.XLOOKUP(C319,Volunteers!D:D,Volunteers!A:A),""))</f>
        <v/>
      </c>
      <c r="T319" s="40"/>
    </row>
    <row r="320">
      <c r="A320" s="52"/>
      <c r="B320" s="28"/>
      <c r="C320" s="28"/>
      <c r="D320" s="28" t="str">
        <f t="array" ref="D320">IF(B320="","",IFERROR(_xlfn.XLOOKUP(B320,'Lists &amp; Settings'!A:A,'Lists &amp; Settings'!E:E),""))</f>
        <v/>
      </c>
      <c r="E320" s="28"/>
      <c r="F320" s="28"/>
      <c r="G320" s="98"/>
      <c r="H320" s="98"/>
      <c r="I320" s="31"/>
      <c r="J320" s="54" t="s">
        <v>179</v>
      </c>
      <c r="K320" s="55" t="s">
        <v>179</v>
      </c>
      <c r="L320" s="56" t="s">
        <v>179</v>
      </c>
      <c r="M320" s="56" t="s">
        <v>179</v>
      </c>
      <c r="N320" s="28"/>
      <c r="O320" s="28"/>
      <c r="P320" s="52"/>
      <c r="Q320" s="52"/>
      <c r="R320" s="28"/>
      <c r="S320" s="28" t="str">
        <f t="array" ref="S320">IF(C320="","",IFERROR(_xlfn.XLOOKUP(C320,Volunteers!D:D,Volunteers!A:A),""))</f>
        <v/>
      </c>
      <c r="T320" s="28"/>
    </row>
    <row r="321">
      <c r="A321" s="57"/>
      <c r="B321" s="40"/>
      <c r="C321" s="40"/>
      <c r="D321" s="40" t="str">
        <f t="array" ref="D321">IF(B321="","",IFERROR(_xlfn.XLOOKUP(B321,'Lists &amp; Settings'!A:A,'Lists &amp; Settings'!E:E),""))</f>
        <v/>
      </c>
      <c r="E321" s="40"/>
      <c r="F321" s="40"/>
      <c r="G321" s="95"/>
      <c r="H321" s="95"/>
      <c r="I321" s="51"/>
      <c r="J321" s="54" t="s">
        <v>179</v>
      </c>
      <c r="K321" s="55" t="s">
        <v>179</v>
      </c>
      <c r="L321" s="56" t="s">
        <v>179</v>
      </c>
      <c r="M321" s="56" t="s">
        <v>179</v>
      </c>
      <c r="N321" s="40"/>
      <c r="O321" s="40"/>
      <c r="P321" s="57"/>
      <c r="Q321" s="57"/>
      <c r="R321" s="40"/>
      <c r="S321" s="40" t="str">
        <f t="array" ref="S321">IF(C321="","",IFERROR(_xlfn.XLOOKUP(C321,Volunteers!D:D,Volunteers!A:A),""))</f>
        <v/>
      </c>
      <c r="T321" s="40"/>
    </row>
    <row r="322">
      <c r="A322" s="52"/>
      <c r="B322" s="28"/>
      <c r="C322" s="28"/>
      <c r="D322" s="28" t="str">
        <f t="array" ref="D322">IF(B322="","",IFERROR(_xlfn.XLOOKUP(B322,'Lists &amp; Settings'!A:A,'Lists &amp; Settings'!E:E),""))</f>
        <v/>
      </c>
      <c r="E322" s="28"/>
      <c r="F322" s="28"/>
      <c r="G322" s="98"/>
      <c r="H322" s="98"/>
      <c r="I322" s="31"/>
      <c r="J322" s="54" t="s">
        <v>179</v>
      </c>
      <c r="K322" s="55" t="s">
        <v>179</v>
      </c>
      <c r="L322" s="56" t="s">
        <v>179</v>
      </c>
      <c r="M322" s="56" t="s">
        <v>179</v>
      </c>
      <c r="N322" s="28"/>
      <c r="O322" s="28"/>
      <c r="P322" s="52"/>
      <c r="Q322" s="52"/>
      <c r="R322" s="28"/>
      <c r="S322" s="28" t="str">
        <f t="array" ref="S322">IF(C322="","",IFERROR(_xlfn.XLOOKUP(C322,Volunteers!D:D,Volunteers!A:A),""))</f>
        <v/>
      </c>
      <c r="T322" s="28"/>
    </row>
    <row r="323">
      <c r="A323" s="57"/>
      <c r="B323" s="40"/>
      <c r="C323" s="40"/>
      <c r="D323" s="40" t="str">
        <f t="array" ref="D323">IF(B323="","",IFERROR(_xlfn.XLOOKUP(B323,'Lists &amp; Settings'!A:A,'Lists &amp; Settings'!E:E),""))</f>
        <v/>
      </c>
      <c r="E323" s="40"/>
      <c r="F323" s="40"/>
      <c r="G323" s="95"/>
      <c r="H323" s="95"/>
      <c r="I323" s="51"/>
      <c r="J323" s="54" t="s">
        <v>179</v>
      </c>
      <c r="K323" s="55" t="s">
        <v>179</v>
      </c>
      <c r="L323" s="56" t="s">
        <v>179</v>
      </c>
      <c r="M323" s="56" t="s">
        <v>179</v>
      </c>
      <c r="N323" s="40"/>
      <c r="O323" s="40"/>
      <c r="P323" s="57"/>
      <c r="Q323" s="57"/>
      <c r="R323" s="40"/>
      <c r="S323" s="40" t="str">
        <f t="array" ref="S323">IF(C323="","",IFERROR(_xlfn.XLOOKUP(C323,Volunteers!D:D,Volunteers!A:A),""))</f>
        <v/>
      </c>
      <c r="T323" s="40"/>
    </row>
    <row r="324">
      <c r="A324" s="52"/>
      <c r="B324" s="28"/>
      <c r="C324" s="28"/>
      <c r="D324" s="28" t="str">
        <f t="array" ref="D324">IF(B324="","",IFERROR(_xlfn.XLOOKUP(B324,'Lists &amp; Settings'!A:A,'Lists &amp; Settings'!E:E),""))</f>
        <v/>
      </c>
      <c r="E324" s="28"/>
      <c r="F324" s="28"/>
      <c r="G324" s="98"/>
      <c r="H324" s="98"/>
      <c r="I324" s="31"/>
      <c r="J324" s="54" t="s">
        <v>179</v>
      </c>
      <c r="K324" s="55" t="s">
        <v>179</v>
      </c>
      <c r="L324" s="56" t="s">
        <v>179</v>
      </c>
      <c r="M324" s="56" t="s">
        <v>179</v>
      </c>
      <c r="N324" s="28"/>
      <c r="O324" s="28"/>
      <c r="P324" s="52"/>
      <c r="Q324" s="52"/>
      <c r="R324" s="28"/>
      <c r="S324" s="28" t="str">
        <f t="array" ref="S324">IF(C324="","",IFERROR(_xlfn.XLOOKUP(C324,Volunteers!D:D,Volunteers!A:A),""))</f>
        <v/>
      </c>
      <c r="T324" s="28"/>
    </row>
    <row r="325">
      <c r="A325" s="57"/>
      <c r="B325" s="40"/>
      <c r="C325" s="40"/>
      <c r="D325" s="40" t="str">
        <f t="array" ref="D325">IF(B325="","",IFERROR(_xlfn.XLOOKUP(B325,'Lists &amp; Settings'!A:A,'Lists &amp; Settings'!E:E),""))</f>
        <v/>
      </c>
      <c r="E325" s="40"/>
      <c r="F325" s="40"/>
      <c r="G325" s="95"/>
      <c r="H325" s="95"/>
      <c r="I325" s="51"/>
      <c r="J325" s="54" t="s">
        <v>179</v>
      </c>
      <c r="K325" s="55" t="s">
        <v>179</v>
      </c>
      <c r="L325" s="56" t="s">
        <v>179</v>
      </c>
      <c r="M325" s="56" t="s">
        <v>179</v>
      </c>
      <c r="N325" s="40"/>
      <c r="O325" s="40"/>
      <c r="P325" s="57"/>
      <c r="Q325" s="57"/>
      <c r="R325" s="40"/>
      <c r="S325" s="40" t="str">
        <f t="array" ref="S325">IF(C325="","",IFERROR(_xlfn.XLOOKUP(C325,Volunteers!D:D,Volunteers!A:A),""))</f>
        <v/>
      </c>
      <c r="T325" s="40"/>
    </row>
    <row r="326">
      <c r="A326" s="52"/>
      <c r="B326" s="28"/>
      <c r="C326" s="28"/>
      <c r="D326" s="28" t="str">
        <f t="array" ref="D326">IF(B326="","",IFERROR(_xlfn.XLOOKUP(B326,'Lists &amp; Settings'!A:A,'Lists &amp; Settings'!E:E),""))</f>
        <v/>
      </c>
      <c r="E326" s="28"/>
      <c r="F326" s="28"/>
      <c r="G326" s="98"/>
      <c r="H326" s="98"/>
      <c r="I326" s="31"/>
      <c r="J326" s="54" t="s">
        <v>179</v>
      </c>
      <c r="K326" s="55" t="s">
        <v>179</v>
      </c>
      <c r="L326" s="56" t="s">
        <v>179</v>
      </c>
      <c r="M326" s="56" t="s">
        <v>179</v>
      </c>
      <c r="N326" s="28"/>
      <c r="O326" s="28"/>
      <c r="P326" s="52"/>
      <c r="Q326" s="52"/>
      <c r="R326" s="28"/>
      <c r="S326" s="28" t="str">
        <f t="array" ref="S326">IF(C326="","",IFERROR(_xlfn.XLOOKUP(C326,Volunteers!D:D,Volunteers!A:A),""))</f>
        <v/>
      </c>
      <c r="T326" s="28"/>
    </row>
    <row r="327">
      <c r="A327" s="57"/>
      <c r="B327" s="40"/>
      <c r="C327" s="40"/>
      <c r="D327" s="40" t="str">
        <f t="array" ref="D327">IF(B327="","",IFERROR(_xlfn.XLOOKUP(B327,'Lists &amp; Settings'!A:A,'Lists &amp; Settings'!E:E),""))</f>
        <v/>
      </c>
      <c r="E327" s="40"/>
      <c r="F327" s="40"/>
      <c r="G327" s="95"/>
      <c r="H327" s="95"/>
      <c r="I327" s="51"/>
      <c r="J327" s="54" t="s">
        <v>179</v>
      </c>
      <c r="K327" s="55" t="s">
        <v>179</v>
      </c>
      <c r="L327" s="56" t="s">
        <v>179</v>
      </c>
      <c r="M327" s="56" t="s">
        <v>179</v>
      </c>
      <c r="N327" s="40"/>
      <c r="O327" s="40"/>
      <c r="P327" s="57"/>
      <c r="Q327" s="57"/>
      <c r="R327" s="40"/>
      <c r="S327" s="40" t="str">
        <f t="array" ref="S327">IF(C327="","",IFERROR(_xlfn.XLOOKUP(C327,Volunteers!D:D,Volunteers!A:A),""))</f>
        <v/>
      </c>
      <c r="T327" s="40"/>
    </row>
    <row r="328">
      <c r="A328" s="52"/>
      <c r="B328" s="28"/>
      <c r="C328" s="28"/>
      <c r="D328" s="28" t="str">
        <f t="array" ref="D328">IF(B328="","",IFERROR(_xlfn.XLOOKUP(B328,'Lists &amp; Settings'!A:A,'Lists &amp; Settings'!E:E),""))</f>
        <v/>
      </c>
      <c r="E328" s="28"/>
      <c r="F328" s="28"/>
      <c r="G328" s="98"/>
      <c r="H328" s="98"/>
      <c r="I328" s="31"/>
      <c r="J328" s="54" t="s">
        <v>179</v>
      </c>
      <c r="K328" s="55" t="s">
        <v>179</v>
      </c>
      <c r="L328" s="56" t="s">
        <v>179</v>
      </c>
      <c r="M328" s="56" t="s">
        <v>179</v>
      </c>
      <c r="N328" s="28"/>
      <c r="O328" s="28"/>
      <c r="P328" s="52"/>
      <c r="Q328" s="52"/>
      <c r="R328" s="28"/>
      <c r="S328" s="28" t="str">
        <f t="array" ref="S328">IF(C328="","",IFERROR(_xlfn.XLOOKUP(C328,Volunteers!D:D,Volunteers!A:A),""))</f>
        <v/>
      </c>
      <c r="T328" s="28"/>
    </row>
    <row r="329">
      <c r="A329" s="57"/>
      <c r="B329" s="40"/>
      <c r="C329" s="40"/>
      <c r="D329" s="40" t="str">
        <f t="array" ref="D329">IF(B329="","",IFERROR(_xlfn.XLOOKUP(B329,'Lists &amp; Settings'!A:A,'Lists &amp; Settings'!E:E),""))</f>
        <v/>
      </c>
      <c r="E329" s="40"/>
      <c r="F329" s="40"/>
      <c r="G329" s="95"/>
      <c r="H329" s="95"/>
      <c r="I329" s="51"/>
      <c r="J329" s="54" t="s">
        <v>179</v>
      </c>
      <c r="K329" s="55" t="s">
        <v>179</v>
      </c>
      <c r="L329" s="56" t="s">
        <v>179</v>
      </c>
      <c r="M329" s="56" t="s">
        <v>179</v>
      </c>
      <c r="N329" s="40"/>
      <c r="O329" s="40"/>
      <c r="P329" s="57"/>
      <c r="Q329" s="57"/>
      <c r="R329" s="40"/>
      <c r="S329" s="40" t="str">
        <f t="array" ref="S329">IF(C329="","",IFERROR(_xlfn.XLOOKUP(C329,Volunteers!D:D,Volunteers!A:A),""))</f>
        <v/>
      </c>
      <c r="T329" s="40"/>
    </row>
    <row r="330">
      <c r="A330" s="52"/>
      <c r="B330" s="28"/>
      <c r="C330" s="28"/>
      <c r="D330" s="28" t="str">
        <f t="array" ref="D330">IF(B330="","",IFERROR(_xlfn.XLOOKUP(B330,'Lists &amp; Settings'!A:A,'Lists &amp; Settings'!E:E),""))</f>
        <v/>
      </c>
      <c r="E330" s="28"/>
      <c r="F330" s="28"/>
      <c r="G330" s="98"/>
      <c r="H330" s="98"/>
      <c r="I330" s="31"/>
      <c r="J330" s="54" t="s">
        <v>179</v>
      </c>
      <c r="K330" s="55" t="s">
        <v>179</v>
      </c>
      <c r="L330" s="56" t="s">
        <v>179</v>
      </c>
      <c r="M330" s="56" t="s">
        <v>179</v>
      </c>
      <c r="N330" s="28"/>
      <c r="O330" s="28"/>
      <c r="P330" s="52"/>
      <c r="Q330" s="52"/>
      <c r="R330" s="28"/>
      <c r="S330" s="28" t="str">
        <f t="array" ref="S330">IF(C330="","",IFERROR(_xlfn.XLOOKUP(C330,Volunteers!D:D,Volunteers!A:A),""))</f>
        <v/>
      </c>
      <c r="T330" s="28"/>
    </row>
    <row r="331">
      <c r="A331" s="57"/>
      <c r="B331" s="40"/>
      <c r="C331" s="40"/>
      <c r="D331" s="40" t="str">
        <f t="array" ref="D331">IF(B331="","",IFERROR(_xlfn.XLOOKUP(B331,'Lists &amp; Settings'!A:A,'Lists &amp; Settings'!E:E),""))</f>
        <v/>
      </c>
      <c r="E331" s="40"/>
      <c r="F331" s="40"/>
      <c r="G331" s="95"/>
      <c r="H331" s="95"/>
      <c r="I331" s="51"/>
      <c r="J331" s="54" t="s">
        <v>179</v>
      </c>
      <c r="K331" s="55" t="s">
        <v>179</v>
      </c>
      <c r="L331" s="56" t="s">
        <v>179</v>
      </c>
      <c r="M331" s="56" t="s">
        <v>179</v>
      </c>
      <c r="N331" s="40"/>
      <c r="O331" s="40"/>
      <c r="P331" s="57"/>
      <c r="Q331" s="57"/>
      <c r="R331" s="40"/>
      <c r="S331" s="40" t="str">
        <f t="array" ref="S331">IF(C331="","",IFERROR(_xlfn.XLOOKUP(C331,Volunteers!D:D,Volunteers!A:A),""))</f>
        <v/>
      </c>
      <c r="T331" s="40"/>
    </row>
    <row r="332">
      <c r="A332" s="52"/>
      <c r="B332" s="28"/>
      <c r="C332" s="28"/>
      <c r="D332" s="28" t="str">
        <f t="array" ref="D332">IF(B332="","",IFERROR(_xlfn.XLOOKUP(B332,'Lists &amp; Settings'!A:A,'Lists &amp; Settings'!E:E),""))</f>
        <v/>
      </c>
      <c r="E332" s="28"/>
      <c r="F332" s="28"/>
      <c r="G332" s="98"/>
      <c r="H332" s="98"/>
      <c r="I332" s="31"/>
      <c r="J332" s="54" t="s">
        <v>179</v>
      </c>
      <c r="K332" s="55" t="s">
        <v>179</v>
      </c>
      <c r="L332" s="56" t="s">
        <v>179</v>
      </c>
      <c r="M332" s="56" t="s">
        <v>179</v>
      </c>
      <c r="N332" s="28"/>
      <c r="O332" s="28"/>
      <c r="P332" s="52"/>
      <c r="Q332" s="52"/>
      <c r="R332" s="28"/>
      <c r="S332" s="28" t="str">
        <f t="array" ref="S332">IF(C332="","",IFERROR(_xlfn.XLOOKUP(C332,Volunteers!D:D,Volunteers!A:A),""))</f>
        <v/>
      </c>
      <c r="T332" s="28"/>
    </row>
    <row r="333">
      <c r="A333" s="57"/>
      <c r="B333" s="40"/>
      <c r="C333" s="40"/>
      <c r="D333" s="40" t="str">
        <f t="array" ref="D333">IF(B333="","",IFERROR(_xlfn.XLOOKUP(B333,'Lists &amp; Settings'!A:A,'Lists &amp; Settings'!E:E),""))</f>
        <v/>
      </c>
      <c r="E333" s="40"/>
      <c r="F333" s="40"/>
      <c r="G333" s="95"/>
      <c r="H333" s="95"/>
      <c r="I333" s="51"/>
      <c r="J333" s="54" t="s">
        <v>179</v>
      </c>
      <c r="K333" s="55" t="s">
        <v>179</v>
      </c>
      <c r="L333" s="56" t="s">
        <v>179</v>
      </c>
      <c r="M333" s="56" t="s">
        <v>179</v>
      </c>
      <c r="N333" s="40"/>
      <c r="O333" s="40"/>
      <c r="P333" s="57"/>
      <c r="Q333" s="57"/>
      <c r="R333" s="40"/>
      <c r="S333" s="40" t="str">
        <f t="array" ref="S333">IF(C333="","",IFERROR(_xlfn.XLOOKUP(C333,Volunteers!D:D,Volunteers!A:A),""))</f>
        <v/>
      </c>
      <c r="T333" s="40"/>
    </row>
    <row r="334">
      <c r="A334" s="52"/>
      <c r="B334" s="28"/>
      <c r="C334" s="28"/>
      <c r="D334" s="28" t="str">
        <f t="array" ref="D334">IF(B334="","",IFERROR(_xlfn.XLOOKUP(B334,'Lists &amp; Settings'!A:A,'Lists &amp; Settings'!E:E),""))</f>
        <v/>
      </c>
      <c r="E334" s="28"/>
      <c r="F334" s="28"/>
      <c r="G334" s="98"/>
      <c r="H334" s="98"/>
      <c r="I334" s="31"/>
      <c r="J334" s="54" t="s">
        <v>179</v>
      </c>
      <c r="K334" s="55" t="s">
        <v>179</v>
      </c>
      <c r="L334" s="56" t="s">
        <v>179</v>
      </c>
      <c r="M334" s="56" t="s">
        <v>179</v>
      </c>
      <c r="N334" s="28"/>
      <c r="O334" s="28"/>
      <c r="P334" s="52"/>
      <c r="Q334" s="52"/>
      <c r="R334" s="28"/>
      <c r="S334" s="28" t="str">
        <f t="array" ref="S334">IF(C334="","",IFERROR(_xlfn.XLOOKUP(C334,Volunteers!D:D,Volunteers!A:A),""))</f>
        <v/>
      </c>
      <c r="T334" s="28"/>
    </row>
    <row r="335">
      <c r="A335" s="57"/>
      <c r="B335" s="40"/>
      <c r="C335" s="40"/>
      <c r="D335" s="40" t="str">
        <f t="array" ref="D335">IF(B335="","",IFERROR(_xlfn.XLOOKUP(B335,'Lists &amp; Settings'!A:A,'Lists &amp; Settings'!E:E),""))</f>
        <v/>
      </c>
      <c r="E335" s="40"/>
      <c r="F335" s="40"/>
      <c r="G335" s="95"/>
      <c r="H335" s="95"/>
      <c r="I335" s="51"/>
      <c r="J335" s="54" t="s">
        <v>179</v>
      </c>
      <c r="K335" s="55" t="s">
        <v>179</v>
      </c>
      <c r="L335" s="56" t="s">
        <v>179</v>
      </c>
      <c r="M335" s="56" t="s">
        <v>179</v>
      </c>
      <c r="N335" s="40"/>
      <c r="O335" s="40"/>
      <c r="P335" s="57"/>
      <c r="Q335" s="57"/>
      <c r="R335" s="40"/>
      <c r="S335" s="40" t="str">
        <f t="array" ref="S335">IF(C335="","",IFERROR(_xlfn.XLOOKUP(C335,Volunteers!D:D,Volunteers!A:A),""))</f>
        <v/>
      </c>
      <c r="T335" s="40"/>
    </row>
    <row r="336">
      <c r="A336" s="52"/>
      <c r="B336" s="28"/>
      <c r="C336" s="28"/>
      <c r="D336" s="28" t="str">
        <f t="array" ref="D336">IF(B336="","",IFERROR(_xlfn.XLOOKUP(B336,'Lists &amp; Settings'!A:A,'Lists &amp; Settings'!E:E),""))</f>
        <v/>
      </c>
      <c r="E336" s="28"/>
      <c r="F336" s="28"/>
      <c r="G336" s="98"/>
      <c r="H336" s="98"/>
      <c r="I336" s="31"/>
      <c r="J336" s="54" t="s">
        <v>179</v>
      </c>
      <c r="K336" s="55" t="s">
        <v>179</v>
      </c>
      <c r="L336" s="56" t="s">
        <v>179</v>
      </c>
      <c r="M336" s="56" t="s">
        <v>179</v>
      </c>
      <c r="N336" s="28"/>
      <c r="O336" s="28"/>
      <c r="P336" s="52"/>
      <c r="Q336" s="52"/>
      <c r="R336" s="28"/>
      <c r="S336" s="28" t="str">
        <f t="array" ref="S336">IF(C336="","",IFERROR(_xlfn.XLOOKUP(C336,Volunteers!D:D,Volunteers!A:A),""))</f>
        <v/>
      </c>
      <c r="T336" s="28"/>
    </row>
    <row r="337">
      <c r="A337" s="57"/>
      <c r="B337" s="40"/>
      <c r="C337" s="40"/>
      <c r="D337" s="40" t="str">
        <f t="array" ref="D337">IF(B337="","",IFERROR(_xlfn.XLOOKUP(B337,'Lists &amp; Settings'!A:A,'Lists &amp; Settings'!E:E),""))</f>
        <v/>
      </c>
      <c r="E337" s="40"/>
      <c r="F337" s="40"/>
      <c r="G337" s="95"/>
      <c r="H337" s="95"/>
      <c r="I337" s="51"/>
      <c r="J337" s="54" t="s">
        <v>179</v>
      </c>
      <c r="K337" s="55" t="s">
        <v>179</v>
      </c>
      <c r="L337" s="56" t="s">
        <v>179</v>
      </c>
      <c r="M337" s="56" t="s">
        <v>179</v>
      </c>
      <c r="N337" s="40"/>
      <c r="O337" s="40"/>
      <c r="P337" s="57"/>
      <c r="Q337" s="57"/>
      <c r="R337" s="40"/>
      <c r="S337" s="40" t="str">
        <f t="array" ref="S337">IF(C337="","",IFERROR(_xlfn.XLOOKUP(C337,Volunteers!D:D,Volunteers!A:A),""))</f>
        <v/>
      </c>
      <c r="T337" s="40"/>
    </row>
    <row r="338">
      <c r="A338" s="52"/>
      <c r="B338" s="28"/>
      <c r="C338" s="28"/>
      <c r="D338" s="28" t="str">
        <f t="array" ref="D338">IF(B338="","",IFERROR(_xlfn.XLOOKUP(B338,'Lists &amp; Settings'!A:A,'Lists &amp; Settings'!E:E),""))</f>
        <v/>
      </c>
      <c r="E338" s="28"/>
      <c r="F338" s="28"/>
      <c r="G338" s="98"/>
      <c r="H338" s="98"/>
      <c r="I338" s="31"/>
      <c r="J338" s="54" t="s">
        <v>179</v>
      </c>
      <c r="K338" s="55" t="s">
        <v>179</v>
      </c>
      <c r="L338" s="56" t="s">
        <v>179</v>
      </c>
      <c r="M338" s="56" t="s">
        <v>179</v>
      </c>
      <c r="N338" s="28"/>
      <c r="O338" s="28"/>
      <c r="P338" s="52"/>
      <c r="Q338" s="52"/>
      <c r="R338" s="28"/>
      <c r="S338" s="28" t="str">
        <f t="array" ref="S338">IF(C338="","",IFERROR(_xlfn.XLOOKUP(C338,Volunteers!D:D,Volunteers!A:A),""))</f>
        <v/>
      </c>
      <c r="T338" s="28"/>
    </row>
    <row r="339">
      <c r="A339" s="57"/>
      <c r="B339" s="40"/>
      <c r="C339" s="40"/>
      <c r="D339" s="40" t="str">
        <f t="array" ref="D339">IF(B339="","",IFERROR(_xlfn.XLOOKUP(B339,'Lists &amp; Settings'!A:A,'Lists &amp; Settings'!E:E),""))</f>
        <v/>
      </c>
      <c r="E339" s="40"/>
      <c r="F339" s="40"/>
      <c r="G339" s="95"/>
      <c r="H339" s="95"/>
      <c r="I339" s="51"/>
      <c r="J339" s="54" t="s">
        <v>179</v>
      </c>
      <c r="K339" s="55" t="s">
        <v>179</v>
      </c>
      <c r="L339" s="56" t="s">
        <v>179</v>
      </c>
      <c r="M339" s="56" t="s">
        <v>179</v>
      </c>
      <c r="N339" s="40"/>
      <c r="O339" s="40"/>
      <c r="P339" s="57"/>
      <c r="Q339" s="57"/>
      <c r="R339" s="40"/>
      <c r="S339" s="40" t="str">
        <f t="array" ref="S339">IF(C339="","",IFERROR(_xlfn.XLOOKUP(C339,Volunteers!D:D,Volunteers!A:A),""))</f>
        <v/>
      </c>
      <c r="T339" s="40"/>
    </row>
    <row r="340">
      <c r="A340" s="52"/>
      <c r="B340" s="28"/>
      <c r="C340" s="28"/>
      <c r="D340" s="28" t="str">
        <f t="array" ref="D340">IF(B340="","",IFERROR(_xlfn.XLOOKUP(B340,'Lists &amp; Settings'!A:A,'Lists &amp; Settings'!E:E),""))</f>
        <v/>
      </c>
      <c r="E340" s="28"/>
      <c r="F340" s="28"/>
      <c r="G340" s="98"/>
      <c r="H340" s="98"/>
      <c r="I340" s="31"/>
      <c r="J340" s="54" t="s">
        <v>179</v>
      </c>
      <c r="K340" s="55" t="s">
        <v>179</v>
      </c>
      <c r="L340" s="56" t="s">
        <v>179</v>
      </c>
      <c r="M340" s="56" t="s">
        <v>179</v>
      </c>
      <c r="N340" s="28"/>
      <c r="O340" s="28"/>
      <c r="P340" s="52"/>
      <c r="Q340" s="52"/>
      <c r="R340" s="28"/>
      <c r="S340" s="28" t="str">
        <f t="array" ref="S340">IF(C340="","",IFERROR(_xlfn.XLOOKUP(C340,Volunteers!D:D,Volunteers!A:A),""))</f>
        <v/>
      </c>
      <c r="T340" s="28"/>
    </row>
    <row r="341">
      <c r="A341" s="57"/>
      <c r="B341" s="40"/>
      <c r="C341" s="40"/>
      <c r="D341" s="40" t="str">
        <f t="array" ref="D341">IF(B341="","",IFERROR(_xlfn.XLOOKUP(B341,'Lists &amp; Settings'!A:A,'Lists &amp; Settings'!E:E),""))</f>
        <v/>
      </c>
      <c r="E341" s="40"/>
      <c r="F341" s="40"/>
      <c r="G341" s="95"/>
      <c r="H341" s="95"/>
      <c r="I341" s="51"/>
      <c r="J341" s="54" t="s">
        <v>179</v>
      </c>
      <c r="K341" s="55" t="s">
        <v>179</v>
      </c>
      <c r="L341" s="56" t="s">
        <v>179</v>
      </c>
      <c r="M341" s="56" t="s">
        <v>179</v>
      </c>
      <c r="N341" s="40"/>
      <c r="O341" s="40"/>
      <c r="P341" s="57"/>
      <c r="Q341" s="57"/>
      <c r="R341" s="40"/>
      <c r="S341" s="40" t="str">
        <f t="array" ref="S341">IF(C341="","",IFERROR(_xlfn.XLOOKUP(C341,Volunteers!D:D,Volunteers!A:A),""))</f>
        <v/>
      </c>
      <c r="T341" s="40"/>
    </row>
    <row r="342">
      <c r="A342" s="52"/>
      <c r="B342" s="28"/>
      <c r="C342" s="28"/>
      <c r="D342" s="28" t="str">
        <f t="array" ref="D342">IF(B342="","",IFERROR(_xlfn.XLOOKUP(B342,'Lists &amp; Settings'!A:A,'Lists &amp; Settings'!E:E),""))</f>
        <v/>
      </c>
      <c r="E342" s="28"/>
      <c r="F342" s="28"/>
      <c r="G342" s="98"/>
      <c r="H342" s="98"/>
      <c r="I342" s="31"/>
      <c r="J342" s="54" t="s">
        <v>179</v>
      </c>
      <c r="K342" s="55" t="s">
        <v>179</v>
      </c>
      <c r="L342" s="56" t="s">
        <v>179</v>
      </c>
      <c r="M342" s="56" t="s">
        <v>179</v>
      </c>
      <c r="N342" s="28"/>
      <c r="O342" s="28"/>
      <c r="P342" s="52"/>
      <c r="Q342" s="52"/>
      <c r="R342" s="28"/>
      <c r="S342" s="28" t="str">
        <f t="array" ref="S342">IF(C342="","",IFERROR(_xlfn.XLOOKUP(C342,Volunteers!D:D,Volunteers!A:A),""))</f>
        <v/>
      </c>
      <c r="T342" s="28"/>
    </row>
    <row r="343">
      <c r="A343" s="57"/>
      <c r="B343" s="40"/>
      <c r="C343" s="40"/>
      <c r="D343" s="40" t="str">
        <f t="array" ref="D343">IF(B343="","",IFERROR(_xlfn.XLOOKUP(B343,'Lists &amp; Settings'!A:A,'Lists &amp; Settings'!E:E),""))</f>
        <v/>
      </c>
      <c r="E343" s="40"/>
      <c r="F343" s="40"/>
      <c r="G343" s="95"/>
      <c r="H343" s="95"/>
      <c r="I343" s="51"/>
      <c r="J343" s="54" t="s">
        <v>179</v>
      </c>
      <c r="K343" s="55" t="s">
        <v>179</v>
      </c>
      <c r="L343" s="56" t="s">
        <v>179</v>
      </c>
      <c r="M343" s="56" t="s">
        <v>179</v>
      </c>
      <c r="N343" s="40"/>
      <c r="O343" s="40"/>
      <c r="P343" s="57"/>
      <c r="Q343" s="57"/>
      <c r="R343" s="40"/>
      <c r="S343" s="40" t="str">
        <f t="array" ref="S343">IF(C343="","",IFERROR(_xlfn.XLOOKUP(C343,Volunteers!D:D,Volunteers!A:A),""))</f>
        <v/>
      </c>
      <c r="T343" s="40"/>
    </row>
    <row r="344">
      <c r="A344" s="52"/>
      <c r="B344" s="28"/>
      <c r="C344" s="28"/>
      <c r="D344" s="28" t="str">
        <f t="array" ref="D344">IF(B344="","",IFERROR(_xlfn.XLOOKUP(B344,'Lists &amp; Settings'!A:A,'Lists &amp; Settings'!E:E),""))</f>
        <v/>
      </c>
      <c r="E344" s="28"/>
      <c r="F344" s="28"/>
      <c r="G344" s="98"/>
      <c r="H344" s="98"/>
      <c r="I344" s="31"/>
      <c r="J344" s="54" t="s">
        <v>179</v>
      </c>
      <c r="K344" s="55" t="s">
        <v>179</v>
      </c>
      <c r="L344" s="56" t="s">
        <v>179</v>
      </c>
      <c r="M344" s="56" t="s">
        <v>179</v>
      </c>
      <c r="N344" s="28"/>
      <c r="O344" s="28"/>
      <c r="P344" s="52"/>
      <c r="Q344" s="52"/>
      <c r="R344" s="28"/>
      <c r="S344" s="28" t="str">
        <f t="array" ref="S344">IF(C344="","",IFERROR(_xlfn.XLOOKUP(C344,Volunteers!D:D,Volunteers!A:A),""))</f>
        <v/>
      </c>
      <c r="T344" s="28"/>
    </row>
    <row r="345">
      <c r="A345" s="57"/>
      <c r="B345" s="40"/>
      <c r="C345" s="40"/>
      <c r="D345" s="40" t="str">
        <f t="array" ref="D345">IF(B345="","",IFERROR(_xlfn.XLOOKUP(B345,'Lists &amp; Settings'!A:A,'Lists &amp; Settings'!E:E),""))</f>
        <v/>
      </c>
      <c r="E345" s="40"/>
      <c r="F345" s="40"/>
      <c r="G345" s="95"/>
      <c r="H345" s="95"/>
      <c r="I345" s="51"/>
      <c r="J345" s="54" t="s">
        <v>179</v>
      </c>
      <c r="K345" s="55" t="s">
        <v>179</v>
      </c>
      <c r="L345" s="56" t="s">
        <v>179</v>
      </c>
      <c r="M345" s="56" t="s">
        <v>179</v>
      </c>
      <c r="N345" s="40"/>
      <c r="O345" s="40"/>
      <c r="P345" s="57"/>
      <c r="Q345" s="57"/>
      <c r="R345" s="40"/>
      <c r="S345" s="40" t="str">
        <f t="array" ref="S345">IF(C345="","",IFERROR(_xlfn.XLOOKUP(C345,Volunteers!D:D,Volunteers!A:A),""))</f>
        <v/>
      </c>
      <c r="T345" s="40"/>
    </row>
    <row r="346">
      <c r="A346" s="52"/>
      <c r="B346" s="28"/>
      <c r="C346" s="28"/>
      <c r="D346" s="28" t="str">
        <f t="array" ref="D346">IF(B346="","",IFERROR(_xlfn.XLOOKUP(B346,'Lists &amp; Settings'!A:A,'Lists &amp; Settings'!E:E),""))</f>
        <v/>
      </c>
      <c r="E346" s="28"/>
      <c r="F346" s="28"/>
      <c r="G346" s="98"/>
      <c r="H346" s="98"/>
      <c r="I346" s="31"/>
      <c r="J346" s="54" t="s">
        <v>179</v>
      </c>
      <c r="K346" s="55" t="s">
        <v>179</v>
      </c>
      <c r="L346" s="56" t="s">
        <v>179</v>
      </c>
      <c r="M346" s="56" t="s">
        <v>179</v>
      </c>
      <c r="N346" s="28"/>
      <c r="O346" s="28"/>
      <c r="P346" s="52"/>
      <c r="Q346" s="52"/>
      <c r="R346" s="28"/>
      <c r="S346" s="28" t="str">
        <f t="array" ref="S346">IF(C346="","",IFERROR(_xlfn.XLOOKUP(C346,Volunteers!D:D,Volunteers!A:A),""))</f>
        <v/>
      </c>
      <c r="T346" s="28"/>
    </row>
    <row r="347">
      <c r="A347" s="57"/>
      <c r="B347" s="40"/>
      <c r="C347" s="40"/>
      <c r="D347" s="40" t="str">
        <f t="array" ref="D347">IF(B347="","",IFERROR(_xlfn.XLOOKUP(B347,'Lists &amp; Settings'!A:A,'Lists &amp; Settings'!E:E),""))</f>
        <v/>
      </c>
      <c r="E347" s="40"/>
      <c r="F347" s="40"/>
      <c r="G347" s="95"/>
      <c r="H347" s="95"/>
      <c r="I347" s="51"/>
      <c r="J347" s="54" t="s">
        <v>179</v>
      </c>
      <c r="K347" s="55" t="s">
        <v>179</v>
      </c>
      <c r="L347" s="56" t="s">
        <v>179</v>
      </c>
      <c r="M347" s="56" t="s">
        <v>179</v>
      </c>
      <c r="N347" s="40"/>
      <c r="O347" s="40"/>
      <c r="P347" s="57"/>
      <c r="Q347" s="57"/>
      <c r="R347" s="40"/>
      <c r="S347" s="40" t="str">
        <f t="array" ref="S347">IF(C347="","",IFERROR(_xlfn.XLOOKUP(C347,Volunteers!D:D,Volunteers!A:A),""))</f>
        <v/>
      </c>
      <c r="T347" s="40"/>
    </row>
    <row r="348">
      <c r="A348" s="52"/>
      <c r="B348" s="28"/>
      <c r="C348" s="28"/>
      <c r="D348" s="28" t="str">
        <f t="array" ref="D348">IF(B348="","",IFERROR(_xlfn.XLOOKUP(B348,'Lists &amp; Settings'!A:A,'Lists &amp; Settings'!E:E),""))</f>
        <v/>
      </c>
      <c r="E348" s="28"/>
      <c r="F348" s="28"/>
      <c r="G348" s="98"/>
      <c r="H348" s="98"/>
      <c r="I348" s="31"/>
      <c r="J348" s="54" t="s">
        <v>179</v>
      </c>
      <c r="K348" s="55" t="s">
        <v>179</v>
      </c>
      <c r="L348" s="56" t="s">
        <v>179</v>
      </c>
      <c r="M348" s="56" t="s">
        <v>179</v>
      </c>
      <c r="N348" s="28"/>
      <c r="O348" s="28"/>
      <c r="P348" s="52"/>
      <c r="Q348" s="52"/>
      <c r="R348" s="28"/>
      <c r="S348" s="28" t="str">
        <f t="array" ref="S348">IF(C348="","",IFERROR(_xlfn.XLOOKUP(C348,Volunteers!D:D,Volunteers!A:A),""))</f>
        <v/>
      </c>
      <c r="T348" s="28"/>
    </row>
    <row r="349">
      <c r="A349" s="57"/>
      <c r="B349" s="40"/>
      <c r="C349" s="40"/>
      <c r="D349" s="40" t="str">
        <f t="array" ref="D349">IF(B349="","",IFERROR(_xlfn.XLOOKUP(B349,'Lists &amp; Settings'!A:A,'Lists &amp; Settings'!E:E),""))</f>
        <v/>
      </c>
      <c r="E349" s="40"/>
      <c r="F349" s="40"/>
      <c r="G349" s="95"/>
      <c r="H349" s="95"/>
      <c r="I349" s="51"/>
      <c r="J349" s="54" t="s">
        <v>179</v>
      </c>
      <c r="K349" s="55" t="s">
        <v>179</v>
      </c>
      <c r="L349" s="56" t="s">
        <v>179</v>
      </c>
      <c r="M349" s="56" t="s">
        <v>179</v>
      </c>
      <c r="N349" s="40"/>
      <c r="O349" s="40"/>
      <c r="P349" s="57"/>
      <c r="Q349" s="57"/>
      <c r="R349" s="40"/>
      <c r="S349" s="40" t="str">
        <f t="array" ref="S349">IF(C349="","",IFERROR(_xlfn.XLOOKUP(C349,Volunteers!D:D,Volunteers!A:A),""))</f>
        <v/>
      </c>
      <c r="T349" s="40"/>
    </row>
    <row r="350">
      <c r="A350" s="52"/>
      <c r="B350" s="28"/>
      <c r="C350" s="28"/>
      <c r="D350" s="28" t="str">
        <f t="array" ref="D350">IF(B350="","",IFERROR(_xlfn.XLOOKUP(B350,'Lists &amp; Settings'!A:A,'Lists &amp; Settings'!E:E),""))</f>
        <v/>
      </c>
      <c r="E350" s="28"/>
      <c r="F350" s="28"/>
      <c r="G350" s="98"/>
      <c r="H350" s="98"/>
      <c r="I350" s="31"/>
      <c r="J350" s="54" t="s">
        <v>179</v>
      </c>
      <c r="K350" s="55" t="s">
        <v>179</v>
      </c>
      <c r="L350" s="56" t="s">
        <v>179</v>
      </c>
      <c r="M350" s="56" t="s">
        <v>179</v>
      </c>
      <c r="N350" s="28"/>
      <c r="O350" s="28"/>
      <c r="P350" s="52"/>
      <c r="Q350" s="52"/>
      <c r="R350" s="28"/>
      <c r="S350" s="28" t="str">
        <f t="array" ref="S350">IF(C350="","",IFERROR(_xlfn.XLOOKUP(C350,Volunteers!D:D,Volunteers!A:A),""))</f>
        <v/>
      </c>
      <c r="T350" s="28"/>
    </row>
    <row r="351">
      <c r="A351" s="57"/>
      <c r="B351" s="40"/>
      <c r="C351" s="40"/>
      <c r="D351" s="40" t="str">
        <f t="array" ref="D351">IF(B351="","",IFERROR(_xlfn.XLOOKUP(B351,'Lists &amp; Settings'!A:A,'Lists &amp; Settings'!E:E),""))</f>
        <v/>
      </c>
      <c r="E351" s="40"/>
      <c r="F351" s="40"/>
      <c r="G351" s="95"/>
      <c r="H351" s="95"/>
      <c r="I351" s="51"/>
      <c r="J351" s="54" t="s">
        <v>179</v>
      </c>
      <c r="K351" s="55" t="s">
        <v>179</v>
      </c>
      <c r="L351" s="56" t="s">
        <v>179</v>
      </c>
      <c r="M351" s="56" t="s">
        <v>179</v>
      </c>
      <c r="N351" s="40"/>
      <c r="O351" s="40"/>
      <c r="P351" s="57"/>
      <c r="Q351" s="57"/>
      <c r="R351" s="40"/>
      <c r="S351" s="40" t="str">
        <f t="array" ref="S351">IF(C351="","",IFERROR(_xlfn.XLOOKUP(C351,Volunteers!D:D,Volunteers!A:A),""))</f>
        <v/>
      </c>
      <c r="T351" s="40"/>
    </row>
    <row r="352">
      <c r="A352" s="52"/>
      <c r="B352" s="28"/>
      <c r="C352" s="28"/>
      <c r="D352" s="28" t="str">
        <f t="array" ref="D352">IF(B352="","",IFERROR(_xlfn.XLOOKUP(B352,'Lists &amp; Settings'!A:A,'Lists &amp; Settings'!E:E),""))</f>
        <v/>
      </c>
      <c r="E352" s="28"/>
      <c r="F352" s="28"/>
      <c r="G352" s="98"/>
      <c r="H352" s="98"/>
      <c r="I352" s="31"/>
      <c r="J352" s="54" t="s">
        <v>179</v>
      </c>
      <c r="K352" s="55" t="s">
        <v>179</v>
      </c>
      <c r="L352" s="56" t="s">
        <v>179</v>
      </c>
      <c r="M352" s="56" t="s">
        <v>179</v>
      </c>
      <c r="N352" s="28"/>
      <c r="O352" s="28"/>
      <c r="P352" s="52"/>
      <c r="Q352" s="52"/>
      <c r="R352" s="28"/>
      <c r="S352" s="28" t="str">
        <f t="array" ref="S352">IF(C352="","",IFERROR(_xlfn.XLOOKUP(C352,Volunteers!D:D,Volunteers!A:A),""))</f>
        <v/>
      </c>
      <c r="T352" s="28"/>
    </row>
    <row r="353">
      <c r="A353" s="57"/>
      <c r="B353" s="40"/>
      <c r="C353" s="40"/>
      <c r="D353" s="40" t="str">
        <f t="array" ref="D353">IF(B353="","",IFERROR(_xlfn.XLOOKUP(B353,'Lists &amp; Settings'!A:A,'Lists &amp; Settings'!E:E),""))</f>
        <v/>
      </c>
      <c r="E353" s="40"/>
      <c r="F353" s="40"/>
      <c r="G353" s="95"/>
      <c r="H353" s="95"/>
      <c r="I353" s="51"/>
      <c r="J353" s="54" t="s">
        <v>179</v>
      </c>
      <c r="K353" s="55" t="s">
        <v>179</v>
      </c>
      <c r="L353" s="56" t="s">
        <v>179</v>
      </c>
      <c r="M353" s="56" t="s">
        <v>179</v>
      </c>
      <c r="N353" s="40"/>
      <c r="O353" s="40"/>
      <c r="P353" s="57"/>
      <c r="Q353" s="57"/>
      <c r="R353" s="40"/>
      <c r="S353" s="40" t="str">
        <f t="array" ref="S353">IF(C353="","",IFERROR(_xlfn.XLOOKUP(C353,Volunteers!D:D,Volunteers!A:A),""))</f>
        <v/>
      </c>
      <c r="T353" s="40"/>
    </row>
    <row r="354">
      <c r="A354" s="52"/>
      <c r="B354" s="28"/>
      <c r="C354" s="28"/>
      <c r="D354" s="28" t="str">
        <f t="array" ref="D354">IF(B354="","",IFERROR(_xlfn.XLOOKUP(B354,'Lists &amp; Settings'!A:A,'Lists &amp; Settings'!E:E),""))</f>
        <v/>
      </c>
      <c r="E354" s="28"/>
      <c r="F354" s="28"/>
      <c r="G354" s="98"/>
      <c r="H354" s="98"/>
      <c r="I354" s="31"/>
      <c r="J354" s="54" t="s">
        <v>179</v>
      </c>
      <c r="K354" s="55" t="s">
        <v>179</v>
      </c>
      <c r="L354" s="56" t="s">
        <v>179</v>
      </c>
      <c r="M354" s="56" t="s">
        <v>179</v>
      </c>
      <c r="N354" s="28"/>
      <c r="O354" s="28"/>
      <c r="P354" s="52"/>
      <c r="Q354" s="52"/>
      <c r="R354" s="28"/>
      <c r="S354" s="28" t="str">
        <f t="array" ref="S354">IF(C354="","",IFERROR(_xlfn.XLOOKUP(C354,Volunteers!D:D,Volunteers!A:A),""))</f>
        <v/>
      </c>
      <c r="T354" s="28"/>
    </row>
    <row r="355">
      <c r="A355" s="57"/>
      <c r="B355" s="40"/>
      <c r="C355" s="40"/>
      <c r="D355" s="40" t="str">
        <f t="array" ref="D355">IF(B355="","",IFERROR(_xlfn.XLOOKUP(B355,'Lists &amp; Settings'!A:A,'Lists &amp; Settings'!E:E),""))</f>
        <v/>
      </c>
      <c r="E355" s="40"/>
      <c r="F355" s="40"/>
      <c r="G355" s="95"/>
      <c r="H355" s="95"/>
      <c r="I355" s="51"/>
      <c r="J355" s="54" t="s">
        <v>179</v>
      </c>
      <c r="K355" s="55" t="s">
        <v>179</v>
      </c>
      <c r="L355" s="56" t="s">
        <v>179</v>
      </c>
      <c r="M355" s="56" t="s">
        <v>179</v>
      </c>
      <c r="N355" s="40"/>
      <c r="O355" s="40"/>
      <c r="P355" s="57"/>
      <c r="Q355" s="57"/>
      <c r="R355" s="40"/>
      <c r="S355" s="40" t="str">
        <f t="array" ref="S355">IF(C355="","",IFERROR(_xlfn.XLOOKUP(C355,Volunteers!D:D,Volunteers!A:A),""))</f>
        <v/>
      </c>
      <c r="T355" s="40"/>
    </row>
    <row r="356">
      <c r="A356" s="52"/>
      <c r="B356" s="28"/>
      <c r="C356" s="28"/>
      <c r="D356" s="28" t="str">
        <f t="array" ref="D356">IF(B356="","",IFERROR(_xlfn.XLOOKUP(B356,'Lists &amp; Settings'!A:A,'Lists &amp; Settings'!E:E),""))</f>
        <v/>
      </c>
      <c r="E356" s="28"/>
      <c r="F356" s="28"/>
      <c r="G356" s="98"/>
      <c r="H356" s="98"/>
      <c r="I356" s="31"/>
      <c r="J356" s="54" t="s">
        <v>179</v>
      </c>
      <c r="K356" s="55" t="s">
        <v>179</v>
      </c>
      <c r="L356" s="56" t="s">
        <v>179</v>
      </c>
      <c r="M356" s="56" t="s">
        <v>179</v>
      </c>
      <c r="N356" s="28"/>
      <c r="O356" s="28"/>
      <c r="P356" s="52"/>
      <c r="Q356" s="52"/>
      <c r="R356" s="28"/>
      <c r="S356" s="28" t="str">
        <f t="array" ref="S356">IF(C356="","",IFERROR(_xlfn.XLOOKUP(C356,Volunteers!D:D,Volunteers!A:A),""))</f>
        <v/>
      </c>
      <c r="T356" s="28"/>
    </row>
    <row r="357">
      <c r="A357" s="57"/>
      <c r="B357" s="40"/>
      <c r="C357" s="40"/>
      <c r="D357" s="40" t="str">
        <f t="array" ref="D357">IF(B357="","",IFERROR(_xlfn.XLOOKUP(B357,'Lists &amp; Settings'!A:A,'Lists &amp; Settings'!E:E),""))</f>
        <v/>
      </c>
      <c r="E357" s="40"/>
      <c r="F357" s="40"/>
      <c r="G357" s="95"/>
      <c r="H357" s="95"/>
      <c r="I357" s="51"/>
      <c r="J357" s="54" t="s">
        <v>179</v>
      </c>
      <c r="K357" s="55" t="s">
        <v>179</v>
      </c>
      <c r="L357" s="56" t="s">
        <v>179</v>
      </c>
      <c r="M357" s="56" t="s">
        <v>179</v>
      </c>
      <c r="N357" s="40"/>
      <c r="O357" s="40"/>
      <c r="P357" s="57"/>
      <c r="Q357" s="57"/>
      <c r="R357" s="40"/>
      <c r="S357" s="40" t="str">
        <f t="array" ref="S357">IF(C357="","",IFERROR(_xlfn.XLOOKUP(C357,Volunteers!D:D,Volunteers!A:A),""))</f>
        <v/>
      </c>
      <c r="T357" s="40"/>
    </row>
    <row r="358">
      <c r="A358" s="52"/>
      <c r="B358" s="28"/>
      <c r="C358" s="28"/>
      <c r="D358" s="28" t="str">
        <f t="array" ref="D358">IF(B358="","",IFERROR(_xlfn.XLOOKUP(B358,'Lists &amp; Settings'!A:A,'Lists &amp; Settings'!E:E),""))</f>
        <v/>
      </c>
      <c r="E358" s="28"/>
      <c r="F358" s="28"/>
      <c r="G358" s="98"/>
      <c r="H358" s="98"/>
      <c r="I358" s="31"/>
      <c r="J358" s="54" t="s">
        <v>179</v>
      </c>
      <c r="K358" s="55" t="s">
        <v>179</v>
      </c>
      <c r="L358" s="56" t="s">
        <v>179</v>
      </c>
      <c r="M358" s="56" t="s">
        <v>179</v>
      </c>
      <c r="N358" s="28"/>
      <c r="O358" s="28"/>
      <c r="P358" s="52"/>
      <c r="Q358" s="52"/>
      <c r="R358" s="28"/>
      <c r="S358" s="28" t="str">
        <f t="array" ref="S358">IF(C358="","",IFERROR(_xlfn.XLOOKUP(C358,Volunteers!D:D,Volunteers!A:A),""))</f>
        <v/>
      </c>
      <c r="T358" s="28"/>
    </row>
    <row r="359">
      <c r="A359" s="57"/>
      <c r="B359" s="40"/>
      <c r="C359" s="40"/>
      <c r="D359" s="40" t="str">
        <f t="array" ref="D359">IF(B359="","",IFERROR(_xlfn.XLOOKUP(B359,'Lists &amp; Settings'!A:A,'Lists &amp; Settings'!E:E),""))</f>
        <v/>
      </c>
      <c r="E359" s="40"/>
      <c r="F359" s="40"/>
      <c r="G359" s="95"/>
      <c r="H359" s="95"/>
      <c r="I359" s="51"/>
      <c r="J359" s="54" t="s">
        <v>179</v>
      </c>
      <c r="K359" s="55" t="s">
        <v>179</v>
      </c>
      <c r="L359" s="56" t="s">
        <v>179</v>
      </c>
      <c r="M359" s="56" t="s">
        <v>179</v>
      </c>
      <c r="N359" s="40"/>
      <c r="O359" s="40"/>
      <c r="P359" s="57"/>
      <c r="Q359" s="57"/>
      <c r="R359" s="40"/>
      <c r="S359" s="40" t="str">
        <f t="array" ref="S359">IF(C359="","",IFERROR(_xlfn.XLOOKUP(C359,Volunteers!D:D,Volunteers!A:A),""))</f>
        <v/>
      </c>
      <c r="T359" s="40"/>
    </row>
    <row r="360">
      <c r="A360" s="52"/>
      <c r="B360" s="28"/>
      <c r="C360" s="28"/>
      <c r="D360" s="28" t="str">
        <f t="array" ref="D360">IF(B360="","",IFERROR(_xlfn.XLOOKUP(B360,'Lists &amp; Settings'!A:A,'Lists &amp; Settings'!E:E),""))</f>
        <v/>
      </c>
      <c r="E360" s="28"/>
      <c r="F360" s="28"/>
      <c r="G360" s="98"/>
      <c r="H360" s="98"/>
      <c r="I360" s="31"/>
      <c r="J360" s="54" t="s">
        <v>179</v>
      </c>
      <c r="K360" s="55" t="s">
        <v>179</v>
      </c>
      <c r="L360" s="56" t="s">
        <v>179</v>
      </c>
      <c r="M360" s="56" t="s">
        <v>179</v>
      </c>
      <c r="N360" s="28"/>
      <c r="O360" s="28"/>
      <c r="P360" s="52"/>
      <c r="Q360" s="52"/>
      <c r="R360" s="28"/>
      <c r="S360" s="28" t="str">
        <f t="array" ref="S360">IF(C360="","",IFERROR(_xlfn.XLOOKUP(C360,Volunteers!D:D,Volunteers!A:A),""))</f>
        <v/>
      </c>
      <c r="T360" s="28"/>
    </row>
    <row r="361">
      <c r="A361" s="57"/>
      <c r="B361" s="40"/>
      <c r="C361" s="40"/>
      <c r="D361" s="40" t="str">
        <f t="array" ref="D361">IF(B361="","",IFERROR(_xlfn.XLOOKUP(B361,'Lists &amp; Settings'!A:A,'Lists &amp; Settings'!E:E),""))</f>
        <v/>
      </c>
      <c r="E361" s="40"/>
      <c r="F361" s="40"/>
      <c r="G361" s="95"/>
      <c r="H361" s="95"/>
      <c r="I361" s="51"/>
      <c r="J361" s="54" t="s">
        <v>179</v>
      </c>
      <c r="K361" s="55" t="s">
        <v>179</v>
      </c>
      <c r="L361" s="56" t="s">
        <v>179</v>
      </c>
      <c r="M361" s="56" t="s">
        <v>179</v>
      </c>
      <c r="N361" s="40"/>
      <c r="O361" s="40"/>
      <c r="P361" s="57"/>
      <c r="Q361" s="57"/>
      <c r="R361" s="40"/>
      <c r="S361" s="40" t="str">
        <f t="array" ref="S361">IF(C361="","",IFERROR(_xlfn.XLOOKUP(C361,Volunteers!D:D,Volunteers!A:A),""))</f>
        <v/>
      </c>
      <c r="T361" s="40"/>
    </row>
    <row r="362">
      <c r="A362" s="52"/>
      <c r="B362" s="28"/>
      <c r="C362" s="28"/>
      <c r="D362" s="28" t="str">
        <f t="array" ref="D362">IF(B362="","",IFERROR(_xlfn.XLOOKUP(B362,'Lists &amp; Settings'!A:A,'Lists &amp; Settings'!E:E),""))</f>
        <v/>
      </c>
      <c r="E362" s="28"/>
      <c r="F362" s="28"/>
      <c r="G362" s="98"/>
      <c r="H362" s="98"/>
      <c r="I362" s="31"/>
      <c r="J362" s="54" t="s">
        <v>179</v>
      </c>
      <c r="K362" s="55" t="s">
        <v>179</v>
      </c>
      <c r="L362" s="56" t="s">
        <v>179</v>
      </c>
      <c r="M362" s="56" t="s">
        <v>179</v>
      </c>
      <c r="N362" s="28"/>
      <c r="O362" s="28"/>
      <c r="P362" s="52"/>
      <c r="Q362" s="52"/>
      <c r="R362" s="28"/>
      <c r="S362" s="28" t="str">
        <f t="array" ref="S362">IF(C362="","",IFERROR(_xlfn.XLOOKUP(C362,Volunteers!D:D,Volunteers!A:A),""))</f>
        <v/>
      </c>
      <c r="T362" s="28"/>
    </row>
    <row r="363">
      <c r="A363" s="57"/>
      <c r="B363" s="40"/>
      <c r="C363" s="40"/>
      <c r="D363" s="40" t="str">
        <f t="array" ref="D363">IF(B363="","",IFERROR(_xlfn.XLOOKUP(B363,'Lists &amp; Settings'!A:A,'Lists &amp; Settings'!E:E),""))</f>
        <v/>
      </c>
      <c r="E363" s="40"/>
      <c r="F363" s="40"/>
      <c r="G363" s="95"/>
      <c r="H363" s="95"/>
      <c r="I363" s="51"/>
      <c r="J363" s="54" t="s">
        <v>179</v>
      </c>
      <c r="K363" s="55" t="s">
        <v>179</v>
      </c>
      <c r="L363" s="56" t="s">
        <v>179</v>
      </c>
      <c r="M363" s="56" t="s">
        <v>179</v>
      </c>
      <c r="N363" s="40"/>
      <c r="O363" s="40"/>
      <c r="P363" s="57"/>
      <c r="Q363" s="57"/>
      <c r="R363" s="40"/>
      <c r="S363" s="40" t="str">
        <f t="array" ref="S363">IF(C363="","",IFERROR(_xlfn.XLOOKUP(C363,Volunteers!D:D,Volunteers!A:A),""))</f>
        <v/>
      </c>
      <c r="T363" s="40"/>
    </row>
    <row r="364">
      <c r="A364" s="52"/>
      <c r="B364" s="28"/>
      <c r="C364" s="28"/>
      <c r="D364" s="28" t="str">
        <f t="array" ref="D364">IF(B364="","",IFERROR(_xlfn.XLOOKUP(B364,'Lists &amp; Settings'!A:A,'Lists &amp; Settings'!E:E),""))</f>
        <v/>
      </c>
      <c r="E364" s="28"/>
      <c r="F364" s="28"/>
      <c r="G364" s="98"/>
      <c r="H364" s="98"/>
      <c r="I364" s="31"/>
      <c r="J364" s="54" t="s">
        <v>179</v>
      </c>
      <c r="K364" s="55" t="s">
        <v>179</v>
      </c>
      <c r="L364" s="56" t="s">
        <v>179</v>
      </c>
      <c r="M364" s="56" t="s">
        <v>179</v>
      </c>
      <c r="N364" s="28"/>
      <c r="O364" s="28"/>
      <c r="P364" s="52"/>
      <c r="Q364" s="52"/>
      <c r="R364" s="28"/>
      <c r="S364" s="28" t="str">
        <f t="array" ref="S364">IF(C364="","",IFERROR(_xlfn.XLOOKUP(C364,Volunteers!D:D,Volunteers!A:A),""))</f>
        <v/>
      </c>
      <c r="T364" s="28"/>
    </row>
    <row r="365">
      <c r="A365" s="57"/>
      <c r="B365" s="40"/>
      <c r="C365" s="40"/>
      <c r="D365" s="40" t="str">
        <f t="array" ref="D365">IF(B365="","",IFERROR(_xlfn.XLOOKUP(B365,'Lists &amp; Settings'!A:A,'Lists &amp; Settings'!E:E),""))</f>
        <v/>
      </c>
      <c r="E365" s="40"/>
      <c r="F365" s="40"/>
      <c r="G365" s="95"/>
      <c r="H365" s="95"/>
      <c r="I365" s="51"/>
      <c r="J365" s="54" t="s">
        <v>179</v>
      </c>
      <c r="K365" s="55" t="s">
        <v>179</v>
      </c>
      <c r="L365" s="56" t="s">
        <v>179</v>
      </c>
      <c r="M365" s="56" t="s">
        <v>179</v>
      </c>
      <c r="N365" s="40"/>
      <c r="O365" s="40"/>
      <c r="P365" s="57"/>
      <c r="Q365" s="57"/>
      <c r="R365" s="40"/>
      <c r="S365" s="40" t="str">
        <f t="array" ref="S365">IF(C365="","",IFERROR(_xlfn.XLOOKUP(C365,Volunteers!D:D,Volunteers!A:A),""))</f>
        <v/>
      </c>
      <c r="T365" s="40"/>
    </row>
    <row r="366">
      <c r="A366" s="52"/>
      <c r="B366" s="28"/>
      <c r="C366" s="28"/>
      <c r="D366" s="28" t="str">
        <f t="array" ref="D366">IF(B366="","",IFERROR(_xlfn.XLOOKUP(B366,'Lists &amp; Settings'!A:A,'Lists &amp; Settings'!E:E),""))</f>
        <v/>
      </c>
      <c r="E366" s="28"/>
      <c r="F366" s="28"/>
      <c r="G366" s="98"/>
      <c r="H366" s="98"/>
      <c r="I366" s="31"/>
      <c r="J366" s="54" t="s">
        <v>179</v>
      </c>
      <c r="K366" s="55" t="s">
        <v>179</v>
      </c>
      <c r="L366" s="56" t="s">
        <v>179</v>
      </c>
      <c r="M366" s="56" t="s">
        <v>179</v>
      </c>
      <c r="N366" s="28"/>
      <c r="O366" s="28"/>
      <c r="P366" s="52"/>
      <c r="Q366" s="52"/>
      <c r="R366" s="28"/>
      <c r="S366" s="28" t="str">
        <f t="array" ref="S366">IF(C366="","",IFERROR(_xlfn.XLOOKUP(C366,Volunteers!D:D,Volunteers!A:A),""))</f>
        <v/>
      </c>
      <c r="T366" s="28"/>
    </row>
    <row r="367">
      <c r="A367" s="57"/>
      <c r="B367" s="40"/>
      <c r="C367" s="40"/>
      <c r="D367" s="40" t="str">
        <f t="array" ref="D367">IF(B367="","",IFERROR(_xlfn.XLOOKUP(B367,'Lists &amp; Settings'!A:A,'Lists &amp; Settings'!E:E),""))</f>
        <v/>
      </c>
      <c r="E367" s="40"/>
      <c r="F367" s="40"/>
      <c r="G367" s="95"/>
      <c r="H367" s="95"/>
      <c r="I367" s="51"/>
      <c r="J367" s="54" t="s">
        <v>179</v>
      </c>
      <c r="K367" s="55" t="s">
        <v>179</v>
      </c>
      <c r="L367" s="56" t="s">
        <v>179</v>
      </c>
      <c r="M367" s="56" t="s">
        <v>179</v>
      </c>
      <c r="N367" s="40"/>
      <c r="O367" s="40"/>
      <c r="P367" s="57"/>
      <c r="Q367" s="57"/>
      <c r="R367" s="40"/>
      <c r="S367" s="40" t="str">
        <f t="array" ref="S367">IF(C367="","",IFERROR(_xlfn.XLOOKUP(C367,Volunteers!D:D,Volunteers!A:A),""))</f>
        <v/>
      </c>
      <c r="T367" s="40"/>
    </row>
    <row r="368">
      <c r="A368" s="52"/>
      <c r="B368" s="28"/>
      <c r="C368" s="28"/>
      <c r="D368" s="28" t="str">
        <f t="array" ref="D368">IF(B368="","",IFERROR(_xlfn.XLOOKUP(B368,'Lists &amp; Settings'!A:A,'Lists &amp; Settings'!E:E),""))</f>
        <v/>
      </c>
      <c r="E368" s="28"/>
      <c r="F368" s="28"/>
      <c r="G368" s="98"/>
      <c r="H368" s="98"/>
      <c r="I368" s="31"/>
      <c r="J368" s="54" t="s">
        <v>179</v>
      </c>
      <c r="K368" s="55" t="s">
        <v>179</v>
      </c>
      <c r="L368" s="56" t="s">
        <v>179</v>
      </c>
      <c r="M368" s="56" t="s">
        <v>179</v>
      </c>
      <c r="N368" s="28"/>
      <c r="O368" s="28"/>
      <c r="P368" s="52"/>
      <c r="Q368" s="52"/>
      <c r="R368" s="28"/>
      <c r="S368" s="28" t="str">
        <f t="array" ref="S368">IF(C368="","",IFERROR(_xlfn.XLOOKUP(C368,Volunteers!D:D,Volunteers!A:A),""))</f>
        <v/>
      </c>
      <c r="T368" s="28"/>
    </row>
    <row r="369">
      <c r="A369" s="57"/>
      <c r="B369" s="40"/>
      <c r="C369" s="40"/>
      <c r="D369" s="40" t="str">
        <f t="array" ref="D369">IF(B369="","",IFERROR(_xlfn.XLOOKUP(B369,'Lists &amp; Settings'!A:A,'Lists &amp; Settings'!E:E),""))</f>
        <v/>
      </c>
      <c r="E369" s="40"/>
      <c r="F369" s="40"/>
      <c r="G369" s="95"/>
      <c r="H369" s="95"/>
      <c r="I369" s="51"/>
      <c r="J369" s="54" t="s">
        <v>179</v>
      </c>
      <c r="K369" s="55" t="s">
        <v>179</v>
      </c>
      <c r="L369" s="56" t="s">
        <v>179</v>
      </c>
      <c r="M369" s="56" t="s">
        <v>179</v>
      </c>
      <c r="N369" s="40"/>
      <c r="O369" s="40"/>
      <c r="P369" s="57"/>
      <c r="Q369" s="57"/>
      <c r="R369" s="40"/>
      <c r="S369" s="40" t="str">
        <f t="array" ref="S369">IF(C369="","",IFERROR(_xlfn.XLOOKUP(C369,Volunteers!D:D,Volunteers!A:A),""))</f>
        <v/>
      </c>
      <c r="T369" s="40"/>
    </row>
    <row r="370">
      <c r="A370" s="52"/>
      <c r="B370" s="28"/>
      <c r="C370" s="28"/>
      <c r="D370" s="28" t="str">
        <f t="array" ref="D370">IF(B370="","",IFERROR(_xlfn.XLOOKUP(B370,'Lists &amp; Settings'!A:A,'Lists &amp; Settings'!E:E),""))</f>
        <v/>
      </c>
      <c r="E370" s="28"/>
      <c r="F370" s="28"/>
      <c r="G370" s="98"/>
      <c r="H370" s="98"/>
      <c r="I370" s="31"/>
      <c r="J370" s="54" t="s">
        <v>179</v>
      </c>
      <c r="K370" s="55" t="s">
        <v>179</v>
      </c>
      <c r="L370" s="56" t="s">
        <v>179</v>
      </c>
      <c r="M370" s="56" t="s">
        <v>179</v>
      </c>
      <c r="N370" s="28"/>
      <c r="O370" s="28"/>
      <c r="P370" s="52"/>
      <c r="Q370" s="52"/>
      <c r="R370" s="28"/>
      <c r="S370" s="28" t="str">
        <f t="array" ref="S370">IF(C370="","",IFERROR(_xlfn.XLOOKUP(C370,Volunteers!D:D,Volunteers!A:A),""))</f>
        <v/>
      </c>
      <c r="T370" s="28"/>
    </row>
    <row r="371">
      <c r="A371" s="57"/>
      <c r="B371" s="40"/>
      <c r="C371" s="40"/>
      <c r="D371" s="40" t="str">
        <f t="array" ref="D371">IF(B371="","",IFERROR(_xlfn.XLOOKUP(B371,'Lists &amp; Settings'!A:A,'Lists &amp; Settings'!E:E),""))</f>
        <v/>
      </c>
      <c r="E371" s="40"/>
      <c r="F371" s="40"/>
      <c r="G371" s="95"/>
      <c r="H371" s="95"/>
      <c r="I371" s="51"/>
      <c r="J371" s="54" t="s">
        <v>179</v>
      </c>
      <c r="K371" s="55" t="s">
        <v>179</v>
      </c>
      <c r="L371" s="56" t="s">
        <v>179</v>
      </c>
      <c r="M371" s="56" t="s">
        <v>179</v>
      </c>
      <c r="N371" s="40"/>
      <c r="O371" s="40"/>
      <c r="P371" s="57"/>
      <c r="Q371" s="57"/>
      <c r="R371" s="40"/>
      <c r="S371" s="40" t="str">
        <f t="array" ref="S371">IF(C371="","",IFERROR(_xlfn.XLOOKUP(C371,Volunteers!D:D,Volunteers!A:A),""))</f>
        <v/>
      </c>
      <c r="T371" s="40"/>
    </row>
    <row r="372">
      <c r="A372" s="52"/>
      <c r="B372" s="28"/>
      <c r="C372" s="28"/>
      <c r="D372" s="28" t="str">
        <f t="array" ref="D372">IF(B372="","",IFERROR(_xlfn.XLOOKUP(B372,'Lists &amp; Settings'!A:A,'Lists &amp; Settings'!E:E),""))</f>
        <v/>
      </c>
      <c r="E372" s="28"/>
      <c r="F372" s="28"/>
      <c r="G372" s="98"/>
      <c r="H372" s="98"/>
      <c r="I372" s="31"/>
      <c r="J372" s="54" t="s">
        <v>179</v>
      </c>
      <c r="K372" s="55" t="s">
        <v>179</v>
      </c>
      <c r="L372" s="56" t="s">
        <v>179</v>
      </c>
      <c r="M372" s="56" t="s">
        <v>179</v>
      </c>
      <c r="N372" s="28"/>
      <c r="O372" s="28"/>
      <c r="P372" s="52"/>
      <c r="Q372" s="52"/>
      <c r="R372" s="28"/>
      <c r="S372" s="28" t="str">
        <f t="array" ref="S372">IF(C372="","",IFERROR(_xlfn.XLOOKUP(C372,Volunteers!D:D,Volunteers!A:A),""))</f>
        <v/>
      </c>
      <c r="T372" s="28"/>
    </row>
    <row r="373">
      <c r="A373" s="57"/>
      <c r="B373" s="40"/>
      <c r="C373" s="40"/>
      <c r="D373" s="40" t="str">
        <f t="array" ref="D373">IF(B373="","",IFERROR(_xlfn.XLOOKUP(B373,'Lists &amp; Settings'!A:A,'Lists &amp; Settings'!E:E),""))</f>
        <v/>
      </c>
      <c r="E373" s="40"/>
      <c r="F373" s="40"/>
      <c r="G373" s="95"/>
      <c r="H373" s="95"/>
      <c r="I373" s="51"/>
      <c r="J373" s="54" t="s">
        <v>179</v>
      </c>
      <c r="K373" s="55" t="s">
        <v>179</v>
      </c>
      <c r="L373" s="56" t="s">
        <v>179</v>
      </c>
      <c r="M373" s="56" t="s">
        <v>179</v>
      </c>
      <c r="N373" s="40"/>
      <c r="O373" s="40"/>
      <c r="P373" s="57"/>
      <c r="Q373" s="57"/>
      <c r="R373" s="40"/>
      <c r="S373" s="40" t="str">
        <f t="array" ref="S373">IF(C373="","",IFERROR(_xlfn.XLOOKUP(C373,Volunteers!D:D,Volunteers!A:A),""))</f>
        <v/>
      </c>
      <c r="T373" s="40"/>
    </row>
    <row r="374">
      <c r="A374" s="52"/>
      <c r="B374" s="28"/>
      <c r="C374" s="28"/>
      <c r="D374" s="28" t="str">
        <f t="array" ref="D374">IF(B374="","",IFERROR(_xlfn.XLOOKUP(B374,'Lists &amp; Settings'!A:A,'Lists &amp; Settings'!E:E),""))</f>
        <v/>
      </c>
      <c r="E374" s="28"/>
      <c r="F374" s="28"/>
      <c r="G374" s="98"/>
      <c r="H374" s="98"/>
      <c r="I374" s="31"/>
      <c r="J374" s="54" t="s">
        <v>179</v>
      </c>
      <c r="K374" s="55" t="s">
        <v>179</v>
      </c>
      <c r="L374" s="56" t="s">
        <v>179</v>
      </c>
      <c r="M374" s="56" t="s">
        <v>179</v>
      </c>
      <c r="N374" s="28"/>
      <c r="O374" s="28"/>
      <c r="P374" s="52"/>
      <c r="Q374" s="52"/>
      <c r="R374" s="28"/>
      <c r="S374" s="28" t="str">
        <f t="array" ref="S374">IF(C374="","",IFERROR(_xlfn.XLOOKUP(C374,Volunteers!D:D,Volunteers!A:A),""))</f>
        <v/>
      </c>
      <c r="T374" s="28"/>
    </row>
    <row r="375">
      <c r="A375" s="57"/>
      <c r="B375" s="40"/>
      <c r="C375" s="40"/>
      <c r="D375" s="40" t="str">
        <f t="array" ref="D375">IF(B375="","",IFERROR(_xlfn.XLOOKUP(B375,'Lists &amp; Settings'!A:A,'Lists &amp; Settings'!E:E),""))</f>
        <v/>
      </c>
      <c r="E375" s="40"/>
      <c r="F375" s="40"/>
      <c r="G375" s="95"/>
      <c r="H375" s="95"/>
      <c r="I375" s="51"/>
      <c r="J375" s="54" t="s">
        <v>179</v>
      </c>
      <c r="K375" s="55" t="s">
        <v>179</v>
      </c>
      <c r="L375" s="56" t="s">
        <v>179</v>
      </c>
      <c r="M375" s="56" t="s">
        <v>179</v>
      </c>
      <c r="N375" s="40"/>
      <c r="O375" s="40"/>
      <c r="P375" s="57"/>
      <c r="Q375" s="57"/>
      <c r="R375" s="40"/>
      <c r="S375" s="40" t="str">
        <f t="array" ref="S375">IF(C375="","",IFERROR(_xlfn.XLOOKUP(C375,Volunteers!D:D,Volunteers!A:A),""))</f>
        <v/>
      </c>
      <c r="T375" s="40"/>
    </row>
    <row r="376">
      <c r="A376" s="52"/>
      <c r="B376" s="28"/>
      <c r="C376" s="28"/>
      <c r="D376" s="28" t="str">
        <f t="array" ref="D376">IF(B376="","",IFERROR(_xlfn.XLOOKUP(B376,'Lists &amp; Settings'!A:A,'Lists &amp; Settings'!E:E),""))</f>
        <v/>
      </c>
      <c r="E376" s="28"/>
      <c r="F376" s="28"/>
      <c r="G376" s="98"/>
      <c r="H376" s="98"/>
      <c r="I376" s="31"/>
      <c r="J376" s="54" t="s">
        <v>179</v>
      </c>
      <c r="K376" s="55" t="s">
        <v>179</v>
      </c>
      <c r="L376" s="56" t="s">
        <v>179</v>
      </c>
      <c r="M376" s="56" t="s">
        <v>179</v>
      </c>
      <c r="N376" s="28"/>
      <c r="O376" s="28"/>
      <c r="P376" s="52"/>
      <c r="Q376" s="52"/>
      <c r="R376" s="28"/>
      <c r="S376" s="28" t="str">
        <f t="array" ref="S376">IF(C376="","",IFERROR(_xlfn.XLOOKUP(C376,Volunteers!D:D,Volunteers!A:A),""))</f>
        <v/>
      </c>
      <c r="T376" s="28"/>
    </row>
    <row r="377">
      <c r="A377" s="57"/>
      <c r="B377" s="40"/>
      <c r="C377" s="40"/>
      <c r="D377" s="40" t="str">
        <f t="array" ref="D377">IF(B377="","",IFERROR(_xlfn.XLOOKUP(B377,'Lists &amp; Settings'!A:A,'Lists &amp; Settings'!E:E),""))</f>
        <v/>
      </c>
      <c r="E377" s="40"/>
      <c r="F377" s="40"/>
      <c r="G377" s="95"/>
      <c r="H377" s="95"/>
      <c r="I377" s="51"/>
      <c r="J377" s="54" t="s">
        <v>179</v>
      </c>
      <c r="K377" s="55" t="s">
        <v>179</v>
      </c>
      <c r="L377" s="56" t="s">
        <v>179</v>
      </c>
      <c r="M377" s="56" t="s">
        <v>179</v>
      </c>
      <c r="N377" s="40"/>
      <c r="O377" s="40"/>
      <c r="P377" s="57"/>
      <c r="Q377" s="57"/>
      <c r="R377" s="40"/>
      <c r="S377" s="40" t="str">
        <f t="array" ref="S377">IF(C377="","",IFERROR(_xlfn.XLOOKUP(C377,Volunteers!D:D,Volunteers!A:A),""))</f>
        <v/>
      </c>
      <c r="T377" s="40"/>
    </row>
    <row r="378">
      <c r="A378" s="52"/>
      <c r="B378" s="28"/>
      <c r="C378" s="28"/>
      <c r="D378" s="28" t="str">
        <f t="array" ref="D378">IF(B378="","",IFERROR(_xlfn.XLOOKUP(B378,'Lists &amp; Settings'!A:A,'Lists &amp; Settings'!E:E),""))</f>
        <v/>
      </c>
      <c r="E378" s="28"/>
      <c r="F378" s="28"/>
      <c r="G378" s="98"/>
      <c r="H378" s="98"/>
      <c r="I378" s="31"/>
      <c r="J378" s="54" t="s">
        <v>179</v>
      </c>
      <c r="K378" s="55" t="s">
        <v>179</v>
      </c>
      <c r="L378" s="56" t="s">
        <v>179</v>
      </c>
      <c r="M378" s="56" t="s">
        <v>179</v>
      </c>
      <c r="N378" s="28"/>
      <c r="O378" s="28"/>
      <c r="P378" s="52"/>
      <c r="Q378" s="52"/>
      <c r="R378" s="28"/>
      <c r="S378" s="28" t="str">
        <f t="array" ref="S378">IF(C378="","",IFERROR(_xlfn.XLOOKUP(C378,Volunteers!D:D,Volunteers!A:A),""))</f>
        <v/>
      </c>
      <c r="T378" s="28"/>
    </row>
    <row r="379">
      <c r="A379" s="57"/>
      <c r="B379" s="40"/>
      <c r="C379" s="40"/>
      <c r="D379" s="40" t="str">
        <f t="array" ref="D379">IF(B379="","",IFERROR(_xlfn.XLOOKUP(B379,'Lists &amp; Settings'!A:A,'Lists &amp; Settings'!E:E),""))</f>
        <v/>
      </c>
      <c r="E379" s="40"/>
      <c r="F379" s="40"/>
      <c r="G379" s="95"/>
      <c r="H379" s="95"/>
      <c r="I379" s="51"/>
      <c r="J379" s="54" t="s">
        <v>179</v>
      </c>
      <c r="K379" s="55" t="s">
        <v>179</v>
      </c>
      <c r="L379" s="56" t="s">
        <v>179</v>
      </c>
      <c r="M379" s="56" t="s">
        <v>179</v>
      </c>
      <c r="N379" s="40"/>
      <c r="O379" s="40"/>
      <c r="P379" s="57"/>
      <c r="Q379" s="57"/>
      <c r="R379" s="40"/>
      <c r="S379" s="40" t="str">
        <f t="array" ref="S379">IF(C379="","",IFERROR(_xlfn.XLOOKUP(C379,Volunteers!D:D,Volunteers!A:A),""))</f>
        <v/>
      </c>
      <c r="T379" s="40"/>
    </row>
    <row r="380">
      <c r="A380" s="52"/>
      <c r="B380" s="28"/>
      <c r="C380" s="28"/>
      <c r="D380" s="28" t="str">
        <f t="array" ref="D380">IF(B380="","",IFERROR(_xlfn.XLOOKUP(B380,'Lists &amp; Settings'!A:A,'Lists &amp; Settings'!E:E),""))</f>
        <v/>
      </c>
      <c r="E380" s="28"/>
      <c r="F380" s="28"/>
      <c r="G380" s="98"/>
      <c r="H380" s="98"/>
      <c r="I380" s="31"/>
      <c r="J380" s="54" t="s">
        <v>179</v>
      </c>
      <c r="K380" s="55" t="s">
        <v>179</v>
      </c>
      <c r="L380" s="56" t="s">
        <v>179</v>
      </c>
      <c r="M380" s="56" t="s">
        <v>179</v>
      </c>
      <c r="N380" s="28"/>
      <c r="O380" s="28"/>
      <c r="P380" s="52"/>
      <c r="Q380" s="52"/>
      <c r="R380" s="28"/>
      <c r="S380" s="28" t="str">
        <f t="array" ref="S380">IF(C380="","",IFERROR(_xlfn.XLOOKUP(C380,Volunteers!D:D,Volunteers!A:A),""))</f>
        <v/>
      </c>
      <c r="T380" s="28"/>
    </row>
    <row r="381">
      <c r="A381" s="57"/>
      <c r="B381" s="40"/>
      <c r="C381" s="40"/>
      <c r="D381" s="40" t="str">
        <f t="array" ref="D381">IF(B381="","",IFERROR(_xlfn.XLOOKUP(B381,'Lists &amp; Settings'!A:A,'Lists &amp; Settings'!E:E),""))</f>
        <v/>
      </c>
      <c r="E381" s="40"/>
      <c r="F381" s="40"/>
      <c r="G381" s="95"/>
      <c r="H381" s="95"/>
      <c r="I381" s="51"/>
      <c r="J381" s="54" t="s">
        <v>179</v>
      </c>
      <c r="K381" s="55" t="s">
        <v>179</v>
      </c>
      <c r="L381" s="56" t="s">
        <v>179</v>
      </c>
      <c r="M381" s="56" t="s">
        <v>179</v>
      </c>
      <c r="N381" s="40"/>
      <c r="O381" s="40"/>
      <c r="P381" s="57"/>
      <c r="Q381" s="57"/>
      <c r="R381" s="40"/>
      <c r="S381" s="40" t="str">
        <f t="array" ref="S381">IF(C381="","",IFERROR(_xlfn.XLOOKUP(C381,Volunteers!D:D,Volunteers!A:A),""))</f>
        <v/>
      </c>
      <c r="T381" s="40"/>
    </row>
    <row r="382">
      <c r="A382" s="52"/>
      <c r="B382" s="28"/>
      <c r="C382" s="28"/>
      <c r="D382" s="28" t="str">
        <f t="array" ref="D382">IF(B382="","",IFERROR(_xlfn.XLOOKUP(B382,'Lists &amp; Settings'!A:A,'Lists &amp; Settings'!E:E),""))</f>
        <v/>
      </c>
      <c r="E382" s="28"/>
      <c r="F382" s="28"/>
      <c r="G382" s="98"/>
      <c r="H382" s="98"/>
      <c r="I382" s="31"/>
      <c r="J382" s="54" t="s">
        <v>179</v>
      </c>
      <c r="K382" s="55" t="s">
        <v>179</v>
      </c>
      <c r="L382" s="56" t="s">
        <v>179</v>
      </c>
      <c r="M382" s="56" t="s">
        <v>179</v>
      </c>
      <c r="N382" s="28"/>
      <c r="O382" s="28"/>
      <c r="P382" s="52"/>
      <c r="Q382" s="52"/>
      <c r="R382" s="28"/>
      <c r="S382" s="28" t="str">
        <f t="array" ref="S382">IF(C382="","",IFERROR(_xlfn.XLOOKUP(C382,Volunteers!D:D,Volunteers!A:A),""))</f>
        <v/>
      </c>
      <c r="T382" s="28"/>
    </row>
    <row r="383">
      <c r="A383" s="57"/>
      <c r="B383" s="40"/>
      <c r="C383" s="40"/>
      <c r="D383" s="40" t="str">
        <f t="array" ref="D383">IF(B383="","",IFERROR(_xlfn.XLOOKUP(B383,'Lists &amp; Settings'!A:A,'Lists &amp; Settings'!E:E),""))</f>
        <v/>
      </c>
      <c r="E383" s="40"/>
      <c r="F383" s="40"/>
      <c r="G383" s="95"/>
      <c r="H383" s="95"/>
      <c r="I383" s="51"/>
      <c r="J383" s="54" t="s">
        <v>179</v>
      </c>
      <c r="K383" s="55" t="s">
        <v>179</v>
      </c>
      <c r="L383" s="56" t="s">
        <v>179</v>
      </c>
      <c r="M383" s="56" t="s">
        <v>179</v>
      </c>
      <c r="N383" s="40"/>
      <c r="O383" s="40"/>
      <c r="P383" s="57"/>
      <c r="Q383" s="57"/>
      <c r="R383" s="40"/>
      <c r="S383" s="40" t="str">
        <f t="array" ref="S383">IF(C383="","",IFERROR(_xlfn.XLOOKUP(C383,Volunteers!D:D,Volunteers!A:A),""))</f>
        <v/>
      </c>
      <c r="T383" s="40"/>
    </row>
    <row r="384">
      <c r="A384" s="52"/>
      <c r="B384" s="28"/>
      <c r="C384" s="28"/>
      <c r="D384" s="28" t="str">
        <f t="array" ref="D384">IF(B384="","",IFERROR(_xlfn.XLOOKUP(B384,'Lists &amp; Settings'!A:A,'Lists &amp; Settings'!E:E),""))</f>
        <v/>
      </c>
      <c r="E384" s="28"/>
      <c r="F384" s="28"/>
      <c r="G384" s="98"/>
      <c r="H384" s="98"/>
      <c r="I384" s="31"/>
      <c r="J384" s="54" t="s">
        <v>179</v>
      </c>
      <c r="K384" s="55" t="s">
        <v>179</v>
      </c>
      <c r="L384" s="56" t="s">
        <v>179</v>
      </c>
      <c r="M384" s="56" t="s">
        <v>179</v>
      </c>
      <c r="N384" s="28"/>
      <c r="O384" s="28"/>
      <c r="P384" s="52"/>
      <c r="Q384" s="52"/>
      <c r="R384" s="28"/>
      <c r="S384" s="28" t="str">
        <f t="array" ref="S384">IF(C384="","",IFERROR(_xlfn.XLOOKUP(C384,Volunteers!D:D,Volunteers!A:A),""))</f>
        <v/>
      </c>
      <c r="T384" s="28"/>
    </row>
    <row r="385">
      <c r="A385" s="57"/>
      <c r="B385" s="40"/>
      <c r="C385" s="40"/>
      <c r="D385" s="40" t="str">
        <f t="array" ref="D385">IF(B385="","",IFERROR(_xlfn.XLOOKUP(B385,'Lists &amp; Settings'!A:A,'Lists &amp; Settings'!E:E),""))</f>
        <v/>
      </c>
      <c r="E385" s="40"/>
      <c r="F385" s="40"/>
      <c r="G385" s="95"/>
      <c r="H385" s="95"/>
      <c r="I385" s="51"/>
      <c r="J385" s="54" t="s">
        <v>179</v>
      </c>
      <c r="K385" s="55" t="s">
        <v>179</v>
      </c>
      <c r="L385" s="56" t="s">
        <v>179</v>
      </c>
      <c r="M385" s="56" t="s">
        <v>179</v>
      </c>
      <c r="N385" s="40"/>
      <c r="O385" s="40"/>
      <c r="P385" s="57"/>
      <c r="Q385" s="57"/>
      <c r="R385" s="40"/>
      <c r="S385" s="40" t="str">
        <f t="array" ref="S385">IF(C385="","",IFERROR(_xlfn.XLOOKUP(C385,Volunteers!D:D,Volunteers!A:A),""))</f>
        <v/>
      </c>
      <c r="T385" s="40"/>
    </row>
    <row r="386">
      <c r="A386" s="52"/>
      <c r="B386" s="28"/>
      <c r="C386" s="28"/>
      <c r="D386" s="28" t="str">
        <f t="array" ref="D386">IF(B386="","",IFERROR(_xlfn.XLOOKUP(B386,'Lists &amp; Settings'!A:A,'Lists &amp; Settings'!E:E),""))</f>
        <v/>
      </c>
      <c r="E386" s="28"/>
      <c r="F386" s="28"/>
      <c r="G386" s="98"/>
      <c r="H386" s="98"/>
      <c r="I386" s="31"/>
      <c r="J386" s="54" t="s">
        <v>179</v>
      </c>
      <c r="K386" s="55" t="s">
        <v>179</v>
      </c>
      <c r="L386" s="56" t="s">
        <v>179</v>
      </c>
      <c r="M386" s="56" t="s">
        <v>179</v>
      </c>
      <c r="N386" s="28"/>
      <c r="O386" s="28"/>
      <c r="P386" s="52"/>
      <c r="Q386" s="52"/>
      <c r="R386" s="28"/>
      <c r="S386" s="28" t="str">
        <f t="array" ref="S386">IF(C386="","",IFERROR(_xlfn.XLOOKUP(C386,Volunteers!D:D,Volunteers!A:A),""))</f>
        <v/>
      </c>
      <c r="T386" s="28"/>
    </row>
    <row r="387">
      <c r="A387" s="57"/>
      <c r="B387" s="40"/>
      <c r="C387" s="40"/>
      <c r="D387" s="40" t="str">
        <f t="array" ref="D387">IF(B387="","",IFERROR(_xlfn.XLOOKUP(B387,'Lists &amp; Settings'!A:A,'Lists &amp; Settings'!E:E),""))</f>
        <v/>
      </c>
      <c r="E387" s="40"/>
      <c r="F387" s="40"/>
      <c r="G387" s="95"/>
      <c r="H387" s="95"/>
      <c r="I387" s="51"/>
      <c r="J387" s="54" t="s">
        <v>179</v>
      </c>
      <c r="K387" s="55" t="s">
        <v>179</v>
      </c>
      <c r="L387" s="56" t="s">
        <v>179</v>
      </c>
      <c r="M387" s="56" t="s">
        <v>179</v>
      </c>
      <c r="N387" s="40"/>
      <c r="O387" s="40"/>
      <c r="P387" s="57"/>
      <c r="Q387" s="57"/>
      <c r="R387" s="40"/>
      <c r="S387" s="40" t="str">
        <f t="array" ref="S387">IF(C387="","",IFERROR(_xlfn.XLOOKUP(C387,Volunteers!D:D,Volunteers!A:A),""))</f>
        <v/>
      </c>
      <c r="T387" s="40"/>
    </row>
    <row r="388">
      <c r="A388" s="52"/>
      <c r="B388" s="28"/>
      <c r="C388" s="28"/>
      <c r="D388" s="28" t="str">
        <f t="array" ref="D388">IF(B388="","",IFERROR(_xlfn.XLOOKUP(B388,'Lists &amp; Settings'!A:A,'Lists &amp; Settings'!E:E),""))</f>
        <v/>
      </c>
      <c r="E388" s="28"/>
      <c r="F388" s="28"/>
      <c r="G388" s="98"/>
      <c r="H388" s="98"/>
      <c r="I388" s="31"/>
      <c r="J388" s="54" t="s">
        <v>179</v>
      </c>
      <c r="K388" s="55" t="s">
        <v>179</v>
      </c>
      <c r="L388" s="56" t="s">
        <v>179</v>
      </c>
      <c r="M388" s="56" t="s">
        <v>179</v>
      </c>
      <c r="N388" s="28"/>
      <c r="O388" s="28"/>
      <c r="P388" s="52"/>
      <c r="Q388" s="52"/>
      <c r="R388" s="28"/>
      <c r="S388" s="28" t="str">
        <f t="array" ref="S388">IF(C388="","",IFERROR(_xlfn.XLOOKUP(C388,Volunteers!D:D,Volunteers!A:A),""))</f>
        <v/>
      </c>
      <c r="T388" s="28"/>
    </row>
    <row r="389">
      <c r="A389" s="57"/>
      <c r="B389" s="40"/>
      <c r="C389" s="40"/>
      <c r="D389" s="40" t="str">
        <f t="array" ref="D389">IF(B389="","",IFERROR(_xlfn.XLOOKUP(B389,'Lists &amp; Settings'!A:A,'Lists &amp; Settings'!E:E),""))</f>
        <v/>
      </c>
      <c r="E389" s="40"/>
      <c r="F389" s="40"/>
      <c r="G389" s="95"/>
      <c r="H389" s="95"/>
      <c r="I389" s="51"/>
      <c r="J389" s="54" t="s">
        <v>179</v>
      </c>
      <c r="K389" s="55" t="s">
        <v>179</v>
      </c>
      <c r="L389" s="56" t="s">
        <v>179</v>
      </c>
      <c r="M389" s="56" t="s">
        <v>179</v>
      </c>
      <c r="N389" s="40"/>
      <c r="O389" s="40"/>
      <c r="P389" s="57"/>
      <c r="Q389" s="57"/>
      <c r="R389" s="40"/>
      <c r="S389" s="40" t="str">
        <f t="array" ref="S389">IF(C389="","",IFERROR(_xlfn.XLOOKUP(C389,Volunteers!D:D,Volunteers!A:A),""))</f>
        <v/>
      </c>
      <c r="T389" s="40"/>
    </row>
    <row r="390">
      <c r="A390" s="52"/>
      <c r="B390" s="28"/>
      <c r="C390" s="28"/>
      <c r="D390" s="28" t="str">
        <f t="array" ref="D390">IF(B390="","",IFERROR(_xlfn.XLOOKUP(B390,'Lists &amp; Settings'!A:A,'Lists &amp; Settings'!E:E),""))</f>
        <v/>
      </c>
      <c r="E390" s="28"/>
      <c r="F390" s="28"/>
      <c r="G390" s="98"/>
      <c r="H390" s="98"/>
      <c r="I390" s="31"/>
      <c r="J390" s="54" t="s">
        <v>179</v>
      </c>
      <c r="K390" s="55" t="s">
        <v>179</v>
      </c>
      <c r="L390" s="56" t="s">
        <v>179</v>
      </c>
      <c r="M390" s="56" t="s">
        <v>179</v>
      </c>
      <c r="N390" s="28"/>
      <c r="O390" s="28"/>
      <c r="P390" s="52"/>
      <c r="Q390" s="52"/>
      <c r="R390" s="28"/>
      <c r="S390" s="28" t="str">
        <f t="array" ref="S390">IF(C390="","",IFERROR(_xlfn.XLOOKUP(C390,Volunteers!D:D,Volunteers!A:A),""))</f>
        <v/>
      </c>
      <c r="T390" s="28"/>
    </row>
    <row r="391">
      <c r="A391" s="57"/>
      <c r="B391" s="40"/>
      <c r="C391" s="40"/>
      <c r="D391" s="40" t="str">
        <f t="array" ref="D391">IF(B391="","",IFERROR(_xlfn.XLOOKUP(B391,'Lists &amp; Settings'!A:A,'Lists &amp; Settings'!E:E),""))</f>
        <v/>
      </c>
      <c r="E391" s="40"/>
      <c r="F391" s="40"/>
      <c r="G391" s="95"/>
      <c r="H391" s="95"/>
      <c r="I391" s="51"/>
      <c r="J391" s="54" t="s">
        <v>179</v>
      </c>
      <c r="K391" s="55" t="s">
        <v>179</v>
      </c>
      <c r="L391" s="56" t="s">
        <v>179</v>
      </c>
      <c r="M391" s="56" t="s">
        <v>179</v>
      </c>
      <c r="N391" s="40"/>
      <c r="O391" s="40"/>
      <c r="P391" s="57"/>
      <c r="Q391" s="57"/>
      <c r="R391" s="40"/>
      <c r="S391" s="40" t="str">
        <f t="array" ref="S391">IF(C391="","",IFERROR(_xlfn.XLOOKUP(C391,Volunteers!D:D,Volunteers!A:A),""))</f>
        <v/>
      </c>
      <c r="T391" s="40"/>
    </row>
    <row r="392">
      <c r="A392" s="52"/>
      <c r="B392" s="28"/>
      <c r="C392" s="28"/>
      <c r="D392" s="28" t="str">
        <f t="array" ref="D392">IF(B392="","",IFERROR(_xlfn.XLOOKUP(B392,'Lists &amp; Settings'!A:A,'Lists &amp; Settings'!E:E),""))</f>
        <v/>
      </c>
      <c r="E392" s="28"/>
      <c r="F392" s="28"/>
      <c r="G392" s="98"/>
      <c r="H392" s="98"/>
      <c r="I392" s="31"/>
      <c r="J392" s="54" t="s">
        <v>179</v>
      </c>
      <c r="K392" s="55" t="s">
        <v>179</v>
      </c>
      <c r="L392" s="56" t="s">
        <v>179</v>
      </c>
      <c r="M392" s="56" t="s">
        <v>179</v>
      </c>
      <c r="N392" s="28"/>
      <c r="O392" s="28"/>
      <c r="P392" s="52"/>
      <c r="Q392" s="52"/>
      <c r="R392" s="28"/>
      <c r="S392" s="28" t="str">
        <f t="array" ref="S392">IF(C392="","",IFERROR(_xlfn.XLOOKUP(C392,Volunteers!D:D,Volunteers!A:A),""))</f>
        <v/>
      </c>
      <c r="T392" s="28"/>
    </row>
    <row r="393">
      <c r="A393" s="57"/>
      <c r="B393" s="40"/>
      <c r="C393" s="40"/>
      <c r="D393" s="40" t="str">
        <f t="array" ref="D393">IF(B393="","",IFERROR(_xlfn.XLOOKUP(B393,'Lists &amp; Settings'!A:A,'Lists &amp; Settings'!E:E),""))</f>
        <v/>
      </c>
      <c r="E393" s="40"/>
      <c r="F393" s="40"/>
      <c r="G393" s="95"/>
      <c r="H393" s="95"/>
      <c r="I393" s="51"/>
      <c r="J393" s="54" t="s">
        <v>179</v>
      </c>
      <c r="K393" s="55" t="s">
        <v>179</v>
      </c>
      <c r="L393" s="56" t="s">
        <v>179</v>
      </c>
      <c r="M393" s="56" t="s">
        <v>179</v>
      </c>
      <c r="N393" s="40"/>
      <c r="O393" s="40"/>
      <c r="P393" s="57"/>
      <c r="Q393" s="57"/>
      <c r="R393" s="40"/>
      <c r="S393" s="40" t="str">
        <f t="array" ref="S393">IF(C393="","",IFERROR(_xlfn.XLOOKUP(C393,Volunteers!D:D,Volunteers!A:A),""))</f>
        <v/>
      </c>
      <c r="T393" s="40"/>
    </row>
    <row r="394">
      <c r="A394" s="52"/>
      <c r="B394" s="28"/>
      <c r="C394" s="28"/>
      <c r="D394" s="28" t="str">
        <f t="array" ref="D394">IF(B394="","",IFERROR(_xlfn.XLOOKUP(B394,'Lists &amp; Settings'!A:A,'Lists &amp; Settings'!E:E),""))</f>
        <v/>
      </c>
      <c r="E394" s="28"/>
      <c r="F394" s="28"/>
      <c r="G394" s="98"/>
      <c r="H394" s="98"/>
      <c r="I394" s="31"/>
      <c r="J394" s="54" t="s">
        <v>179</v>
      </c>
      <c r="K394" s="55" t="s">
        <v>179</v>
      </c>
      <c r="L394" s="56" t="s">
        <v>179</v>
      </c>
      <c r="M394" s="56" t="s">
        <v>179</v>
      </c>
      <c r="N394" s="28"/>
      <c r="O394" s="28"/>
      <c r="P394" s="52"/>
      <c r="Q394" s="52"/>
      <c r="R394" s="28"/>
      <c r="S394" s="28" t="str">
        <f t="array" ref="S394">IF(C394="","",IFERROR(_xlfn.XLOOKUP(C394,Volunteers!D:D,Volunteers!A:A),""))</f>
        <v/>
      </c>
      <c r="T394" s="28"/>
    </row>
    <row r="395">
      <c r="A395" s="57"/>
      <c r="B395" s="40"/>
      <c r="C395" s="40"/>
      <c r="D395" s="40" t="str">
        <f t="array" ref="D395">IF(B395="","",IFERROR(_xlfn.XLOOKUP(B395,'Lists &amp; Settings'!A:A,'Lists &amp; Settings'!E:E),""))</f>
        <v/>
      </c>
      <c r="E395" s="40"/>
      <c r="F395" s="40"/>
      <c r="G395" s="95"/>
      <c r="H395" s="95"/>
      <c r="I395" s="51"/>
      <c r="J395" s="54" t="s">
        <v>179</v>
      </c>
      <c r="K395" s="55" t="s">
        <v>179</v>
      </c>
      <c r="L395" s="56" t="s">
        <v>179</v>
      </c>
      <c r="M395" s="56" t="s">
        <v>179</v>
      </c>
      <c r="N395" s="40"/>
      <c r="O395" s="40"/>
      <c r="P395" s="57"/>
      <c r="Q395" s="57"/>
      <c r="R395" s="40"/>
      <c r="S395" s="40" t="str">
        <f t="array" ref="S395">IF(C395="","",IFERROR(_xlfn.XLOOKUP(C395,Volunteers!D:D,Volunteers!A:A),""))</f>
        <v/>
      </c>
      <c r="T395" s="40"/>
    </row>
    <row r="396">
      <c r="A396" s="52"/>
      <c r="B396" s="28"/>
      <c r="C396" s="28"/>
      <c r="D396" s="28" t="str">
        <f t="array" ref="D396">IF(B396="","",IFERROR(_xlfn.XLOOKUP(B396,'Lists &amp; Settings'!A:A,'Lists &amp; Settings'!E:E),""))</f>
        <v/>
      </c>
      <c r="E396" s="28"/>
      <c r="F396" s="28"/>
      <c r="G396" s="98"/>
      <c r="H396" s="98"/>
      <c r="I396" s="31"/>
      <c r="J396" s="54" t="s">
        <v>179</v>
      </c>
      <c r="K396" s="55" t="s">
        <v>179</v>
      </c>
      <c r="L396" s="56" t="s">
        <v>179</v>
      </c>
      <c r="M396" s="56" t="s">
        <v>179</v>
      </c>
      <c r="N396" s="28"/>
      <c r="O396" s="28"/>
      <c r="P396" s="52"/>
      <c r="Q396" s="52"/>
      <c r="R396" s="28"/>
      <c r="S396" s="28" t="str">
        <f t="array" ref="S396">IF(C396="","",IFERROR(_xlfn.XLOOKUP(C396,Volunteers!D:D,Volunteers!A:A),""))</f>
        <v/>
      </c>
      <c r="T396" s="28"/>
    </row>
    <row r="397">
      <c r="A397" s="57"/>
      <c r="B397" s="40"/>
      <c r="C397" s="40"/>
      <c r="D397" s="40" t="str">
        <f t="array" ref="D397">IF(B397="","",IFERROR(_xlfn.XLOOKUP(B397,'Lists &amp; Settings'!A:A,'Lists &amp; Settings'!E:E),""))</f>
        <v/>
      </c>
      <c r="E397" s="40"/>
      <c r="F397" s="40"/>
      <c r="G397" s="95"/>
      <c r="H397" s="95"/>
      <c r="I397" s="51"/>
      <c r="J397" s="54" t="s">
        <v>179</v>
      </c>
      <c r="K397" s="55" t="s">
        <v>179</v>
      </c>
      <c r="L397" s="56" t="s">
        <v>179</v>
      </c>
      <c r="M397" s="56" t="s">
        <v>179</v>
      </c>
      <c r="N397" s="40"/>
      <c r="O397" s="40"/>
      <c r="P397" s="57"/>
      <c r="Q397" s="57"/>
      <c r="R397" s="40"/>
      <c r="S397" s="40" t="str">
        <f t="array" ref="S397">IF(C397="","",IFERROR(_xlfn.XLOOKUP(C397,Volunteers!D:D,Volunteers!A:A),""))</f>
        <v/>
      </c>
      <c r="T397" s="40"/>
    </row>
    <row r="398">
      <c r="A398" s="52"/>
      <c r="B398" s="28"/>
      <c r="C398" s="28"/>
      <c r="D398" s="28" t="str">
        <f t="array" ref="D398">IF(B398="","",IFERROR(_xlfn.XLOOKUP(B398,'Lists &amp; Settings'!A:A,'Lists &amp; Settings'!E:E),""))</f>
        <v/>
      </c>
      <c r="E398" s="28"/>
      <c r="F398" s="28"/>
      <c r="G398" s="98"/>
      <c r="H398" s="98"/>
      <c r="I398" s="31"/>
      <c r="J398" s="54" t="s">
        <v>179</v>
      </c>
      <c r="K398" s="55" t="s">
        <v>179</v>
      </c>
      <c r="L398" s="56" t="s">
        <v>179</v>
      </c>
      <c r="M398" s="56" t="s">
        <v>179</v>
      </c>
      <c r="N398" s="28"/>
      <c r="O398" s="28"/>
      <c r="P398" s="52"/>
      <c r="Q398" s="52"/>
      <c r="R398" s="28"/>
      <c r="S398" s="28" t="str">
        <f t="array" ref="S398">IF(C398="","",IFERROR(_xlfn.XLOOKUP(C398,Volunteers!D:D,Volunteers!A:A),""))</f>
        <v/>
      </c>
      <c r="T398" s="28"/>
    </row>
    <row r="399">
      <c r="A399" s="57"/>
      <c r="B399" s="40"/>
      <c r="C399" s="40"/>
      <c r="D399" s="40" t="str">
        <f t="array" ref="D399">IF(B399="","",IFERROR(_xlfn.XLOOKUP(B399,'Lists &amp; Settings'!A:A,'Lists &amp; Settings'!E:E),""))</f>
        <v/>
      </c>
      <c r="E399" s="40"/>
      <c r="F399" s="40"/>
      <c r="G399" s="95"/>
      <c r="H399" s="95"/>
      <c r="I399" s="51"/>
      <c r="J399" s="54" t="s">
        <v>179</v>
      </c>
      <c r="K399" s="55" t="s">
        <v>179</v>
      </c>
      <c r="L399" s="56" t="s">
        <v>179</v>
      </c>
      <c r="M399" s="56" t="s">
        <v>179</v>
      </c>
      <c r="N399" s="40"/>
      <c r="O399" s="40"/>
      <c r="P399" s="57"/>
      <c r="Q399" s="57"/>
      <c r="R399" s="40"/>
      <c r="S399" s="40" t="str">
        <f t="array" ref="S399">IF(C399="","",IFERROR(_xlfn.XLOOKUP(C399,Volunteers!D:D,Volunteers!A:A),""))</f>
        <v/>
      </c>
      <c r="T399" s="40"/>
    </row>
    <row r="400">
      <c r="A400" s="52"/>
      <c r="B400" s="28"/>
      <c r="C400" s="28"/>
      <c r="D400" s="28" t="str">
        <f t="array" ref="D400">IF(B400="","",IFERROR(_xlfn.XLOOKUP(B400,'Lists &amp; Settings'!A:A,'Lists &amp; Settings'!E:E),""))</f>
        <v/>
      </c>
      <c r="E400" s="28"/>
      <c r="F400" s="28"/>
      <c r="G400" s="98"/>
      <c r="H400" s="98"/>
      <c r="I400" s="31"/>
      <c r="J400" s="54" t="s">
        <v>179</v>
      </c>
      <c r="K400" s="55" t="s">
        <v>179</v>
      </c>
      <c r="L400" s="56" t="s">
        <v>179</v>
      </c>
      <c r="M400" s="56" t="s">
        <v>179</v>
      </c>
      <c r="N400" s="28"/>
      <c r="O400" s="28"/>
      <c r="P400" s="52"/>
      <c r="Q400" s="52"/>
      <c r="R400" s="28"/>
      <c r="S400" s="28" t="str">
        <f t="array" ref="S400">IF(C400="","",IFERROR(_xlfn.XLOOKUP(C400,Volunteers!D:D,Volunteers!A:A),""))</f>
        <v/>
      </c>
      <c r="T400" s="28"/>
    </row>
    <row r="401">
      <c r="A401" s="57"/>
      <c r="B401" s="40"/>
      <c r="C401" s="40"/>
      <c r="D401" s="40" t="str">
        <f t="array" ref="D401">IF(B401="","",IFERROR(_xlfn.XLOOKUP(B401,'Lists &amp; Settings'!A:A,'Lists &amp; Settings'!E:E),""))</f>
        <v/>
      </c>
      <c r="E401" s="40"/>
      <c r="F401" s="40"/>
      <c r="G401" s="95"/>
      <c r="H401" s="95"/>
      <c r="I401" s="51"/>
      <c r="J401" s="54" t="s">
        <v>179</v>
      </c>
      <c r="K401" s="55" t="s">
        <v>179</v>
      </c>
      <c r="L401" s="56" t="s">
        <v>179</v>
      </c>
      <c r="M401" s="56" t="s">
        <v>179</v>
      </c>
      <c r="N401" s="40"/>
      <c r="O401" s="40"/>
      <c r="P401" s="57"/>
      <c r="Q401" s="57"/>
      <c r="R401" s="40"/>
      <c r="S401" s="40" t="str">
        <f t="array" ref="S401">IF(C401="","",IFERROR(_xlfn.XLOOKUP(C401,Volunteers!D:D,Volunteers!A:A),""))</f>
        <v/>
      </c>
      <c r="T401" s="40"/>
    </row>
    <row r="402">
      <c r="A402" s="52"/>
      <c r="B402" s="28"/>
      <c r="C402" s="28"/>
      <c r="D402" s="28" t="str">
        <f t="array" ref="D402">IF(B402="","",IFERROR(_xlfn.XLOOKUP(B402,'Lists &amp; Settings'!A:A,'Lists &amp; Settings'!E:E),""))</f>
        <v/>
      </c>
      <c r="E402" s="28"/>
      <c r="F402" s="28"/>
      <c r="G402" s="98"/>
      <c r="H402" s="98"/>
      <c r="I402" s="31"/>
      <c r="J402" s="54" t="s">
        <v>179</v>
      </c>
      <c r="K402" s="55" t="s">
        <v>179</v>
      </c>
      <c r="L402" s="56" t="s">
        <v>179</v>
      </c>
      <c r="M402" s="56" t="s">
        <v>179</v>
      </c>
      <c r="N402" s="28"/>
      <c r="O402" s="28"/>
      <c r="P402" s="52"/>
      <c r="Q402" s="52"/>
      <c r="R402" s="28"/>
      <c r="S402" s="28" t="str">
        <f t="array" ref="S402">IF(C402="","",IFERROR(_xlfn.XLOOKUP(C402,Volunteers!D:D,Volunteers!A:A),""))</f>
        <v/>
      </c>
      <c r="T402" s="28"/>
    </row>
    <row r="403">
      <c r="A403" s="57"/>
      <c r="B403" s="40"/>
      <c r="C403" s="40"/>
      <c r="D403" s="40" t="str">
        <f t="array" ref="D403">IF(B403="","",IFERROR(_xlfn.XLOOKUP(B403,'Lists &amp; Settings'!A:A,'Lists &amp; Settings'!E:E),""))</f>
        <v/>
      </c>
      <c r="E403" s="40"/>
      <c r="F403" s="40"/>
      <c r="G403" s="95"/>
      <c r="H403" s="95"/>
      <c r="I403" s="51"/>
      <c r="J403" s="54" t="s">
        <v>179</v>
      </c>
      <c r="K403" s="55" t="s">
        <v>179</v>
      </c>
      <c r="L403" s="56" t="s">
        <v>179</v>
      </c>
      <c r="M403" s="56" t="s">
        <v>179</v>
      </c>
      <c r="N403" s="40"/>
      <c r="O403" s="40"/>
      <c r="P403" s="57"/>
      <c r="Q403" s="57"/>
      <c r="R403" s="40"/>
      <c r="S403" s="40" t="str">
        <f t="array" ref="S403">IF(C403="","",IFERROR(_xlfn.XLOOKUP(C403,Volunteers!D:D,Volunteers!A:A),""))</f>
        <v/>
      </c>
      <c r="T403" s="40"/>
    </row>
    <row r="404">
      <c r="A404" s="52"/>
      <c r="B404" s="28"/>
      <c r="C404" s="28"/>
      <c r="D404" s="28" t="str">
        <f t="array" ref="D404">IF(B404="","",IFERROR(_xlfn.XLOOKUP(B404,'Lists &amp; Settings'!A:A,'Lists &amp; Settings'!E:E),""))</f>
        <v/>
      </c>
      <c r="E404" s="28"/>
      <c r="F404" s="28"/>
      <c r="G404" s="98"/>
      <c r="H404" s="98"/>
      <c r="I404" s="31"/>
      <c r="J404" s="54" t="s">
        <v>179</v>
      </c>
      <c r="K404" s="55" t="s">
        <v>179</v>
      </c>
      <c r="L404" s="56" t="s">
        <v>179</v>
      </c>
      <c r="M404" s="56" t="s">
        <v>179</v>
      </c>
      <c r="N404" s="28"/>
      <c r="O404" s="28"/>
      <c r="P404" s="52"/>
      <c r="Q404" s="52"/>
      <c r="R404" s="28"/>
      <c r="S404" s="28" t="str">
        <f t="array" ref="S404">IF(C404="","",IFERROR(_xlfn.XLOOKUP(C404,Volunteers!D:D,Volunteers!A:A),""))</f>
        <v/>
      </c>
      <c r="T404" s="28"/>
    </row>
    <row r="405">
      <c r="A405" s="57"/>
      <c r="B405" s="40"/>
      <c r="C405" s="40"/>
      <c r="D405" s="40" t="str">
        <f t="array" ref="D405">IF(B405="","",IFERROR(_xlfn.XLOOKUP(B405,'Lists &amp; Settings'!A:A,'Lists &amp; Settings'!E:E),""))</f>
        <v/>
      </c>
      <c r="E405" s="40"/>
      <c r="F405" s="40"/>
      <c r="G405" s="95"/>
      <c r="H405" s="95"/>
      <c r="I405" s="51"/>
      <c r="J405" s="54" t="s">
        <v>179</v>
      </c>
      <c r="K405" s="55" t="s">
        <v>179</v>
      </c>
      <c r="L405" s="56" t="s">
        <v>179</v>
      </c>
      <c r="M405" s="56" t="s">
        <v>179</v>
      </c>
      <c r="N405" s="40"/>
      <c r="O405" s="40"/>
      <c r="P405" s="57"/>
      <c r="Q405" s="57"/>
      <c r="R405" s="40"/>
      <c r="S405" s="40" t="str">
        <f t="array" ref="S405">IF(C405="","",IFERROR(_xlfn.XLOOKUP(C405,Volunteers!D:D,Volunteers!A:A),""))</f>
        <v/>
      </c>
      <c r="T405" s="40"/>
    </row>
    <row r="406">
      <c r="A406" s="52"/>
      <c r="B406" s="28"/>
      <c r="C406" s="28"/>
      <c r="D406" s="28" t="str">
        <f t="array" ref="D406">IF(B406="","",IFERROR(_xlfn.XLOOKUP(B406,'Lists &amp; Settings'!A:A,'Lists &amp; Settings'!E:E),""))</f>
        <v/>
      </c>
      <c r="E406" s="28"/>
      <c r="F406" s="28"/>
      <c r="G406" s="98"/>
      <c r="H406" s="98"/>
      <c r="I406" s="31"/>
      <c r="J406" s="54" t="s">
        <v>179</v>
      </c>
      <c r="K406" s="55" t="s">
        <v>179</v>
      </c>
      <c r="L406" s="56" t="s">
        <v>179</v>
      </c>
      <c r="M406" s="56" t="s">
        <v>179</v>
      </c>
      <c r="N406" s="28"/>
      <c r="O406" s="28"/>
      <c r="P406" s="52"/>
      <c r="Q406" s="52"/>
      <c r="R406" s="28"/>
      <c r="S406" s="28" t="str">
        <f t="array" ref="S406">IF(C406="","",IFERROR(_xlfn.XLOOKUP(C406,Volunteers!D:D,Volunteers!A:A),""))</f>
        <v/>
      </c>
      <c r="T406" s="28"/>
    </row>
    <row r="407">
      <c r="A407" s="57"/>
      <c r="B407" s="40"/>
      <c r="C407" s="40"/>
      <c r="D407" s="40" t="str">
        <f t="array" ref="D407">IF(B407="","",IFERROR(_xlfn.XLOOKUP(B407,'Lists &amp; Settings'!A:A,'Lists &amp; Settings'!E:E),""))</f>
        <v/>
      </c>
      <c r="E407" s="40"/>
      <c r="F407" s="40"/>
      <c r="G407" s="95"/>
      <c r="H407" s="95"/>
      <c r="I407" s="51"/>
      <c r="J407" s="54" t="s">
        <v>179</v>
      </c>
      <c r="K407" s="55" t="s">
        <v>179</v>
      </c>
      <c r="L407" s="56" t="s">
        <v>179</v>
      </c>
      <c r="M407" s="56" t="s">
        <v>179</v>
      </c>
      <c r="N407" s="40"/>
      <c r="O407" s="40"/>
      <c r="P407" s="57"/>
      <c r="Q407" s="57"/>
      <c r="R407" s="40"/>
      <c r="S407" s="40" t="str">
        <f t="array" ref="S407">IF(C407="","",IFERROR(_xlfn.XLOOKUP(C407,Volunteers!D:D,Volunteers!A:A),""))</f>
        <v/>
      </c>
      <c r="T407" s="40"/>
    </row>
    <row r="408">
      <c r="A408" s="52"/>
      <c r="B408" s="28"/>
      <c r="C408" s="28"/>
      <c r="D408" s="28" t="str">
        <f t="array" ref="D408">IF(B408="","",IFERROR(_xlfn.XLOOKUP(B408,'Lists &amp; Settings'!A:A,'Lists &amp; Settings'!E:E),""))</f>
        <v/>
      </c>
      <c r="E408" s="28"/>
      <c r="F408" s="28"/>
      <c r="G408" s="98"/>
      <c r="H408" s="98"/>
      <c r="I408" s="31"/>
      <c r="J408" s="54" t="s">
        <v>179</v>
      </c>
      <c r="K408" s="55" t="s">
        <v>179</v>
      </c>
      <c r="L408" s="56" t="s">
        <v>179</v>
      </c>
      <c r="M408" s="56" t="s">
        <v>179</v>
      </c>
      <c r="N408" s="28"/>
      <c r="O408" s="28"/>
      <c r="P408" s="52"/>
      <c r="Q408" s="52"/>
      <c r="R408" s="28"/>
      <c r="S408" s="28" t="str">
        <f t="array" ref="S408">IF(C408="","",IFERROR(_xlfn.XLOOKUP(C408,Volunteers!D:D,Volunteers!A:A),""))</f>
        <v/>
      </c>
      <c r="T408" s="28"/>
    </row>
    <row r="409">
      <c r="A409" s="57"/>
      <c r="B409" s="40"/>
      <c r="C409" s="40"/>
      <c r="D409" s="40" t="str">
        <f t="array" ref="D409">IF(B409="","",IFERROR(_xlfn.XLOOKUP(B409,'Lists &amp; Settings'!A:A,'Lists &amp; Settings'!E:E),""))</f>
        <v/>
      </c>
      <c r="E409" s="40"/>
      <c r="F409" s="40"/>
      <c r="G409" s="95"/>
      <c r="H409" s="95"/>
      <c r="I409" s="51"/>
      <c r="J409" s="54" t="s">
        <v>179</v>
      </c>
      <c r="K409" s="55" t="s">
        <v>179</v>
      </c>
      <c r="L409" s="56" t="s">
        <v>179</v>
      </c>
      <c r="M409" s="56" t="s">
        <v>179</v>
      </c>
      <c r="N409" s="40"/>
      <c r="O409" s="40"/>
      <c r="P409" s="57"/>
      <c r="Q409" s="57"/>
      <c r="R409" s="40"/>
      <c r="S409" s="40" t="str">
        <f t="array" ref="S409">IF(C409="","",IFERROR(_xlfn.XLOOKUP(C409,Volunteers!D:D,Volunteers!A:A),""))</f>
        <v/>
      </c>
      <c r="T409" s="40"/>
    </row>
    <row r="410">
      <c r="A410" s="52"/>
      <c r="B410" s="28"/>
      <c r="C410" s="28"/>
      <c r="D410" s="28" t="str">
        <f t="array" ref="D410">IF(B410="","",IFERROR(_xlfn.XLOOKUP(B410,'Lists &amp; Settings'!A:A,'Lists &amp; Settings'!E:E),""))</f>
        <v/>
      </c>
      <c r="E410" s="28"/>
      <c r="F410" s="28"/>
      <c r="G410" s="98"/>
      <c r="H410" s="98"/>
      <c r="I410" s="31"/>
      <c r="J410" s="54" t="s">
        <v>179</v>
      </c>
      <c r="K410" s="55" t="s">
        <v>179</v>
      </c>
      <c r="L410" s="56" t="s">
        <v>179</v>
      </c>
      <c r="M410" s="56" t="s">
        <v>179</v>
      </c>
      <c r="N410" s="28"/>
      <c r="O410" s="28"/>
      <c r="P410" s="52"/>
      <c r="Q410" s="52"/>
      <c r="R410" s="28"/>
      <c r="S410" s="28" t="str">
        <f t="array" ref="S410">IF(C410="","",IFERROR(_xlfn.XLOOKUP(C410,Volunteers!D:D,Volunteers!A:A),""))</f>
        <v/>
      </c>
      <c r="T410" s="28"/>
    </row>
    <row r="411">
      <c r="A411" s="57"/>
      <c r="B411" s="40"/>
      <c r="C411" s="40"/>
      <c r="D411" s="40" t="str">
        <f t="array" ref="D411">IF(B411="","",IFERROR(_xlfn.XLOOKUP(B411,'Lists &amp; Settings'!A:A,'Lists &amp; Settings'!E:E),""))</f>
        <v/>
      </c>
      <c r="E411" s="40"/>
      <c r="F411" s="40"/>
      <c r="G411" s="95"/>
      <c r="H411" s="95"/>
      <c r="I411" s="51"/>
      <c r="J411" s="54" t="s">
        <v>179</v>
      </c>
      <c r="K411" s="55" t="s">
        <v>179</v>
      </c>
      <c r="L411" s="56" t="s">
        <v>179</v>
      </c>
      <c r="M411" s="56" t="s">
        <v>179</v>
      </c>
      <c r="N411" s="40"/>
      <c r="O411" s="40"/>
      <c r="P411" s="57"/>
      <c r="Q411" s="57"/>
      <c r="R411" s="40"/>
      <c r="S411" s="40" t="str">
        <f t="array" ref="S411">IF(C411="","",IFERROR(_xlfn.XLOOKUP(C411,Volunteers!D:D,Volunteers!A:A),""))</f>
        <v/>
      </c>
      <c r="T411" s="40"/>
    </row>
    <row r="412">
      <c r="A412" s="52"/>
      <c r="B412" s="28"/>
      <c r="C412" s="28"/>
      <c r="D412" s="28" t="str">
        <f t="array" ref="D412">IF(B412="","",IFERROR(_xlfn.XLOOKUP(B412,'Lists &amp; Settings'!A:A,'Lists &amp; Settings'!E:E),""))</f>
        <v/>
      </c>
      <c r="E412" s="28"/>
      <c r="F412" s="28"/>
      <c r="G412" s="98"/>
      <c r="H412" s="98"/>
      <c r="I412" s="31"/>
      <c r="J412" s="54" t="s">
        <v>179</v>
      </c>
      <c r="K412" s="55" t="s">
        <v>179</v>
      </c>
      <c r="L412" s="56" t="s">
        <v>179</v>
      </c>
      <c r="M412" s="56" t="s">
        <v>179</v>
      </c>
      <c r="N412" s="28"/>
      <c r="O412" s="28"/>
      <c r="P412" s="52"/>
      <c r="Q412" s="52"/>
      <c r="R412" s="28"/>
      <c r="S412" s="28" t="str">
        <f t="array" ref="S412">IF(C412="","",IFERROR(_xlfn.XLOOKUP(C412,Volunteers!D:D,Volunteers!A:A),""))</f>
        <v/>
      </c>
      <c r="T412" s="28"/>
    </row>
    <row r="413">
      <c r="A413" s="57"/>
      <c r="B413" s="40"/>
      <c r="C413" s="40"/>
      <c r="D413" s="40" t="str">
        <f t="array" ref="D413">IF(B413="","",IFERROR(_xlfn.XLOOKUP(B413,'Lists &amp; Settings'!A:A,'Lists &amp; Settings'!E:E),""))</f>
        <v/>
      </c>
      <c r="E413" s="40"/>
      <c r="F413" s="40"/>
      <c r="G413" s="95"/>
      <c r="H413" s="95"/>
      <c r="I413" s="51"/>
      <c r="J413" s="54" t="s">
        <v>179</v>
      </c>
      <c r="K413" s="55" t="s">
        <v>179</v>
      </c>
      <c r="L413" s="56" t="s">
        <v>179</v>
      </c>
      <c r="M413" s="56" t="s">
        <v>179</v>
      </c>
      <c r="N413" s="40"/>
      <c r="O413" s="40"/>
      <c r="P413" s="57"/>
      <c r="Q413" s="57"/>
      <c r="R413" s="40"/>
      <c r="S413" s="40" t="str">
        <f t="array" ref="S413">IF(C413="","",IFERROR(_xlfn.XLOOKUP(C413,Volunteers!D:D,Volunteers!A:A),""))</f>
        <v/>
      </c>
      <c r="T413" s="40"/>
    </row>
    <row r="414">
      <c r="A414" s="52"/>
      <c r="B414" s="28"/>
      <c r="C414" s="28"/>
      <c r="D414" s="28" t="str">
        <f t="array" ref="D414">IF(B414="","",IFERROR(_xlfn.XLOOKUP(B414,'Lists &amp; Settings'!A:A,'Lists &amp; Settings'!E:E),""))</f>
        <v/>
      </c>
      <c r="E414" s="28"/>
      <c r="F414" s="28"/>
      <c r="G414" s="98"/>
      <c r="H414" s="98"/>
      <c r="I414" s="31"/>
      <c r="J414" s="54" t="s">
        <v>179</v>
      </c>
      <c r="K414" s="55" t="s">
        <v>179</v>
      </c>
      <c r="L414" s="56" t="s">
        <v>179</v>
      </c>
      <c r="M414" s="56" t="s">
        <v>179</v>
      </c>
      <c r="N414" s="28"/>
      <c r="O414" s="28"/>
      <c r="P414" s="52"/>
      <c r="Q414" s="52"/>
      <c r="R414" s="28"/>
      <c r="S414" s="28" t="str">
        <f t="array" ref="S414">IF(C414="","",IFERROR(_xlfn.XLOOKUP(C414,Volunteers!D:D,Volunteers!A:A),""))</f>
        <v/>
      </c>
      <c r="T414" s="28"/>
    </row>
    <row r="415">
      <c r="A415" s="57"/>
      <c r="B415" s="40"/>
      <c r="C415" s="40"/>
      <c r="D415" s="40" t="str">
        <f t="array" ref="D415">IF(B415="","",IFERROR(_xlfn.XLOOKUP(B415,'Lists &amp; Settings'!A:A,'Lists &amp; Settings'!E:E),""))</f>
        <v/>
      </c>
      <c r="E415" s="40"/>
      <c r="F415" s="40"/>
      <c r="G415" s="95"/>
      <c r="H415" s="95"/>
      <c r="I415" s="51"/>
      <c r="J415" s="54" t="s">
        <v>179</v>
      </c>
      <c r="K415" s="55" t="s">
        <v>179</v>
      </c>
      <c r="L415" s="56" t="s">
        <v>179</v>
      </c>
      <c r="M415" s="56" t="s">
        <v>179</v>
      </c>
      <c r="N415" s="40"/>
      <c r="O415" s="40"/>
      <c r="P415" s="57"/>
      <c r="Q415" s="57"/>
      <c r="R415" s="40"/>
      <c r="S415" s="40" t="str">
        <f t="array" ref="S415">IF(C415="","",IFERROR(_xlfn.XLOOKUP(C415,Volunteers!D:D,Volunteers!A:A),""))</f>
        <v/>
      </c>
      <c r="T415" s="40"/>
    </row>
    <row r="416">
      <c r="A416" s="52"/>
      <c r="B416" s="28"/>
      <c r="C416" s="28"/>
      <c r="D416" s="28" t="str">
        <f t="array" ref="D416">IF(B416="","",IFERROR(_xlfn.XLOOKUP(B416,'Lists &amp; Settings'!A:A,'Lists &amp; Settings'!E:E),""))</f>
        <v/>
      </c>
      <c r="E416" s="28"/>
      <c r="F416" s="28"/>
      <c r="G416" s="98"/>
      <c r="H416" s="98"/>
      <c r="I416" s="31"/>
      <c r="J416" s="54" t="s">
        <v>179</v>
      </c>
      <c r="K416" s="55" t="s">
        <v>179</v>
      </c>
      <c r="L416" s="56" t="s">
        <v>179</v>
      </c>
      <c r="M416" s="56" t="s">
        <v>179</v>
      </c>
      <c r="N416" s="28"/>
      <c r="O416" s="28"/>
      <c r="P416" s="52"/>
      <c r="Q416" s="52"/>
      <c r="R416" s="28"/>
      <c r="S416" s="28" t="str">
        <f t="array" ref="S416">IF(C416="","",IFERROR(_xlfn.XLOOKUP(C416,Volunteers!D:D,Volunteers!A:A),""))</f>
        <v/>
      </c>
      <c r="T416" s="28"/>
    </row>
    <row r="417">
      <c r="A417" s="57"/>
      <c r="B417" s="40"/>
      <c r="C417" s="40"/>
      <c r="D417" s="40" t="str">
        <f t="array" ref="D417">IF(B417="","",IFERROR(_xlfn.XLOOKUP(B417,'Lists &amp; Settings'!A:A,'Lists &amp; Settings'!E:E),""))</f>
        <v/>
      </c>
      <c r="E417" s="40"/>
      <c r="F417" s="40"/>
      <c r="G417" s="95"/>
      <c r="H417" s="95"/>
      <c r="I417" s="51"/>
      <c r="J417" s="54" t="s">
        <v>179</v>
      </c>
      <c r="K417" s="55" t="s">
        <v>179</v>
      </c>
      <c r="L417" s="56" t="s">
        <v>179</v>
      </c>
      <c r="M417" s="56" t="s">
        <v>179</v>
      </c>
      <c r="N417" s="40"/>
      <c r="O417" s="40"/>
      <c r="P417" s="57"/>
      <c r="Q417" s="57"/>
      <c r="R417" s="40"/>
      <c r="S417" s="40" t="str">
        <f t="array" ref="S417">IF(C417="","",IFERROR(_xlfn.XLOOKUP(C417,Volunteers!D:D,Volunteers!A:A),""))</f>
        <v/>
      </c>
      <c r="T417" s="40"/>
    </row>
    <row r="418">
      <c r="A418" s="52"/>
      <c r="B418" s="28"/>
      <c r="C418" s="28"/>
      <c r="D418" s="28" t="str">
        <f t="array" ref="D418">IF(B418="","",IFERROR(_xlfn.XLOOKUP(B418,'Lists &amp; Settings'!A:A,'Lists &amp; Settings'!E:E),""))</f>
        <v/>
      </c>
      <c r="E418" s="28"/>
      <c r="F418" s="28"/>
      <c r="G418" s="98"/>
      <c r="H418" s="98"/>
      <c r="I418" s="31"/>
      <c r="J418" s="54" t="s">
        <v>179</v>
      </c>
      <c r="K418" s="55" t="s">
        <v>179</v>
      </c>
      <c r="L418" s="56" t="s">
        <v>179</v>
      </c>
      <c r="M418" s="56" t="s">
        <v>179</v>
      </c>
      <c r="N418" s="28"/>
      <c r="O418" s="28"/>
      <c r="P418" s="52"/>
      <c r="Q418" s="52"/>
      <c r="R418" s="28"/>
      <c r="S418" s="28" t="str">
        <f t="array" ref="S418">IF(C418="","",IFERROR(_xlfn.XLOOKUP(C418,Volunteers!D:D,Volunteers!A:A),""))</f>
        <v/>
      </c>
      <c r="T418" s="28"/>
    </row>
    <row r="419">
      <c r="A419" s="57"/>
      <c r="B419" s="40"/>
      <c r="C419" s="40"/>
      <c r="D419" s="40" t="str">
        <f t="array" ref="D419">IF(B419="","",IFERROR(_xlfn.XLOOKUP(B419,'Lists &amp; Settings'!A:A,'Lists &amp; Settings'!E:E),""))</f>
        <v/>
      </c>
      <c r="E419" s="40"/>
      <c r="F419" s="40"/>
      <c r="G419" s="95"/>
      <c r="H419" s="95"/>
      <c r="I419" s="51"/>
      <c r="J419" s="54" t="s">
        <v>179</v>
      </c>
      <c r="K419" s="55" t="s">
        <v>179</v>
      </c>
      <c r="L419" s="56" t="s">
        <v>179</v>
      </c>
      <c r="M419" s="56" t="s">
        <v>179</v>
      </c>
      <c r="N419" s="40"/>
      <c r="O419" s="40"/>
      <c r="P419" s="57"/>
      <c r="Q419" s="57"/>
      <c r="R419" s="40"/>
      <c r="S419" s="40" t="str">
        <f t="array" ref="S419">IF(C419="","",IFERROR(_xlfn.XLOOKUP(C419,Volunteers!D:D,Volunteers!A:A),""))</f>
        <v/>
      </c>
      <c r="T419" s="40"/>
    </row>
    <row r="420">
      <c r="A420" s="52"/>
      <c r="B420" s="28"/>
      <c r="C420" s="28"/>
      <c r="D420" s="28" t="str">
        <f t="array" ref="D420">IF(B420="","",IFERROR(_xlfn.XLOOKUP(B420,'Lists &amp; Settings'!A:A,'Lists &amp; Settings'!E:E),""))</f>
        <v/>
      </c>
      <c r="E420" s="28"/>
      <c r="F420" s="28"/>
      <c r="G420" s="98"/>
      <c r="H420" s="98"/>
      <c r="I420" s="31"/>
      <c r="J420" s="54" t="s">
        <v>179</v>
      </c>
      <c r="K420" s="55" t="s">
        <v>179</v>
      </c>
      <c r="L420" s="56" t="s">
        <v>179</v>
      </c>
      <c r="M420" s="56" t="s">
        <v>179</v>
      </c>
      <c r="N420" s="28"/>
      <c r="O420" s="28"/>
      <c r="P420" s="52"/>
      <c r="Q420" s="52"/>
      <c r="R420" s="28"/>
      <c r="S420" s="28" t="str">
        <f t="array" ref="S420">IF(C420="","",IFERROR(_xlfn.XLOOKUP(C420,Volunteers!D:D,Volunteers!A:A),""))</f>
        <v/>
      </c>
      <c r="T420" s="28"/>
    </row>
    <row r="421">
      <c r="A421" s="57"/>
      <c r="B421" s="40"/>
      <c r="C421" s="40"/>
      <c r="D421" s="40" t="str">
        <f t="array" ref="D421">IF(B421="","",IFERROR(_xlfn.XLOOKUP(B421,'Lists &amp; Settings'!A:A,'Lists &amp; Settings'!E:E),""))</f>
        <v/>
      </c>
      <c r="E421" s="40"/>
      <c r="F421" s="40"/>
      <c r="G421" s="95"/>
      <c r="H421" s="95"/>
      <c r="I421" s="51"/>
      <c r="J421" s="54" t="s">
        <v>179</v>
      </c>
      <c r="K421" s="55" t="s">
        <v>179</v>
      </c>
      <c r="L421" s="56" t="s">
        <v>179</v>
      </c>
      <c r="M421" s="56" t="s">
        <v>179</v>
      </c>
      <c r="N421" s="40"/>
      <c r="O421" s="40"/>
      <c r="P421" s="57"/>
      <c r="Q421" s="57"/>
      <c r="R421" s="40"/>
      <c r="S421" s="40" t="str">
        <f t="array" ref="S421">IF(C421="","",IFERROR(_xlfn.XLOOKUP(C421,Volunteers!D:D,Volunteers!A:A),""))</f>
        <v/>
      </c>
      <c r="T421" s="40"/>
    </row>
    <row r="422">
      <c r="A422" s="52"/>
      <c r="B422" s="28"/>
      <c r="C422" s="28"/>
      <c r="D422" s="28" t="str">
        <f t="array" ref="D422">IF(B422="","",IFERROR(_xlfn.XLOOKUP(B422,'Lists &amp; Settings'!A:A,'Lists &amp; Settings'!E:E),""))</f>
        <v/>
      </c>
      <c r="E422" s="28"/>
      <c r="F422" s="28"/>
      <c r="G422" s="98"/>
      <c r="H422" s="98"/>
      <c r="I422" s="31"/>
      <c r="J422" s="54" t="s">
        <v>179</v>
      </c>
      <c r="K422" s="55" t="s">
        <v>179</v>
      </c>
      <c r="L422" s="56" t="s">
        <v>179</v>
      </c>
      <c r="M422" s="56" t="s">
        <v>179</v>
      </c>
      <c r="N422" s="28"/>
      <c r="O422" s="28"/>
      <c r="P422" s="52"/>
      <c r="Q422" s="52"/>
      <c r="R422" s="28"/>
      <c r="S422" s="28" t="str">
        <f t="array" ref="S422">IF(C422="","",IFERROR(_xlfn.XLOOKUP(C422,Volunteers!D:D,Volunteers!A:A),""))</f>
        <v/>
      </c>
      <c r="T422" s="28"/>
    </row>
    <row r="423">
      <c r="A423" s="57"/>
      <c r="B423" s="40"/>
      <c r="C423" s="40"/>
      <c r="D423" s="40" t="str">
        <f t="array" ref="D423">IF(B423="","",IFERROR(_xlfn.XLOOKUP(B423,'Lists &amp; Settings'!A:A,'Lists &amp; Settings'!E:E),""))</f>
        <v/>
      </c>
      <c r="E423" s="40"/>
      <c r="F423" s="40"/>
      <c r="G423" s="95"/>
      <c r="H423" s="95"/>
      <c r="I423" s="51"/>
      <c r="J423" s="54" t="s">
        <v>179</v>
      </c>
      <c r="K423" s="55" t="s">
        <v>179</v>
      </c>
      <c r="L423" s="56" t="s">
        <v>179</v>
      </c>
      <c r="M423" s="56" t="s">
        <v>179</v>
      </c>
      <c r="N423" s="40"/>
      <c r="O423" s="40"/>
      <c r="P423" s="57"/>
      <c r="Q423" s="57"/>
      <c r="R423" s="40"/>
      <c r="S423" s="40" t="str">
        <f t="array" ref="S423">IF(C423="","",IFERROR(_xlfn.XLOOKUP(C423,Volunteers!D:D,Volunteers!A:A),""))</f>
        <v/>
      </c>
      <c r="T423" s="40"/>
    </row>
    <row r="424">
      <c r="A424" s="52"/>
      <c r="B424" s="28"/>
      <c r="C424" s="28"/>
      <c r="D424" s="28" t="str">
        <f t="array" ref="D424">IF(B424="","",IFERROR(_xlfn.XLOOKUP(B424,'Lists &amp; Settings'!A:A,'Lists &amp; Settings'!E:E),""))</f>
        <v/>
      </c>
      <c r="E424" s="28"/>
      <c r="F424" s="28"/>
      <c r="G424" s="98"/>
      <c r="H424" s="98"/>
      <c r="I424" s="31"/>
      <c r="J424" s="54" t="s">
        <v>179</v>
      </c>
      <c r="K424" s="55" t="s">
        <v>179</v>
      </c>
      <c r="L424" s="56" t="s">
        <v>179</v>
      </c>
      <c r="M424" s="56" t="s">
        <v>179</v>
      </c>
      <c r="N424" s="28"/>
      <c r="O424" s="28"/>
      <c r="P424" s="52"/>
      <c r="Q424" s="52"/>
      <c r="R424" s="28"/>
      <c r="S424" s="28" t="str">
        <f t="array" ref="S424">IF(C424="","",IFERROR(_xlfn.XLOOKUP(C424,Volunteers!D:D,Volunteers!A:A),""))</f>
        <v/>
      </c>
      <c r="T424" s="28"/>
    </row>
    <row r="425">
      <c r="A425" s="57"/>
      <c r="B425" s="40"/>
      <c r="C425" s="40"/>
      <c r="D425" s="40" t="str">
        <f t="array" ref="D425">IF(B425="","",IFERROR(_xlfn.XLOOKUP(B425,'Lists &amp; Settings'!A:A,'Lists &amp; Settings'!E:E),""))</f>
        <v/>
      </c>
      <c r="E425" s="40"/>
      <c r="F425" s="40"/>
      <c r="G425" s="95"/>
      <c r="H425" s="95"/>
      <c r="I425" s="51"/>
      <c r="J425" s="54" t="s">
        <v>179</v>
      </c>
      <c r="K425" s="55" t="s">
        <v>179</v>
      </c>
      <c r="L425" s="56" t="s">
        <v>179</v>
      </c>
      <c r="M425" s="56" t="s">
        <v>179</v>
      </c>
      <c r="N425" s="40"/>
      <c r="O425" s="40"/>
      <c r="P425" s="57"/>
      <c r="Q425" s="57"/>
      <c r="R425" s="40"/>
      <c r="S425" s="40" t="str">
        <f t="array" ref="S425">IF(C425="","",IFERROR(_xlfn.XLOOKUP(C425,Volunteers!D:D,Volunteers!A:A),""))</f>
        <v/>
      </c>
      <c r="T425" s="40"/>
    </row>
    <row r="426">
      <c r="A426" s="52"/>
      <c r="B426" s="28"/>
      <c r="C426" s="28"/>
      <c r="D426" s="28" t="str">
        <f t="array" ref="D426">IF(B426="","",IFERROR(_xlfn.XLOOKUP(B426,'Lists &amp; Settings'!A:A,'Lists &amp; Settings'!E:E),""))</f>
        <v/>
      </c>
      <c r="E426" s="28"/>
      <c r="F426" s="28"/>
      <c r="G426" s="98"/>
      <c r="H426" s="98"/>
      <c r="I426" s="31"/>
      <c r="J426" s="54" t="s">
        <v>179</v>
      </c>
      <c r="K426" s="55" t="s">
        <v>179</v>
      </c>
      <c r="L426" s="56" t="s">
        <v>179</v>
      </c>
      <c r="M426" s="56" t="s">
        <v>179</v>
      </c>
      <c r="N426" s="28"/>
      <c r="O426" s="28"/>
      <c r="P426" s="52"/>
      <c r="Q426" s="52"/>
      <c r="R426" s="28"/>
      <c r="S426" s="28" t="str">
        <f t="array" ref="S426">IF(C426="","",IFERROR(_xlfn.XLOOKUP(C426,Volunteers!D:D,Volunteers!A:A),""))</f>
        <v/>
      </c>
      <c r="T426" s="28"/>
    </row>
    <row r="427">
      <c r="A427" s="57"/>
      <c r="B427" s="40"/>
      <c r="C427" s="40"/>
      <c r="D427" s="40" t="str">
        <f t="array" ref="D427">IF(B427="","",IFERROR(_xlfn.XLOOKUP(B427,'Lists &amp; Settings'!A:A,'Lists &amp; Settings'!E:E),""))</f>
        <v/>
      </c>
      <c r="E427" s="40"/>
      <c r="F427" s="40"/>
      <c r="G427" s="95"/>
      <c r="H427" s="95"/>
      <c r="I427" s="51"/>
      <c r="J427" s="54" t="s">
        <v>179</v>
      </c>
      <c r="K427" s="55" t="s">
        <v>179</v>
      </c>
      <c r="L427" s="56" t="s">
        <v>179</v>
      </c>
      <c r="M427" s="56" t="s">
        <v>179</v>
      </c>
      <c r="N427" s="40"/>
      <c r="O427" s="40"/>
      <c r="P427" s="57"/>
      <c r="Q427" s="57"/>
      <c r="R427" s="40"/>
      <c r="S427" s="40" t="str">
        <f t="array" ref="S427">IF(C427="","",IFERROR(_xlfn.XLOOKUP(C427,Volunteers!D:D,Volunteers!A:A),""))</f>
        <v/>
      </c>
      <c r="T427" s="40"/>
    </row>
    <row r="428">
      <c r="A428" s="52"/>
      <c r="B428" s="28"/>
      <c r="C428" s="28"/>
      <c r="D428" s="28" t="str">
        <f t="array" ref="D428">IF(B428="","",IFERROR(_xlfn.XLOOKUP(B428,'Lists &amp; Settings'!A:A,'Lists &amp; Settings'!E:E),""))</f>
        <v/>
      </c>
      <c r="E428" s="28"/>
      <c r="F428" s="28"/>
      <c r="G428" s="98"/>
      <c r="H428" s="98"/>
      <c r="I428" s="31"/>
      <c r="J428" s="54" t="s">
        <v>179</v>
      </c>
      <c r="K428" s="55" t="s">
        <v>179</v>
      </c>
      <c r="L428" s="56" t="s">
        <v>179</v>
      </c>
      <c r="M428" s="56" t="s">
        <v>179</v>
      </c>
      <c r="N428" s="28"/>
      <c r="O428" s="28"/>
      <c r="P428" s="52"/>
      <c r="Q428" s="52"/>
      <c r="R428" s="28"/>
      <c r="S428" s="28" t="str">
        <f t="array" ref="S428">IF(C428="","",IFERROR(_xlfn.XLOOKUP(C428,Volunteers!D:D,Volunteers!A:A),""))</f>
        <v/>
      </c>
      <c r="T428" s="28"/>
    </row>
    <row r="429">
      <c r="A429" s="57"/>
      <c r="B429" s="40"/>
      <c r="C429" s="40"/>
      <c r="D429" s="40" t="str">
        <f t="array" ref="D429">IF(B429="","",IFERROR(_xlfn.XLOOKUP(B429,'Lists &amp; Settings'!A:A,'Lists &amp; Settings'!E:E),""))</f>
        <v/>
      </c>
      <c r="E429" s="40"/>
      <c r="F429" s="40"/>
      <c r="G429" s="95"/>
      <c r="H429" s="95"/>
      <c r="I429" s="51"/>
      <c r="J429" s="54" t="s">
        <v>179</v>
      </c>
      <c r="K429" s="55" t="s">
        <v>179</v>
      </c>
      <c r="L429" s="56" t="s">
        <v>179</v>
      </c>
      <c r="M429" s="56" t="s">
        <v>179</v>
      </c>
      <c r="N429" s="40"/>
      <c r="O429" s="40"/>
      <c r="P429" s="57"/>
      <c r="Q429" s="57"/>
      <c r="R429" s="40"/>
      <c r="S429" s="40" t="str">
        <f t="array" ref="S429">IF(C429="","",IFERROR(_xlfn.XLOOKUP(C429,Volunteers!D:D,Volunteers!A:A),""))</f>
        <v/>
      </c>
      <c r="T429" s="40"/>
    </row>
    <row r="430">
      <c r="A430" s="52"/>
      <c r="B430" s="28"/>
      <c r="C430" s="28"/>
      <c r="D430" s="28" t="str">
        <f t="array" ref="D430">IF(B430="","",IFERROR(_xlfn.XLOOKUP(B430,'Lists &amp; Settings'!A:A,'Lists &amp; Settings'!E:E),""))</f>
        <v/>
      </c>
      <c r="E430" s="28"/>
      <c r="F430" s="28"/>
      <c r="G430" s="98"/>
      <c r="H430" s="98"/>
      <c r="I430" s="31"/>
      <c r="J430" s="54" t="s">
        <v>179</v>
      </c>
      <c r="K430" s="55" t="s">
        <v>179</v>
      </c>
      <c r="L430" s="56" t="s">
        <v>179</v>
      </c>
      <c r="M430" s="56" t="s">
        <v>179</v>
      </c>
      <c r="N430" s="28"/>
      <c r="O430" s="28"/>
      <c r="P430" s="52"/>
      <c r="Q430" s="52"/>
      <c r="R430" s="28"/>
      <c r="S430" s="28" t="str">
        <f t="array" ref="S430">IF(C430="","",IFERROR(_xlfn.XLOOKUP(C430,Volunteers!D:D,Volunteers!A:A),""))</f>
        <v/>
      </c>
      <c r="T430" s="28"/>
    </row>
    <row r="431">
      <c r="A431" s="57"/>
      <c r="B431" s="40"/>
      <c r="C431" s="40"/>
      <c r="D431" s="40" t="str">
        <f t="array" ref="D431">IF(B431="","",IFERROR(_xlfn.XLOOKUP(B431,'Lists &amp; Settings'!A:A,'Lists &amp; Settings'!E:E),""))</f>
        <v/>
      </c>
      <c r="E431" s="40"/>
      <c r="F431" s="40"/>
      <c r="G431" s="95"/>
      <c r="H431" s="95"/>
      <c r="I431" s="51"/>
      <c r="J431" s="54" t="s">
        <v>179</v>
      </c>
      <c r="K431" s="55" t="s">
        <v>179</v>
      </c>
      <c r="L431" s="56" t="s">
        <v>179</v>
      </c>
      <c r="M431" s="56" t="s">
        <v>179</v>
      </c>
      <c r="N431" s="40"/>
      <c r="O431" s="40"/>
      <c r="P431" s="57"/>
      <c r="Q431" s="57"/>
      <c r="R431" s="40"/>
      <c r="S431" s="40" t="str">
        <f t="array" ref="S431">IF(C431="","",IFERROR(_xlfn.XLOOKUP(C431,Volunteers!D:D,Volunteers!A:A),""))</f>
        <v/>
      </c>
      <c r="T431" s="40"/>
    </row>
    <row r="432">
      <c r="A432" s="52"/>
      <c r="B432" s="28"/>
      <c r="C432" s="28"/>
      <c r="D432" s="28" t="str">
        <f t="array" ref="D432">IF(B432="","",IFERROR(_xlfn.XLOOKUP(B432,'Lists &amp; Settings'!A:A,'Lists &amp; Settings'!E:E),""))</f>
        <v/>
      </c>
      <c r="E432" s="28"/>
      <c r="F432" s="28"/>
      <c r="G432" s="98"/>
      <c r="H432" s="98"/>
      <c r="I432" s="31"/>
      <c r="J432" s="54" t="s">
        <v>179</v>
      </c>
      <c r="K432" s="55" t="s">
        <v>179</v>
      </c>
      <c r="L432" s="56" t="s">
        <v>179</v>
      </c>
      <c r="M432" s="56" t="s">
        <v>179</v>
      </c>
      <c r="N432" s="28"/>
      <c r="O432" s="28"/>
      <c r="P432" s="52"/>
      <c r="Q432" s="52"/>
      <c r="R432" s="28"/>
      <c r="S432" s="28" t="str">
        <f t="array" ref="S432">IF(C432="","",IFERROR(_xlfn.XLOOKUP(C432,Volunteers!D:D,Volunteers!A:A),""))</f>
        <v/>
      </c>
      <c r="T432" s="28"/>
    </row>
    <row r="433">
      <c r="A433" s="57"/>
      <c r="B433" s="40"/>
      <c r="C433" s="40"/>
      <c r="D433" s="40" t="str">
        <f t="array" ref="D433">IF(B433="","",IFERROR(_xlfn.XLOOKUP(B433,'Lists &amp; Settings'!A:A,'Lists &amp; Settings'!E:E),""))</f>
        <v/>
      </c>
      <c r="E433" s="40"/>
      <c r="F433" s="40"/>
      <c r="G433" s="95"/>
      <c r="H433" s="95"/>
      <c r="I433" s="51"/>
      <c r="J433" s="54" t="s">
        <v>179</v>
      </c>
      <c r="K433" s="55" t="s">
        <v>179</v>
      </c>
      <c r="L433" s="56" t="s">
        <v>179</v>
      </c>
      <c r="M433" s="56" t="s">
        <v>179</v>
      </c>
      <c r="N433" s="40"/>
      <c r="O433" s="40"/>
      <c r="P433" s="57"/>
      <c r="Q433" s="57"/>
      <c r="R433" s="40"/>
      <c r="S433" s="40" t="str">
        <f t="array" ref="S433">IF(C433="","",IFERROR(_xlfn.XLOOKUP(C433,Volunteers!D:D,Volunteers!A:A),""))</f>
        <v/>
      </c>
      <c r="T433" s="40"/>
    </row>
    <row r="434">
      <c r="A434" s="52"/>
      <c r="B434" s="28"/>
      <c r="C434" s="28"/>
      <c r="D434" s="28" t="str">
        <f t="array" ref="D434">IF(B434="","",IFERROR(_xlfn.XLOOKUP(B434,'Lists &amp; Settings'!A:A,'Lists &amp; Settings'!E:E),""))</f>
        <v/>
      </c>
      <c r="E434" s="28"/>
      <c r="F434" s="28"/>
      <c r="G434" s="98"/>
      <c r="H434" s="98"/>
      <c r="I434" s="31"/>
      <c r="J434" s="54" t="s">
        <v>179</v>
      </c>
      <c r="K434" s="55" t="s">
        <v>179</v>
      </c>
      <c r="L434" s="56" t="s">
        <v>179</v>
      </c>
      <c r="M434" s="56" t="s">
        <v>179</v>
      </c>
      <c r="N434" s="28"/>
      <c r="O434" s="28"/>
      <c r="P434" s="52"/>
      <c r="Q434" s="52"/>
      <c r="R434" s="28"/>
      <c r="S434" s="28" t="str">
        <f t="array" ref="S434">IF(C434="","",IFERROR(_xlfn.XLOOKUP(C434,Volunteers!D:D,Volunteers!A:A),""))</f>
        <v/>
      </c>
      <c r="T434" s="28"/>
    </row>
    <row r="435">
      <c r="A435" s="57"/>
      <c r="B435" s="40"/>
      <c r="C435" s="40"/>
      <c r="D435" s="40" t="str">
        <f t="array" ref="D435">IF(B435="","",IFERROR(_xlfn.XLOOKUP(B435,'Lists &amp; Settings'!A:A,'Lists &amp; Settings'!E:E),""))</f>
        <v/>
      </c>
      <c r="E435" s="40"/>
      <c r="F435" s="40"/>
      <c r="G435" s="95"/>
      <c r="H435" s="95"/>
      <c r="I435" s="51"/>
      <c r="J435" s="54" t="s">
        <v>179</v>
      </c>
      <c r="K435" s="55" t="s">
        <v>179</v>
      </c>
      <c r="L435" s="56" t="s">
        <v>179</v>
      </c>
      <c r="M435" s="56" t="s">
        <v>179</v>
      </c>
      <c r="N435" s="40"/>
      <c r="O435" s="40"/>
      <c r="P435" s="57"/>
      <c r="Q435" s="57"/>
      <c r="R435" s="40"/>
      <c r="S435" s="40" t="str">
        <f t="array" ref="S435">IF(C435="","",IFERROR(_xlfn.XLOOKUP(C435,Volunteers!D:D,Volunteers!A:A),""))</f>
        <v/>
      </c>
      <c r="T435" s="40"/>
    </row>
    <row r="436">
      <c r="A436" s="52"/>
      <c r="B436" s="28"/>
      <c r="C436" s="28"/>
      <c r="D436" s="28" t="str">
        <f t="array" ref="D436">IF(B436="","",IFERROR(_xlfn.XLOOKUP(B436,'Lists &amp; Settings'!A:A,'Lists &amp; Settings'!E:E),""))</f>
        <v/>
      </c>
      <c r="E436" s="28"/>
      <c r="F436" s="28"/>
      <c r="G436" s="98"/>
      <c r="H436" s="98"/>
      <c r="I436" s="31"/>
      <c r="J436" s="54" t="s">
        <v>179</v>
      </c>
      <c r="K436" s="55" t="s">
        <v>179</v>
      </c>
      <c r="L436" s="56" t="s">
        <v>179</v>
      </c>
      <c r="M436" s="56" t="s">
        <v>179</v>
      </c>
      <c r="N436" s="28"/>
      <c r="O436" s="28"/>
      <c r="P436" s="52"/>
      <c r="Q436" s="52"/>
      <c r="R436" s="28"/>
      <c r="S436" s="28" t="str">
        <f t="array" ref="S436">IF(C436="","",IFERROR(_xlfn.XLOOKUP(C436,Volunteers!D:D,Volunteers!A:A),""))</f>
        <v/>
      </c>
      <c r="T436" s="28"/>
    </row>
    <row r="437">
      <c r="A437" s="57"/>
      <c r="B437" s="40"/>
      <c r="C437" s="40"/>
      <c r="D437" s="40" t="str">
        <f t="array" ref="D437">IF(B437="","",IFERROR(_xlfn.XLOOKUP(B437,'Lists &amp; Settings'!A:A,'Lists &amp; Settings'!E:E),""))</f>
        <v/>
      </c>
      <c r="E437" s="40"/>
      <c r="F437" s="40"/>
      <c r="G437" s="95"/>
      <c r="H437" s="95"/>
      <c r="I437" s="51"/>
      <c r="J437" s="54" t="s">
        <v>179</v>
      </c>
      <c r="K437" s="55" t="s">
        <v>179</v>
      </c>
      <c r="L437" s="56" t="s">
        <v>179</v>
      </c>
      <c r="M437" s="56" t="s">
        <v>179</v>
      </c>
      <c r="N437" s="40"/>
      <c r="O437" s="40"/>
      <c r="P437" s="57"/>
      <c r="Q437" s="57"/>
      <c r="R437" s="40"/>
      <c r="S437" s="40" t="str">
        <f t="array" ref="S437">IF(C437="","",IFERROR(_xlfn.XLOOKUP(C437,Volunteers!D:D,Volunteers!A:A),""))</f>
        <v/>
      </c>
      <c r="T437" s="40"/>
    </row>
    <row r="438">
      <c r="A438" s="52"/>
      <c r="B438" s="28"/>
      <c r="C438" s="28"/>
      <c r="D438" s="28" t="str">
        <f t="array" ref="D438">IF(B438="","",IFERROR(_xlfn.XLOOKUP(B438,'Lists &amp; Settings'!A:A,'Lists &amp; Settings'!E:E),""))</f>
        <v/>
      </c>
      <c r="E438" s="28"/>
      <c r="F438" s="28"/>
      <c r="G438" s="98"/>
      <c r="H438" s="98"/>
      <c r="I438" s="31"/>
      <c r="J438" s="54" t="s">
        <v>179</v>
      </c>
      <c r="K438" s="55" t="s">
        <v>179</v>
      </c>
      <c r="L438" s="56" t="s">
        <v>179</v>
      </c>
      <c r="M438" s="56" t="s">
        <v>179</v>
      </c>
      <c r="N438" s="28"/>
      <c r="O438" s="28"/>
      <c r="P438" s="52"/>
      <c r="Q438" s="52"/>
      <c r="R438" s="28"/>
      <c r="S438" s="28" t="str">
        <f t="array" ref="S438">IF(C438="","",IFERROR(_xlfn.XLOOKUP(C438,Volunteers!D:D,Volunteers!A:A),""))</f>
        <v/>
      </c>
      <c r="T438" s="28"/>
    </row>
    <row r="439">
      <c r="A439" s="57"/>
      <c r="B439" s="40"/>
      <c r="C439" s="40"/>
      <c r="D439" s="40" t="str">
        <f t="array" ref="D439">IF(B439="","",IFERROR(_xlfn.XLOOKUP(B439,'Lists &amp; Settings'!A:A,'Lists &amp; Settings'!E:E),""))</f>
        <v/>
      </c>
      <c r="E439" s="40"/>
      <c r="F439" s="40"/>
      <c r="G439" s="95"/>
      <c r="H439" s="95"/>
      <c r="I439" s="51"/>
      <c r="J439" s="54" t="s">
        <v>179</v>
      </c>
      <c r="K439" s="55" t="s">
        <v>179</v>
      </c>
      <c r="L439" s="56" t="s">
        <v>179</v>
      </c>
      <c r="M439" s="56" t="s">
        <v>179</v>
      </c>
      <c r="N439" s="40"/>
      <c r="O439" s="40"/>
      <c r="P439" s="57"/>
      <c r="Q439" s="57"/>
      <c r="R439" s="40"/>
      <c r="S439" s="40" t="str">
        <f t="array" ref="S439">IF(C439="","",IFERROR(_xlfn.XLOOKUP(C439,Volunteers!D:D,Volunteers!A:A),""))</f>
        <v/>
      </c>
      <c r="T439" s="40"/>
    </row>
    <row r="440">
      <c r="A440" s="52"/>
      <c r="B440" s="28"/>
      <c r="C440" s="28"/>
      <c r="D440" s="28" t="str">
        <f t="array" ref="D440">IF(B440="","",IFERROR(_xlfn.XLOOKUP(B440,'Lists &amp; Settings'!A:A,'Lists &amp; Settings'!E:E),""))</f>
        <v/>
      </c>
      <c r="E440" s="28"/>
      <c r="F440" s="28"/>
      <c r="G440" s="98"/>
      <c r="H440" s="98"/>
      <c r="I440" s="31"/>
      <c r="J440" s="54" t="s">
        <v>179</v>
      </c>
      <c r="K440" s="55" t="s">
        <v>179</v>
      </c>
      <c r="L440" s="56" t="s">
        <v>179</v>
      </c>
      <c r="M440" s="56" t="s">
        <v>179</v>
      </c>
      <c r="N440" s="28"/>
      <c r="O440" s="28"/>
      <c r="P440" s="52"/>
      <c r="Q440" s="52"/>
      <c r="R440" s="28"/>
      <c r="S440" s="28" t="str">
        <f t="array" ref="S440">IF(C440="","",IFERROR(_xlfn.XLOOKUP(C440,Volunteers!D:D,Volunteers!A:A),""))</f>
        <v/>
      </c>
      <c r="T440" s="28"/>
    </row>
    <row r="441">
      <c r="A441" s="57"/>
      <c r="B441" s="40"/>
      <c r="C441" s="40"/>
      <c r="D441" s="40" t="str">
        <f t="array" ref="D441">IF(B441="","",IFERROR(_xlfn.XLOOKUP(B441,'Lists &amp; Settings'!A:A,'Lists &amp; Settings'!E:E),""))</f>
        <v/>
      </c>
      <c r="E441" s="40"/>
      <c r="F441" s="40"/>
      <c r="G441" s="95"/>
      <c r="H441" s="95"/>
      <c r="I441" s="51"/>
      <c r="J441" s="54" t="s">
        <v>179</v>
      </c>
      <c r="K441" s="55" t="s">
        <v>179</v>
      </c>
      <c r="L441" s="56" t="s">
        <v>179</v>
      </c>
      <c r="M441" s="56" t="s">
        <v>179</v>
      </c>
      <c r="N441" s="40"/>
      <c r="O441" s="40"/>
      <c r="P441" s="57"/>
      <c r="Q441" s="57"/>
      <c r="R441" s="40"/>
      <c r="S441" s="40" t="str">
        <f t="array" ref="S441">IF(C441="","",IFERROR(_xlfn.XLOOKUP(C441,Volunteers!D:D,Volunteers!A:A),""))</f>
        <v/>
      </c>
      <c r="T441" s="40"/>
    </row>
    <row r="442">
      <c r="A442" s="52"/>
      <c r="B442" s="28"/>
      <c r="C442" s="28"/>
      <c r="D442" s="28" t="str">
        <f t="array" ref="D442">IF(B442="","",IFERROR(_xlfn.XLOOKUP(B442,'Lists &amp; Settings'!A:A,'Lists &amp; Settings'!E:E),""))</f>
        <v/>
      </c>
      <c r="E442" s="28"/>
      <c r="F442" s="28"/>
      <c r="G442" s="98"/>
      <c r="H442" s="98"/>
      <c r="I442" s="31"/>
      <c r="J442" s="54" t="s">
        <v>179</v>
      </c>
      <c r="K442" s="55" t="s">
        <v>179</v>
      </c>
      <c r="L442" s="56" t="s">
        <v>179</v>
      </c>
      <c r="M442" s="56" t="s">
        <v>179</v>
      </c>
      <c r="N442" s="28"/>
      <c r="O442" s="28"/>
      <c r="P442" s="52"/>
      <c r="Q442" s="52"/>
      <c r="R442" s="28"/>
      <c r="S442" s="28" t="str">
        <f t="array" ref="S442">IF(C442="","",IFERROR(_xlfn.XLOOKUP(C442,Volunteers!D:D,Volunteers!A:A),""))</f>
        <v/>
      </c>
      <c r="T442" s="28"/>
    </row>
    <row r="443">
      <c r="A443" s="57"/>
      <c r="B443" s="40"/>
      <c r="C443" s="40"/>
      <c r="D443" s="40" t="str">
        <f t="array" ref="D443">IF(B443="","",IFERROR(_xlfn.XLOOKUP(B443,'Lists &amp; Settings'!A:A,'Lists &amp; Settings'!E:E),""))</f>
        <v/>
      </c>
      <c r="E443" s="40"/>
      <c r="F443" s="40"/>
      <c r="G443" s="95"/>
      <c r="H443" s="95"/>
      <c r="I443" s="51"/>
      <c r="J443" s="54" t="s">
        <v>179</v>
      </c>
      <c r="K443" s="55" t="s">
        <v>179</v>
      </c>
      <c r="L443" s="56" t="s">
        <v>179</v>
      </c>
      <c r="M443" s="56" t="s">
        <v>179</v>
      </c>
      <c r="N443" s="40"/>
      <c r="O443" s="40"/>
      <c r="P443" s="57"/>
      <c r="Q443" s="57"/>
      <c r="R443" s="40"/>
      <c r="S443" s="40" t="str">
        <f t="array" ref="S443">IF(C443="","",IFERROR(_xlfn.XLOOKUP(C443,Volunteers!D:D,Volunteers!A:A),""))</f>
        <v/>
      </c>
      <c r="T443" s="40"/>
    </row>
    <row r="444">
      <c r="A444" s="52"/>
      <c r="B444" s="28"/>
      <c r="C444" s="28"/>
      <c r="D444" s="28" t="str">
        <f t="array" ref="D444">IF(B444="","",IFERROR(_xlfn.XLOOKUP(B444,'Lists &amp; Settings'!A:A,'Lists &amp; Settings'!E:E),""))</f>
        <v/>
      </c>
      <c r="E444" s="28"/>
      <c r="F444" s="28"/>
      <c r="G444" s="98"/>
      <c r="H444" s="98"/>
      <c r="I444" s="31"/>
      <c r="J444" s="54" t="s">
        <v>179</v>
      </c>
      <c r="K444" s="55" t="s">
        <v>179</v>
      </c>
      <c r="L444" s="56" t="s">
        <v>179</v>
      </c>
      <c r="M444" s="56" t="s">
        <v>179</v>
      </c>
      <c r="N444" s="28"/>
      <c r="O444" s="28"/>
      <c r="P444" s="52"/>
      <c r="Q444" s="52"/>
      <c r="R444" s="28"/>
      <c r="S444" s="28" t="str">
        <f t="array" ref="S444">IF(C444="","",IFERROR(_xlfn.XLOOKUP(C444,Volunteers!D:D,Volunteers!A:A),""))</f>
        <v/>
      </c>
      <c r="T444" s="28"/>
    </row>
    <row r="445">
      <c r="A445" s="57"/>
      <c r="B445" s="40"/>
      <c r="C445" s="40"/>
      <c r="D445" s="40" t="str">
        <f t="array" ref="D445">IF(B445="","",IFERROR(_xlfn.XLOOKUP(B445,'Lists &amp; Settings'!A:A,'Lists &amp; Settings'!E:E),""))</f>
        <v/>
      </c>
      <c r="E445" s="40"/>
      <c r="F445" s="40"/>
      <c r="G445" s="95"/>
      <c r="H445" s="95"/>
      <c r="I445" s="51"/>
      <c r="J445" s="54" t="s">
        <v>179</v>
      </c>
      <c r="K445" s="55" t="s">
        <v>179</v>
      </c>
      <c r="L445" s="56" t="s">
        <v>179</v>
      </c>
      <c r="M445" s="56" t="s">
        <v>179</v>
      </c>
      <c r="N445" s="40"/>
      <c r="O445" s="40"/>
      <c r="P445" s="57"/>
      <c r="Q445" s="57"/>
      <c r="R445" s="40"/>
      <c r="S445" s="40" t="str">
        <f t="array" ref="S445">IF(C445="","",IFERROR(_xlfn.XLOOKUP(C445,Volunteers!D:D,Volunteers!A:A),""))</f>
        <v/>
      </c>
      <c r="T445" s="40"/>
    </row>
    <row r="446">
      <c r="A446" s="52"/>
      <c r="B446" s="28"/>
      <c r="C446" s="28"/>
      <c r="D446" s="28" t="str">
        <f t="array" ref="D446">IF(B446="","",IFERROR(_xlfn.XLOOKUP(B446,'Lists &amp; Settings'!A:A,'Lists &amp; Settings'!E:E),""))</f>
        <v/>
      </c>
      <c r="E446" s="28"/>
      <c r="F446" s="28"/>
      <c r="G446" s="98"/>
      <c r="H446" s="98"/>
      <c r="I446" s="31"/>
      <c r="J446" s="54" t="s">
        <v>179</v>
      </c>
      <c r="K446" s="55" t="s">
        <v>179</v>
      </c>
      <c r="L446" s="56" t="s">
        <v>179</v>
      </c>
      <c r="M446" s="56" t="s">
        <v>179</v>
      </c>
      <c r="N446" s="28"/>
      <c r="O446" s="28"/>
      <c r="P446" s="52"/>
      <c r="Q446" s="52"/>
      <c r="R446" s="28"/>
      <c r="S446" s="28" t="str">
        <f t="array" ref="S446">IF(C446="","",IFERROR(_xlfn.XLOOKUP(C446,Volunteers!D:D,Volunteers!A:A),""))</f>
        <v/>
      </c>
      <c r="T446" s="28"/>
    </row>
    <row r="447">
      <c r="A447" s="57"/>
      <c r="B447" s="40"/>
      <c r="C447" s="40"/>
      <c r="D447" s="40" t="str">
        <f t="array" ref="D447">IF(B447="","",IFERROR(_xlfn.XLOOKUP(B447,'Lists &amp; Settings'!A:A,'Lists &amp; Settings'!E:E),""))</f>
        <v/>
      </c>
      <c r="E447" s="40"/>
      <c r="F447" s="40"/>
      <c r="G447" s="95"/>
      <c r="H447" s="95"/>
      <c r="I447" s="51"/>
      <c r="J447" s="54" t="s">
        <v>179</v>
      </c>
      <c r="K447" s="55" t="s">
        <v>179</v>
      </c>
      <c r="L447" s="56" t="s">
        <v>179</v>
      </c>
      <c r="M447" s="56" t="s">
        <v>179</v>
      </c>
      <c r="N447" s="40"/>
      <c r="O447" s="40"/>
      <c r="P447" s="57"/>
      <c r="Q447" s="57"/>
      <c r="R447" s="40"/>
      <c r="S447" s="40" t="str">
        <f t="array" ref="S447">IF(C447="","",IFERROR(_xlfn.XLOOKUP(C447,Volunteers!D:D,Volunteers!A:A),""))</f>
        <v/>
      </c>
      <c r="T447" s="40"/>
    </row>
    <row r="448">
      <c r="A448" s="52"/>
      <c r="B448" s="28"/>
      <c r="C448" s="28"/>
      <c r="D448" s="28" t="str">
        <f t="array" ref="D448">IF(B448="","",IFERROR(_xlfn.XLOOKUP(B448,'Lists &amp; Settings'!A:A,'Lists &amp; Settings'!E:E),""))</f>
        <v/>
      </c>
      <c r="E448" s="28"/>
      <c r="F448" s="28"/>
      <c r="G448" s="98"/>
      <c r="H448" s="98"/>
      <c r="I448" s="31"/>
      <c r="J448" s="54" t="s">
        <v>179</v>
      </c>
      <c r="K448" s="55" t="s">
        <v>179</v>
      </c>
      <c r="L448" s="56" t="s">
        <v>179</v>
      </c>
      <c r="M448" s="56" t="s">
        <v>179</v>
      </c>
      <c r="N448" s="28"/>
      <c r="O448" s="28"/>
      <c r="P448" s="52"/>
      <c r="Q448" s="52"/>
      <c r="R448" s="28"/>
      <c r="S448" s="28" t="str">
        <f t="array" ref="S448">IF(C448="","",IFERROR(_xlfn.XLOOKUP(C448,Volunteers!D:D,Volunteers!A:A),""))</f>
        <v/>
      </c>
      <c r="T448" s="28"/>
    </row>
    <row r="449">
      <c r="A449" s="57"/>
      <c r="B449" s="40"/>
      <c r="C449" s="40"/>
      <c r="D449" s="40" t="str">
        <f t="array" ref="D449">IF(B449="","",IFERROR(_xlfn.XLOOKUP(B449,'Lists &amp; Settings'!A:A,'Lists &amp; Settings'!E:E),""))</f>
        <v/>
      </c>
      <c r="E449" s="40"/>
      <c r="F449" s="40"/>
      <c r="G449" s="95"/>
      <c r="H449" s="95"/>
      <c r="I449" s="51"/>
      <c r="J449" s="54" t="s">
        <v>179</v>
      </c>
      <c r="K449" s="55" t="s">
        <v>179</v>
      </c>
      <c r="L449" s="56" t="s">
        <v>179</v>
      </c>
      <c r="M449" s="56" t="s">
        <v>179</v>
      </c>
      <c r="N449" s="40"/>
      <c r="O449" s="40"/>
      <c r="P449" s="57"/>
      <c r="Q449" s="57"/>
      <c r="R449" s="40"/>
      <c r="S449" s="40" t="str">
        <f t="array" ref="S449">IF(C449="","",IFERROR(_xlfn.XLOOKUP(C449,Volunteers!D:D,Volunteers!A:A),""))</f>
        <v/>
      </c>
      <c r="T449" s="40"/>
    </row>
    <row r="450">
      <c r="A450" s="52"/>
      <c r="B450" s="28"/>
      <c r="C450" s="28"/>
      <c r="D450" s="28" t="str">
        <f t="array" ref="D450">IF(B450="","",IFERROR(_xlfn.XLOOKUP(B450,'Lists &amp; Settings'!A:A,'Lists &amp; Settings'!E:E),""))</f>
        <v/>
      </c>
      <c r="E450" s="28"/>
      <c r="F450" s="28"/>
      <c r="G450" s="98"/>
      <c r="H450" s="98"/>
      <c r="I450" s="31"/>
      <c r="J450" s="54" t="s">
        <v>179</v>
      </c>
      <c r="K450" s="55" t="s">
        <v>179</v>
      </c>
      <c r="L450" s="56" t="s">
        <v>179</v>
      </c>
      <c r="M450" s="56" t="s">
        <v>179</v>
      </c>
      <c r="N450" s="28"/>
      <c r="O450" s="28"/>
      <c r="P450" s="52"/>
      <c r="Q450" s="52"/>
      <c r="R450" s="28"/>
      <c r="S450" s="28" t="str">
        <f t="array" ref="S450">IF(C450="","",IFERROR(_xlfn.XLOOKUP(C450,Volunteers!D:D,Volunteers!A:A),""))</f>
        <v/>
      </c>
      <c r="T450" s="28"/>
    </row>
    <row r="451">
      <c r="A451" s="57"/>
      <c r="B451" s="40"/>
      <c r="C451" s="40"/>
      <c r="D451" s="40" t="str">
        <f t="array" ref="D451">IF(B451="","",IFERROR(_xlfn.XLOOKUP(B451,'Lists &amp; Settings'!A:A,'Lists &amp; Settings'!E:E),""))</f>
        <v/>
      </c>
      <c r="E451" s="40"/>
      <c r="F451" s="40"/>
      <c r="G451" s="95"/>
      <c r="H451" s="95"/>
      <c r="I451" s="51"/>
      <c r="J451" s="54" t="s">
        <v>179</v>
      </c>
      <c r="K451" s="55" t="s">
        <v>179</v>
      </c>
      <c r="L451" s="56" t="s">
        <v>179</v>
      </c>
      <c r="M451" s="56" t="s">
        <v>179</v>
      </c>
      <c r="N451" s="40"/>
      <c r="O451" s="40"/>
      <c r="P451" s="57"/>
      <c r="Q451" s="57"/>
      <c r="R451" s="40"/>
      <c r="S451" s="40" t="str">
        <f t="array" ref="S451">IF(C451="","",IFERROR(_xlfn.XLOOKUP(C451,Volunteers!D:D,Volunteers!A:A),""))</f>
        <v/>
      </c>
      <c r="T451" s="40"/>
    </row>
    <row r="452">
      <c r="A452" s="52"/>
      <c r="B452" s="28"/>
      <c r="C452" s="28"/>
      <c r="D452" s="28" t="str">
        <f t="array" ref="D452">IF(B452="","",IFERROR(_xlfn.XLOOKUP(B452,'Lists &amp; Settings'!A:A,'Lists &amp; Settings'!E:E),""))</f>
        <v/>
      </c>
      <c r="E452" s="28"/>
      <c r="F452" s="28"/>
      <c r="G452" s="98"/>
      <c r="H452" s="98"/>
      <c r="I452" s="31"/>
      <c r="J452" s="54" t="s">
        <v>179</v>
      </c>
      <c r="K452" s="55" t="s">
        <v>179</v>
      </c>
      <c r="L452" s="56" t="s">
        <v>179</v>
      </c>
      <c r="M452" s="56" t="s">
        <v>179</v>
      </c>
      <c r="N452" s="28"/>
      <c r="O452" s="28"/>
      <c r="P452" s="52"/>
      <c r="Q452" s="52"/>
      <c r="R452" s="28"/>
      <c r="S452" s="28" t="str">
        <f t="array" ref="S452">IF(C452="","",IFERROR(_xlfn.XLOOKUP(C452,Volunteers!D:D,Volunteers!A:A),""))</f>
        <v/>
      </c>
      <c r="T452" s="28"/>
    </row>
    <row r="453">
      <c r="A453" s="57"/>
      <c r="B453" s="40"/>
      <c r="C453" s="40"/>
      <c r="D453" s="40" t="str">
        <f t="array" ref="D453">IF(B453="","",IFERROR(_xlfn.XLOOKUP(B453,'Lists &amp; Settings'!A:A,'Lists &amp; Settings'!E:E),""))</f>
        <v/>
      </c>
      <c r="E453" s="40"/>
      <c r="F453" s="40"/>
      <c r="G453" s="95"/>
      <c r="H453" s="95"/>
      <c r="I453" s="51"/>
      <c r="J453" s="54" t="s">
        <v>179</v>
      </c>
      <c r="K453" s="55" t="s">
        <v>179</v>
      </c>
      <c r="L453" s="56" t="s">
        <v>179</v>
      </c>
      <c r="M453" s="56" t="s">
        <v>179</v>
      </c>
      <c r="N453" s="40"/>
      <c r="O453" s="40"/>
      <c r="P453" s="57"/>
      <c r="Q453" s="57"/>
      <c r="R453" s="40"/>
      <c r="S453" s="40" t="str">
        <f t="array" ref="S453">IF(C453="","",IFERROR(_xlfn.XLOOKUP(C453,Volunteers!D:D,Volunteers!A:A),""))</f>
        <v/>
      </c>
      <c r="T453" s="40"/>
    </row>
    <row r="454">
      <c r="A454" s="52"/>
      <c r="B454" s="28"/>
      <c r="C454" s="28"/>
      <c r="D454" s="28" t="str">
        <f t="array" ref="D454">IF(B454="","",IFERROR(_xlfn.XLOOKUP(B454,'Lists &amp; Settings'!A:A,'Lists &amp; Settings'!E:E),""))</f>
        <v/>
      </c>
      <c r="E454" s="28"/>
      <c r="F454" s="28"/>
      <c r="G454" s="98"/>
      <c r="H454" s="98"/>
      <c r="I454" s="31"/>
      <c r="J454" s="54" t="s">
        <v>179</v>
      </c>
      <c r="K454" s="55" t="s">
        <v>179</v>
      </c>
      <c r="L454" s="56" t="s">
        <v>179</v>
      </c>
      <c r="M454" s="56" t="s">
        <v>179</v>
      </c>
      <c r="N454" s="28"/>
      <c r="O454" s="28"/>
      <c r="P454" s="52"/>
      <c r="Q454" s="52"/>
      <c r="R454" s="28"/>
      <c r="S454" s="28" t="str">
        <f t="array" ref="S454">IF(C454="","",IFERROR(_xlfn.XLOOKUP(C454,Volunteers!D:D,Volunteers!A:A),""))</f>
        <v/>
      </c>
      <c r="T454" s="28"/>
    </row>
    <row r="455">
      <c r="A455" s="57"/>
      <c r="B455" s="40"/>
      <c r="C455" s="40"/>
      <c r="D455" s="40" t="str">
        <f t="array" ref="D455">IF(B455="","",IFERROR(_xlfn.XLOOKUP(B455,'Lists &amp; Settings'!A:A,'Lists &amp; Settings'!E:E),""))</f>
        <v/>
      </c>
      <c r="E455" s="40"/>
      <c r="F455" s="40"/>
      <c r="G455" s="95"/>
      <c r="H455" s="95"/>
      <c r="I455" s="51"/>
      <c r="J455" s="54" t="s">
        <v>179</v>
      </c>
      <c r="K455" s="55" t="s">
        <v>179</v>
      </c>
      <c r="L455" s="56" t="s">
        <v>179</v>
      </c>
      <c r="M455" s="56" t="s">
        <v>179</v>
      </c>
      <c r="N455" s="40"/>
      <c r="O455" s="40"/>
      <c r="P455" s="57"/>
      <c r="Q455" s="57"/>
      <c r="R455" s="40"/>
      <c r="S455" s="40" t="str">
        <f t="array" ref="S455">IF(C455="","",IFERROR(_xlfn.XLOOKUP(C455,Volunteers!D:D,Volunteers!A:A),""))</f>
        <v/>
      </c>
      <c r="T455" s="40"/>
    </row>
    <row r="456">
      <c r="A456" s="52"/>
      <c r="B456" s="28"/>
      <c r="C456" s="28"/>
      <c r="D456" s="28" t="str">
        <f t="array" ref="D456">IF(B456="","",IFERROR(_xlfn.XLOOKUP(B456,'Lists &amp; Settings'!A:A,'Lists &amp; Settings'!E:E),""))</f>
        <v/>
      </c>
      <c r="E456" s="28"/>
      <c r="F456" s="28"/>
      <c r="G456" s="98"/>
      <c r="H456" s="98"/>
      <c r="I456" s="31"/>
      <c r="J456" s="54" t="s">
        <v>179</v>
      </c>
      <c r="K456" s="55" t="s">
        <v>179</v>
      </c>
      <c r="L456" s="56" t="s">
        <v>179</v>
      </c>
      <c r="M456" s="56" t="s">
        <v>179</v>
      </c>
      <c r="N456" s="28"/>
      <c r="O456" s="28"/>
      <c r="P456" s="52"/>
      <c r="Q456" s="52"/>
      <c r="R456" s="28"/>
      <c r="S456" s="28" t="str">
        <f t="array" ref="S456">IF(C456="","",IFERROR(_xlfn.XLOOKUP(C456,Volunteers!D:D,Volunteers!A:A),""))</f>
        <v/>
      </c>
      <c r="T456" s="28"/>
    </row>
    <row r="457">
      <c r="A457" s="57"/>
      <c r="B457" s="40"/>
      <c r="C457" s="40"/>
      <c r="D457" s="40" t="str">
        <f t="array" ref="D457">IF(B457="","",IFERROR(_xlfn.XLOOKUP(B457,'Lists &amp; Settings'!A:A,'Lists &amp; Settings'!E:E),""))</f>
        <v/>
      </c>
      <c r="E457" s="40"/>
      <c r="F457" s="40"/>
      <c r="G457" s="95"/>
      <c r="H457" s="95"/>
      <c r="I457" s="51"/>
      <c r="J457" s="54" t="s">
        <v>179</v>
      </c>
      <c r="K457" s="55" t="s">
        <v>179</v>
      </c>
      <c r="L457" s="56" t="s">
        <v>179</v>
      </c>
      <c r="M457" s="56" t="s">
        <v>179</v>
      </c>
      <c r="N457" s="40"/>
      <c r="O457" s="40"/>
      <c r="P457" s="57"/>
      <c r="Q457" s="57"/>
      <c r="R457" s="40"/>
      <c r="S457" s="40" t="str">
        <f t="array" ref="S457">IF(C457="","",IFERROR(_xlfn.XLOOKUP(C457,Volunteers!D:D,Volunteers!A:A),""))</f>
        <v/>
      </c>
      <c r="T457" s="40"/>
    </row>
    <row r="458">
      <c r="A458" s="52"/>
      <c r="B458" s="28"/>
      <c r="C458" s="28"/>
      <c r="D458" s="28" t="str">
        <f t="array" ref="D458">IF(B458="","",IFERROR(_xlfn.XLOOKUP(B458,'Lists &amp; Settings'!A:A,'Lists &amp; Settings'!E:E),""))</f>
        <v/>
      </c>
      <c r="E458" s="28"/>
      <c r="F458" s="28"/>
      <c r="G458" s="98"/>
      <c r="H458" s="98"/>
      <c r="I458" s="31"/>
      <c r="J458" s="54" t="s">
        <v>179</v>
      </c>
      <c r="K458" s="55" t="s">
        <v>179</v>
      </c>
      <c r="L458" s="56" t="s">
        <v>179</v>
      </c>
      <c r="M458" s="56" t="s">
        <v>179</v>
      </c>
      <c r="N458" s="28"/>
      <c r="O458" s="28"/>
      <c r="P458" s="52"/>
      <c r="Q458" s="52"/>
      <c r="R458" s="28"/>
      <c r="S458" s="28" t="str">
        <f t="array" ref="S458">IF(C458="","",IFERROR(_xlfn.XLOOKUP(C458,Volunteers!D:D,Volunteers!A:A),""))</f>
        <v/>
      </c>
      <c r="T458" s="28"/>
    </row>
    <row r="459">
      <c r="A459" s="57"/>
      <c r="B459" s="40"/>
      <c r="C459" s="40"/>
      <c r="D459" s="40" t="str">
        <f t="array" ref="D459">IF(B459="","",IFERROR(_xlfn.XLOOKUP(B459,'Lists &amp; Settings'!A:A,'Lists &amp; Settings'!E:E),""))</f>
        <v/>
      </c>
      <c r="E459" s="40"/>
      <c r="F459" s="40"/>
      <c r="G459" s="95"/>
      <c r="H459" s="95"/>
      <c r="I459" s="51"/>
      <c r="J459" s="54" t="s">
        <v>179</v>
      </c>
      <c r="K459" s="55" t="s">
        <v>179</v>
      </c>
      <c r="L459" s="56" t="s">
        <v>179</v>
      </c>
      <c r="M459" s="56" t="s">
        <v>179</v>
      </c>
      <c r="N459" s="40"/>
      <c r="O459" s="40"/>
      <c r="P459" s="57"/>
      <c r="Q459" s="57"/>
      <c r="R459" s="40"/>
      <c r="S459" s="40" t="str">
        <f t="array" ref="S459">IF(C459="","",IFERROR(_xlfn.XLOOKUP(C459,Volunteers!D:D,Volunteers!A:A),""))</f>
        <v/>
      </c>
      <c r="T459" s="40"/>
    </row>
    <row r="460">
      <c r="A460" s="52"/>
      <c r="B460" s="28"/>
      <c r="C460" s="28"/>
      <c r="D460" s="28" t="str">
        <f t="array" ref="D460">IF(B460="","",IFERROR(_xlfn.XLOOKUP(B460,'Lists &amp; Settings'!A:A,'Lists &amp; Settings'!E:E),""))</f>
        <v/>
      </c>
      <c r="E460" s="28"/>
      <c r="F460" s="28"/>
      <c r="G460" s="98"/>
      <c r="H460" s="98"/>
      <c r="I460" s="31"/>
      <c r="J460" s="54" t="s">
        <v>179</v>
      </c>
      <c r="K460" s="55" t="s">
        <v>179</v>
      </c>
      <c r="L460" s="56" t="s">
        <v>179</v>
      </c>
      <c r="M460" s="56" t="s">
        <v>179</v>
      </c>
      <c r="N460" s="28"/>
      <c r="O460" s="28"/>
      <c r="P460" s="52"/>
      <c r="Q460" s="52"/>
      <c r="R460" s="28"/>
      <c r="S460" s="28" t="str">
        <f t="array" ref="S460">IF(C460="","",IFERROR(_xlfn.XLOOKUP(C460,Volunteers!D:D,Volunteers!A:A),""))</f>
        <v/>
      </c>
      <c r="T460" s="28"/>
    </row>
    <row r="461">
      <c r="A461" s="57"/>
      <c r="B461" s="40"/>
      <c r="C461" s="40"/>
      <c r="D461" s="40" t="str">
        <f t="array" ref="D461">IF(B461="","",IFERROR(_xlfn.XLOOKUP(B461,'Lists &amp; Settings'!A:A,'Lists &amp; Settings'!E:E),""))</f>
        <v/>
      </c>
      <c r="E461" s="40"/>
      <c r="F461" s="40"/>
      <c r="G461" s="95"/>
      <c r="H461" s="95"/>
      <c r="I461" s="51"/>
      <c r="J461" s="54" t="s">
        <v>179</v>
      </c>
      <c r="K461" s="55" t="s">
        <v>179</v>
      </c>
      <c r="L461" s="56" t="s">
        <v>179</v>
      </c>
      <c r="M461" s="56" t="s">
        <v>179</v>
      </c>
      <c r="N461" s="40"/>
      <c r="O461" s="40"/>
      <c r="P461" s="57"/>
      <c r="Q461" s="57"/>
      <c r="R461" s="40"/>
      <c r="S461" s="40" t="str">
        <f t="array" ref="S461">IF(C461="","",IFERROR(_xlfn.XLOOKUP(C461,Volunteers!D:D,Volunteers!A:A),""))</f>
        <v/>
      </c>
      <c r="T461" s="40"/>
    </row>
    <row r="462">
      <c r="A462" s="52"/>
      <c r="B462" s="28"/>
      <c r="C462" s="28"/>
      <c r="D462" s="28" t="str">
        <f t="array" ref="D462">IF(B462="","",IFERROR(_xlfn.XLOOKUP(B462,'Lists &amp; Settings'!A:A,'Lists &amp; Settings'!E:E),""))</f>
        <v/>
      </c>
      <c r="E462" s="28"/>
      <c r="F462" s="28"/>
      <c r="G462" s="98"/>
      <c r="H462" s="98"/>
      <c r="I462" s="31"/>
      <c r="J462" s="54" t="s">
        <v>179</v>
      </c>
      <c r="K462" s="55" t="s">
        <v>179</v>
      </c>
      <c r="L462" s="56" t="s">
        <v>179</v>
      </c>
      <c r="M462" s="56" t="s">
        <v>179</v>
      </c>
      <c r="N462" s="28"/>
      <c r="O462" s="28"/>
      <c r="P462" s="52"/>
      <c r="Q462" s="52"/>
      <c r="R462" s="28"/>
      <c r="S462" s="28" t="str">
        <f t="array" ref="S462">IF(C462="","",IFERROR(_xlfn.XLOOKUP(C462,Volunteers!D:D,Volunteers!A:A),""))</f>
        <v/>
      </c>
      <c r="T462" s="28"/>
    </row>
    <row r="463">
      <c r="A463" s="57"/>
      <c r="B463" s="40"/>
      <c r="C463" s="40"/>
      <c r="D463" s="40" t="str">
        <f t="array" ref="D463">IF(B463="","",IFERROR(_xlfn.XLOOKUP(B463,'Lists &amp; Settings'!A:A,'Lists &amp; Settings'!E:E),""))</f>
        <v/>
      </c>
      <c r="E463" s="40"/>
      <c r="F463" s="40"/>
      <c r="G463" s="95"/>
      <c r="H463" s="95"/>
      <c r="I463" s="51"/>
      <c r="J463" s="54" t="s">
        <v>179</v>
      </c>
      <c r="K463" s="55" t="s">
        <v>179</v>
      </c>
      <c r="L463" s="56" t="s">
        <v>179</v>
      </c>
      <c r="M463" s="56" t="s">
        <v>179</v>
      </c>
      <c r="N463" s="40"/>
      <c r="O463" s="40"/>
      <c r="P463" s="57"/>
      <c r="Q463" s="57"/>
      <c r="R463" s="40"/>
      <c r="S463" s="40" t="str">
        <f t="array" ref="S463">IF(C463="","",IFERROR(_xlfn.XLOOKUP(C463,Volunteers!D:D,Volunteers!A:A),""))</f>
        <v/>
      </c>
      <c r="T463" s="40"/>
    </row>
    <row r="464">
      <c r="A464" s="52"/>
      <c r="B464" s="28"/>
      <c r="C464" s="28"/>
      <c r="D464" s="28" t="str">
        <f t="array" ref="D464">IF(B464="","",IFERROR(_xlfn.XLOOKUP(B464,'Lists &amp; Settings'!A:A,'Lists &amp; Settings'!E:E),""))</f>
        <v/>
      </c>
      <c r="E464" s="28"/>
      <c r="F464" s="28"/>
      <c r="G464" s="98"/>
      <c r="H464" s="98"/>
      <c r="I464" s="31"/>
      <c r="J464" s="54" t="s">
        <v>179</v>
      </c>
      <c r="K464" s="55" t="s">
        <v>179</v>
      </c>
      <c r="L464" s="56" t="s">
        <v>179</v>
      </c>
      <c r="M464" s="56" t="s">
        <v>179</v>
      </c>
      <c r="N464" s="28"/>
      <c r="O464" s="28"/>
      <c r="P464" s="52"/>
      <c r="Q464" s="52"/>
      <c r="R464" s="28"/>
      <c r="S464" s="28" t="str">
        <f t="array" ref="S464">IF(C464="","",IFERROR(_xlfn.XLOOKUP(C464,Volunteers!D:D,Volunteers!A:A),""))</f>
        <v/>
      </c>
      <c r="T464" s="28"/>
    </row>
    <row r="465">
      <c r="A465" s="57"/>
      <c r="B465" s="40"/>
      <c r="C465" s="40"/>
      <c r="D465" s="40" t="str">
        <f t="array" ref="D465">IF(B465="","",IFERROR(_xlfn.XLOOKUP(B465,'Lists &amp; Settings'!A:A,'Lists &amp; Settings'!E:E),""))</f>
        <v/>
      </c>
      <c r="E465" s="40"/>
      <c r="F465" s="40"/>
      <c r="G465" s="95"/>
      <c r="H465" s="95"/>
      <c r="I465" s="51"/>
      <c r="J465" s="54" t="s">
        <v>179</v>
      </c>
      <c r="K465" s="55" t="s">
        <v>179</v>
      </c>
      <c r="L465" s="56" t="s">
        <v>179</v>
      </c>
      <c r="M465" s="56" t="s">
        <v>179</v>
      </c>
      <c r="N465" s="40"/>
      <c r="O465" s="40"/>
      <c r="P465" s="57"/>
      <c r="Q465" s="57"/>
      <c r="R465" s="40"/>
      <c r="S465" s="40" t="str">
        <f t="array" ref="S465">IF(C465="","",IFERROR(_xlfn.XLOOKUP(C465,Volunteers!D:D,Volunteers!A:A),""))</f>
        <v/>
      </c>
      <c r="T465" s="40"/>
    </row>
    <row r="466">
      <c r="A466" s="52"/>
      <c r="B466" s="28"/>
      <c r="C466" s="28"/>
      <c r="D466" s="28" t="str">
        <f t="array" ref="D466">IF(B466="","",IFERROR(_xlfn.XLOOKUP(B466,'Lists &amp; Settings'!A:A,'Lists &amp; Settings'!E:E),""))</f>
        <v/>
      </c>
      <c r="E466" s="28"/>
      <c r="F466" s="28"/>
      <c r="G466" s="98"/>
      <c r="H466" s="98"/>
      <c r="I466" s="31"/>
      <c r="J466" s="54" t="s">
        <v>179</v>
      </c>
      <c r="K466" s="55" t="s">
        <v>179</v>
      </c>
      <c r="L466" s="56" t="s">
        <v>179</v>
      </c>
      <c r="M466" s="56" t="s">
        <v>179</v>
      </c>
      <c r="N466" s="28"/>
      <c r="O466" s="28"/>
      <c r="P466" s="52"/>
      <c r="Q466" s="52"/>
      <c r="R466" s="28"/>
      <c r="S466" s="28" t="str">
        <f t="array" ref="S466">IF(C466="","",IFERROR(_xlfn.XLOOKUP(C466,Volunteers!D:D,Volunteers!A:A),""))</f>
        <v/>
      </c>
      <c r="T466" s="28"/>
    </row>
    <row r="467">
      <c r="A467" s="57"/>
      <c r="B467" s="40"/>
      <c r="C467" s="40"/>
      <c r="D467" s="40" t="str">
        <f t="array" ref="D467">IF(B467="","",IFERROR(_xlfn.XLOOKUP(B467,'Lists &amp; Settings'!A:A,'Lists &amp; Settings'!E:E),""))</f>
        <v/>
      </c>
      <c r="E467" s="40"/>
      <c r="F467" s="40"/>
      <c r="G467" s="95"/>
      <c r="H467" s="95"/>
      <c r="I467" s="51"/>
      <c r="J467" s="54" t="s">
        <v>179</v>
      </c>
      <c r="K467" s="55" t="s">
        <v>179</v>
      </c>
      <c r="L467" s="56" t="s">
        <v>179</v>
      </c>
      <c r="M467" s="56" t="s">
        <v>179</v>
      </c>
      <c r="N467" s="40"/>
      <c r="O467" s="40"/>
      <c r="P467" s="57"/>
      <c r="Q467" s="57"/>
      <c r="R467" s="40"/>
      <c r="S467" s="40" t="str">
        <f t="array" ref="S467">IF(C467="","",IFERROR(_xlfn.XLOOKUP(C467,Volunteers!D:D,Volunteers!A:A),""))</f>
        <v/>
      </c>
      <c r="T467" s="40"/>
    </row>
    <row r="468">
      <c r="A468" s="52"/>
      <c r="B468" s="28"/>
      <c r="C468" s="28"/>
      <c r="D468" s="28" t="str">
        <f t="array" ref="D468">IF(B468="","",IFERROR(_xlfn.XLOOKUP(B468,'Lists &amp; Settings'!A:A,'Lists &amp; Settings'!E:E),""))</f>
        <v/>
      </c>
      <c r="E468" s="28"/>
      <c r="F468" s="28"/>
      <c r="G468" s="98"/>
      <c r="H468" s="98"/>
      <c r="I468" s="31"/>
      <c r="J468" s="54" t="s">
        <v>179</v>
      </c>
      <c r="K468" s="55" t="s">
        <v>179</v>
      </c>
      <c r="L468" s="56" t="s">
        <v>179</v>
      </c>
      <c r="M468" s="56" t="s">
        <v>179</v>
      </c>
      <c r="N468" s="28"/>
      <c r="O468" s="28"/>
      <c r="P468" s="52"/>
      <c r="Q468" s="52"/>
      <c r="R468" s="28"/>
      <c r="S468" s="28" t="str">
        <f t="array" ref="S468">IF(C468="","",IFERROR(_xlfn.XLOOKUP(C468,Volunteers!D:D,Volunteers!A:A),""))</f>
        <v/>
      </c>
      <c r="T468" s="28"/>
    </row>
    <row r="469">
      <c r="A469" s="57"/>
      <c r="B469" s="40"/>
      <c r="C469" s="40"/>
      <c r="D469" s="40" t="str">
        <f t="array" ref="D469">IF(B469="","",IFERROR(_xlfn.XLOOKUP(B469,'Lists &amp; Settings'!A:A,'Lists &amp; Settings'!E:E),""))</f>
        <v/>
      </c>
      <c r="E469" s="40"/>
      <c r="F469" s="40"/>
      <c r="G469" s="95"/>
      <c r="H469" s="95"/>
      <c r="I469" s="51"/>
      <c r="J469" s="54" t="s">
        <v>179</v>
      </c>
      <c r="K469" s="55" t="s">
        <v>179</v>
      </c>
      <c r="L469" s="56" t="s">
        <v>179</v>
      </c>
      <c r="M469" s="56" t="s">
        <v>179</v>
      </c>
      <c r="N469" s="40"/>
      <c r="O469" s="40"/>
      <c r="P469" s="57"/>
      <c r="Q469" s="57"/>
      <c r="R469" s="40"/>
      <c r="S469" s="40" t="str">
        <f t="array" ref="S469">IF(C469="","",IFERROR(_xlfn.XLOOKUP(C469,Volunteers!D:D,Volunteers!A:A),""))</f>
        <v/>
      </c>
      <c r="T469" s="40"/>
    </row>
    <row r="470">
      <c r="A470" s="52"/>
      <c r="B470" s="28"/>
      <c r="C470" s="28"/>
      <c r="D470" s="28" t="str">
        <f t="array" ref="D470">IF(B470="","",IFERROR(_xlfn.XLOOKUP(B470,'Lists &amp; Settings'!A:A,'Lists &amp; Settings'!E:E),""))</f>
        <v/>
      </c>
      <c r="E470" s="28"/>
      <c r="F470" s="28"/>
      <c r="G470" s="98"/>
      <c r="H470" s="98"/>
      <c r="I470" s="31"/>
      <c r="J470" s="54" t="s">
        <v>179</v>
      </c>
      <c r="K470" s="55" t="s">
        <v>179</v>
      </c>
      <c r="L470" s="56" t="s">
        <v>179</v>
      </c>
      <c r="M470" s="56" t="s">
        <v>179</v>
      </c>
      <c r="N470" s="28"/>
      <c r="O470" s="28"/>
      <c r="P470" s="52"/>
      <c r="Q470" s="52"/>
      <c r="R470" s="28"/>
      <c r="S470" s="28" t="str">
        <f t="array" ref="S470">IF(C470="","",IFERROR(_xlfn.XLOOKUP(C470,Volunteers!D:D,Volunteers!A:A),""))</f>
        <v/>
      </c>
      <c r="T470" s="28"/>
    </row>
    <row r="471">
      <c r="A471" s="57"/>
      <c r="B471" s="40"/>
      <c r="C471" s="40"/>
      <c r="D471" s="40" t="str">
        <f t="array" ref="D471">IF(B471="","",IFERROR(_xlfn.XLOOKUP(B471,'Lists &amp; Settings'!A:A,'Lists &amp; Settings'!E:E),""))</f>
        <v/>
      </c>
      <c r="E471" s="40"/>
      <c r="F471" s="40"/>
      <c r="G471" s="95"/>
      <c r="H471" s="95"/>
      <c r="I471" s="51"/>
      <c r="J471" s="54" t="s">
        <v>179</v>
      </c>
      <c r="K471" s="55" t="s">
        <v>179</v>
      </c>
      <c r="L471" s="56" t="s">
        <v>179</v>
      </c>
      <c r="M471" s="56" t="s">
        <v>179</v>
      </c>
      <c r="N471" s="40"/>
      <c r="O471" s="40"/>
      <c r="P471" s="57"/>
      <c r="Q471" s="57"/>
      <c r="R471" s="40"/>
      <c r="S471" s="40" t="str">
        <f t="array" ref="S471">IF(C471="","",IFERROR(_xlfn.XLOOKUP(C471,Volunteers!D:D,Volunteers!A:A),""))</f>
        <v/>
      </c>
      <c r="T471" s="40"/>
    </row>
    <row r="472">
      <c r="A472" s="52"/>
      <c r="B472" s="28"/>
      <c r="C472" s="28"/>
      <c r="D472" s="28" t="str">
        <f t="array" ref="D472">IF(B472="","",IFERROR(_xlfn.XLOOKUP(B472,'Lists &amp; Settings'!A:A,'Lists &amp; Settings'!E:E),""))</f>
        <v/>
      </c>
      <c r="E472" s="28"/>
      <c r="F472" s="28"/>
      <c r="G472" s="98"/>
      <c r="H472" s="98"/>
      <c r="I472" s="31"/>
      <c r="J472" s="54" t="s">
        <v>179</v>
      </c>
      <c r="K472" s="55" t="s">
        <v>179</v>
      </c>
      <c r="L472" s="56" t="s">
        <v>179</v>
      </c>
      <c r="M472" s="56" t="s">
        <v>179</v>
      </c>
      <c r="N472" s="28"/>
      <c r="O472" s="28"/>
      <c r="P472" s="52"/>
      <c r="Q472" s="52"/>
      <c r="R472" s="28"/>
      <c r="S472" s="28" t="str">
        <f t="array" ref="S472">IF(C472="","",IFERROR(_xlfn.XLOOKUP(C472,Volunteers!D:D,Volunteers!A:A),""))</f>
        <v/>
      </c>
      <c r="T472" s="28"/>
    </row>
    <row r="473">
      <c r="A473" s="57"/>
      <c r="B473" s="40"/>
      <c r="C473" s="40"/>
      <c r="D473" s="40" t="str">
        <f t="array" ref="D473">IF(B473="","",IFERROR(_xlfn.XLOOKUP(B473,'Lists &amp; Settings'!A:A,'Lists &amp; Settings'!E:E),""))</f>
        <v/>
      </c>
      <c r="E473" s="40"/>
      <c r="F473" s="40"/>
      <c r="G473" s="95"/>
      <c r="H473" s="95"/>
      <c r="I473" s="51"/>
      <c r="J473" s="54" t="s">
        <v>179</v>
      </c>
      <c r="K473" s="55" t="s">
        <v>179</v>
      </c>
      <c r="L473" s="56" t="s">
        <v>179</v>
      </c>
      <c r="M473" s="56" t="s">
        <v>179</v>
      </c>
      <c r="N473" s="40"/>
      <c r="O473" s="40"/>
      <c r="P473" s="57"/>
      <c r="Q473" s="57"/>
      <c r="R473" s="40"/>
      <c r="S473" s="40" t="str">
        <f t="array" ref="S473">IF(C473="","",IFERROR(_xlfn.XLOOKUP(C473,Volunteers!D:D,Volunteers!A:A),""))</f>
        <v/>
      </c>
      <c r="T473" s="40"/>
    </row>
    <row r="474">
      <c r="A474" s="52"/>
      <c r="B474" s="28"/>
      <c r="C474" s="28"/>
      <c r="D474" s="28" t="str">
        <f t="array" ref="D474">IF(B474="","",IFERROR(_xlfn.XLOOKUP(B474,'Lists &amp; Settings'!A:A,'Lists &amp; Settings'!E:E),""))</f>
        <v/>
      </c>
      <c r="E474" s="28"/>
      <c r="F474" s="28"/>
      <c r="G474" s="98"/>
      <c r="H474" s="98"/>
      <c r="I474" s="31"/>
      <c r="J474" s="54" t="s">
        <v>179</v>
      </c>
      <c r="K474" s="55" t="s">
        <v>179</v>
      </c>
      <c r="L474" s="56" t="s">
        <v>179</v>
      </c>
      <c r="M474" s="56" t="s">
        <v>179</v>
      </c>
      <c r="N474" s="28"/>
      <c r="O474" s="28"/>
      <c r="P474" s="52"/>
      <c r="Q474" s="52"/>
      <c r="R474" s="28"/>
      <c r="S474" s="28" t="str">
        <f t="array" ref="S474">IF(C474="","",IFERROR(_xlfn.XLOOKUP(C474,Volunteers!D:D,Volunteers!A:A),""))</f>
        <v/>
      </c>
      <c r="T474" s="28"/>
    </row>
    <row r="475">
      <c r="A475" s="57"/>
      <c r="B475" s="40"/>
      <c r="C475" s="40"/>
      <c r="D475" s="40" t="str">
        <f t="array" ref="D475">IF(B475="","",IFERROR(_xlfn.XLOOKUP(B475,'Lists &amp; Settings'!A:A,'Lists &amp; Settings'!E:E),""))</f>
        <v/>
      </c>
      <c r="E475" s="40"/>
      <c r="F475" s="40"/>
      <c r="G475" s="95"/>
      <c r="H475" s="95"/>
      <c r="I475" s="51"/>
      <c r="J475" s="54" t="s">
        <v>179</v>
      </c>
      <c r="K475" s="55" t="s">
        <v>179</v>
      </c>
      <c r="L475" s="56" t="s">
        <v>179</v>
      </c>
      <c r="M475" s="56" t="s">
        <v>179</v>
      </c>
      <c r="N475" s="40"/>
      <c r="O475" s="40"/>
      <c r="P475" s="57"/>
      <c r="Q475" s="57"/>
      <c r="R475" s="40"/>
      <c r="S475" s="40" t="str">
        <f t="array" ref="S475">IF(C475="","",IFERROR(_xlfn.XLOOKUP(C475,Volunteers!D:D,Volunteers!A:A),""))</f>
        <v/>
      </c>
      <c r="T475" s="40"/>
    </row>
    <row r="476">
      <c r="A476" s="52"/>
      <c r="B476" s="28"/>
      <c r="C476" s="28"/>
      <c r="D476" s="28" t="str">
        <f t="array" ref="D476">IF(B476="","",IFERROR(_xlfn.XLOOKUP(B476,'Lists &amp; Settings'!A:A,'Lists &amp; Settings'!E:E),""))</f>
        <v/>
      </c>
      <c r="E476" s="28"/>
      <c r="F476" s="28"/>
      <c r="G476" s="98"/>
      <c r="H476" s="98"/>
      <c r="I476" s="31"/>
      <c r="J476" s="54" t="s">
        <v>179</v>
      </c>
      <c r="K476" s="55" t="s">
        <v>179</v>
      </c>
      <c r="L476" s="56" t="s">
        <v>179</v>
      </c>
      <c r="M476" s="56" t="s">
        <v>179</v>
      </c>
      <c r="N476" s="28"/>
      <c r="O476" s="28"/>
      <c r="P476" s="52"/>
      <c r="Q476" s="52"/>
      <c r="R476" s="28"/>
      <c r="S476" s="28" t="str">
        <f t="array" ref="S476">IF(C476="","",IFERROR(_xlfn.XLOOKUP(C476,Volunteers!D:D,Volunteers!A:A),""))</f>
        <v/>
      </c>
      <c r="T476" s="28"/>
    </row>
    <row r="477">
      <c r="A477" s="57"/>
      <c r="B477" s="40"/>
      <c r="C477" s="40"/>
      <c r="D477" s="40" t="str">
        <f t="array" ref="D477">IF(B477="","",IFERROR(_xlfn.XLOOKUP(B477,'Lists &amp; Settings'!A:A,'Lists &amp; Settings'!E:E),""))</f>
        <v/>
      </c>
      <c r="E477" s="40"/>
      <c r="F477" s="40"/>
      <c r="G477" s="95"/>
      <c r="H477" s="95"/>
      <c r="I477" s="51"/>
      <c r="J477" s="54" t="s">
        <v>179</v>
      </c>
      <c r="K477" s="55" t="s">
        <v>179</v>
      </c>
      <c r="L477" s="56" t="s">
        <v>179</v>
      </c>
      <c r="M477" s="56" t="s">
        <v>179</v>
      </c>
      <c r="N477" s="40"/>
      <c r="O477" s="40"/>
      <c r="P477" s="57"/>
      <c r="Q477" s="57"/>
      <c r="R477" s="40"/>
      <c r="S477" s="40" t="str">
        <f t="array" ref="S477">IF(C477="","",IFERROR(_xlfn.XLOOKUP(C477,Volunteers!D:D,Volunteers!A:A),""))</f>
        <v/>
      </c>
      <c r="T477" s="40"/>
    </row>
    <row r="478">
      <c r="A478" s="52"/>
      <c r="B478" s="28"/>
      <c r="C478" s="28"/>
      <c r="D478" s="28" t="str">
        <f t="array" ref="D478">IF(B478="","",IFERROR(_xlfn.XLOOKUP(B478,'Lists &amp; Settings'!A:A,'Lists &amp; Settings'!E:E),""))</f>
        <v/>
      </c>
      <c r="E478" s="28"/>
      <c r="F478" s="28"/>
      <c r="G478" s="98"/>
      <c r="H478" s="98"/>
      <c r="I478" s="31"/>
      <c r="J478" s="54" t="s">
        <v>179</v>
      </c>
      <c r="K478" s="55" t="s">
        <v>179</v>
      </c>
      <c r="L478" s="56" t="s">
        <v>179</v>
      </c>
      <c r="M478" s="56" t="s">
        <v>179</v>
      </c>
      <c r="N478" s="28"/>
      <c r="O478" s="28"/>
      <c r="P478" s="52"/>
      <c r="Q478" s="52"/>
      <c r="R478" s="28"/>
      <c r="S478" s="28" t="str">
        <f t="array" ref="S478">IF(C478="","",IFERROR(_xlfn.XLOOKUP(C478,Volunteers!D:D,Volunteers!A:A),""))</f>
        <v/>
      </c>
      <c r="T478" s="28"/>
    </row>
    <row r="479">
      <c r="A479" s="57"/>
      <c r="B479" s="40"/>
      <c r="C479" s="40"/>
      <c r="D479" s="40" t="str">
        <f t="array" ref="D479">IF(B479="","",IFERROR(_xlfn.XLOOKUP(B479,'Lists &amp; Settings'!A:A,'Lists &amp; Settings'!E:E),""))</f>
        <v/>
      </c>
      <c r="E479" s="40"/>
      <c r="F479" s="40"/>
      <c r="G479" s="95"/>
      <c r="H479" s="95"/>
      <c r="I479" s="51"/>
      <c r="J479" s="54" t="s">
        <v>179</v>
      </c>
      <c r="K479" s="55" t="s">
        <v>179</v>
      </c>
      <c r="L479" s="56" t="s">
        <v>179</v>
      </c>
      <c r="M479" s="56" t="s">
        <v>179</v>
      </c>
      <c r="N479" s="40"/>
      <c r="O479" s="40"/>
      <c r="P479" s="57"/>
      <c r="Q479" s="57"/>
      <c r="R479" s="40"/>
      <c r="S479" s="40" t="str">
        <f t="array" ref="S479">IF(C479="","",IFERROR(_xlfn.XLOOKUP(C479,Volunteers!D:D,Volunteers!A:A),""))</f>
        <v/>
      </c>
      <c r="T479" s="40"/>
    </row>
    <row r="480">
      <c r="A480" s="52"/>
      <c r="B480" s="28"/>
      <c r="C480" s="28"/>
      <c r="D480" s="28" t="str">
        <f t="array" ref="D480">IF(B480="","",IFERROR(_xlfn.XLOOKUP(B480,'Lists &amp; Settings'!A:A,'Lists &amp; Settings'!E:E),""))</f>
        <v/>
      </c>
      <c r="E480" s="28"/>
      <c r="F480" s="28"/>
      <c r="G480" s="98"/>
      <c r="H480" s="98"/>
      <c r="I480" s="31"/>
      <c r="J480" s="54" t="s">
        <v>179</v>
      </c>
      <c r="K480" s="55" t="s">
        <v>179</v>
      </c>
      <c r="L480" s="56" t="s">
        <v>179</v>
      </c>
      <c r="M480" s="56" t="s">
        <v>179</v>
      </c>
      <c r="N480" s="28"/>
      <c r="O480" s="28"/>
      <c r="P480" s="52"/>
      <c r="Q480" s="52"/>
      <c r="R480" s="28"/>
      <c r="S480" s="28" t="str">
        <f t="array" ref="S480">IF(C480="","",IFERROR(_xlfn.XLOOKUP(C480,Volunteers!D:D,Volunteers!A:A),""))</f>
        <v/>
      </c>
      <c r="T480" s="28"/>
    </row>
    <row r="481">
      <c r="A481" s="57"/>
      <c r="B481" s="40"/>
      <c r="C481" s="40"/>
      <c r="D481" s="40" t="str">
        <f t="array" ref="D481">IF(B481="","",IFERROR(_xlfn.XLOOKUP(B481,'Lists &amp; Settings'!A:A,'Lists &amp; Settings'!E:E),""))</f>
        <v/>
      </c>
      <c r="E481" s="40"/>
      <c r="F481" s="40"/>
      <c r="G481" s="95"/>
      <c r="H481" s="95"/>
      <c r="I481" s="51"/>
      <c r="J481" s="54" t="s">
        <v>179</v>
      </c>
      <c r="K481" s="55" t="s">
        <v>179</v>
      </c>
      <c r="L481" s="56" t="s">
        <v>179</v>
      </c>
      <c r="M481" s="56" t="s">
        <v>179</v>
      </c>
      <c r="N481" s="40"/>
      <c r="O481" s="40"/>
      <c r="P481" s="57"/>
      <c r="Q481" s="57"/>
      <c r="R481" s="40"/>
      <c r="S481" s="40" t="str">
        <f t="array" ref="S481">IF(C481="","",IFERROR(_xlfn.XLOOKUP(C481,Volunteers!D:D,Volunteers!A:A),""))</f>
        <v/>
      </c>
      <c r="T481" s="40"/>
    </row>
    <row r="482">
      <c r="A482" s="52"/>
      <c r="B482" s="28"/>
      <c r="C482" s="28"/>
      <c r="D482" s="28" t="str">
        <f t="array" ref="D482">IF(B482="","",IFERROR(_xlfn.XLOOKUP(B482,'Lists &amp; Settings'!A:A,'Lists &amp; Settings'!E:E),""))</f>
        <v/>
      </c>
      <c r="E482" s="28"/>
      <c r="F482" s="28"/>
      <c r="G482" s="98"/>
      <c r="H482" s="98"/>
      <c r="I482" s="31"/>
      <c r="J482" s="54" t="s">
        <v>179</v>
      </c>
      <c r="K482" s="55" t="s">
        <v>179</v>
      </c>
      <c r="L482" s="56" t="s">
        <v>179</v>
      </c>
      <c r="M482" s="56" t="s">
        <v>179</v>
      </c>
      <c r="N482" s="28"/>
      <c r="O482" s="28"/>
      <c r="P482" s="52"/>
      <c r="Q482" s="52"/>
      <c r="R482" s="28"/>
      <c r="S482" s="28" t="str">
        <f t="array" ref="S482">IF(C482="","",IFERROR(_xlfn.XLOOKUP(C482,Volunteers!D:D,Volunteers!A:A),""))</f>
        <v/>
      </c>
      <c r="T482" s="28"/>
    </row>
    <row r="483">
      <c r="A483" s="57"/>
      <c r="B483" s="40"/>
      <c r="C483" s="40"/>
      <c r="D483" s="40" t="str">
        <f t="array" ref="D483">IF(B483="","",IFERROR(_xlfn.XLOOKUP(B483,'Lists &amp; Settings'!A:A,'Lists &amp; Settings'!E:E),""))</f>
        <v/>
      </c>
      <c r="E483" s="40"/>
      <c r="F483" s="40"/>
      <c r="G483" s="95"/>
      <c r="H483" s="95"/>
      <c r="I483" s="51"/>
      <c r="J483" s="54" t="s">
        <v>179</v>
      </c>
      <c r="K483" s="55" t="s">
        <v>179</v>
      </c>
      <c r="L483" s="56" t="s">
        <v>179</v>
      </c>
      <c r="M483" s="56" t="s">
        <v>179</v>
      </c>
      <c r="N483" s="40"/>
      <c r="O483" s="40"/>
      <c r="P483" s="57"/>
      <c r="Q483" s="57"/>
      <c r="R483" s="40"/>
      <c r="S483" s="40" t="str">
        <f t="array" ref="S483">IF(C483="","",IFERROR(_xlfn.XLOOKUP(C483,Volunteers!D:D,Volunteers!A:A),""))</f>
        <v/>
      </c>
      <c r="T483" s="40"/>
    </row>
    <row r="484">
      <c r="A484" s="52"/>
      <c r="B484" s="28"/>
      <c r="C484" s="28"/>
      <c r="D484" s="28" t="str">
        <f t="array" ref="D484">IF(B484="","",IFERROR(_xlfn.XLOOKUP(B484,'Lists &amp; Settings'!A:A,'Lists &amp; Settings'!E:E),""))</f>
        <v/>
      </c>
      <c r="E484" s="28"/>
      <c r="F484" s="28"/>
      <c r="G484" s="98"/>
      <c r="H484" s="98"/>
      <c r="I484" s="31"/>
      <c r="J484" s="54" t="s">
        <v>179</v>
      </c>
      <c r="K484" s="55" t="s">
        <v>179</v>
      </c>
      <c r="L484" s="56" t="s">
        <v>179</v>
      </c>
      <c r="M484" s="56" t="s">
        <v>179</v>
      </c>
      <c r="N484" s="28"/>
      <c r="O484" s="28"/>
      <c r="P484" s="52"/>
      <c r="Q484" s="52"/>
      <c r="R484" s="28"/>
      <c r="S484" s="28" t="str">
        <f t="array" ref="S484">IF(C484="","",IFERROR(_xlfn.XLOOKUP(C484,Volunteers!D:D,Volunteers!A:A),""))</f>
        <v/>
      </c>
      <c r="T484" s="28"/>
    </row>
    <row r="485">
      <c r="A485" s="57"/>
      <c r="B485" s="40"/>
      <c r="C485" s="40"/>
      <c r="D485" s="40" t="str">
        <f t="array" ref="D485">IF(B485="","",IFERROR(_xlfn.XLOOKUP(B485,'Lists &amp; Settings'!A:A,'Lists &amp; Settings'!E:E),""))</f>
        <v/>
      </c>
      <c r="E485" s="40"/>
      <c r="F485" s="40"/>
      <c r="G485" s="95"/>
      <c r="H485" s="95"/>
      <c r="I485" s="51"/>
      <c r="J485" s="54" t="s">
        <v>179</v>
      </c>
      <c r="K485" s="55" t="s">
        <v>179</v>
      </c>
      <c r="L485" s="56" t="s">
        <v>179</v>
      </c>
      <c r="M485" s="56" t="s">
        <v>179</v>
      </c>
      <c r="N485" s="40"/>
      <c r="O485" s="40"/>
      <c r="P485" s="57"/>
      <c r="Q485" s="57"/>
      <c r="R485" s="40"/>
      <c r="S485" s="40" t="str">
        <f t="array" ref="S485">IF(C485="","",IFERROR(_xlfn.XLOOKUP(C485,Volunteers!D:D,Volunteers!A:A),""))</f>
        <v/>
      </c>
      <c r="T485" s="40"/>
    </row>
    <row r="486">
      <c r="A486" s="52"/>
      <c r="B486" s="28"/>
      <c r="C486" s="28"/>
      <c r="D486" s="28" t="str">
        <f t="array" ref="D486">IF(B486="","",IFERROR(_xlfn.XLOOKUP(B486,'Lists &amp; Settings'!A:A,'Lists &amp; Settings'!E:E),""))</f>
        <v/>
      </c>
      <c r="E486" s="28"/>
      <c r="F486" s="28"/>
      <c r="G486" s="98"/>
      <c r="H486" s="98"/>
      <c r="I486" s="31"/>
      <c r="J486" s="54" t="s">
        <v>179</v>
      </c>
      <c r="K486" s="55" t="s">
        <v>179</v>
      </c>
      <c r="L486" s="56" t="s">
        <v>179</v>
      </c>
      <c r="M486" s="56" t="s">
        <v>179</v>
      </c>
      <c r="N486" s="28"/>
      <c r="O486" s="28"/>
      <c r="P486" s="52"/>
      <c r="Q486" s="52"/>
      <c r="R486" s="28"/>
      <c r="S486" s="28" t="str">
        <f t="array" ref="S486">IF(C486="","",IFERROR(_xlfn.XLOOKUP(C486,Volunteers!D:D,Volunteers!A:A),""))</f>
        <v/>
      </c>
      <c r="T486" s="28"/>
    </row>
    <row r="487">
      <c r="A487" s="57"/>
      <c r="B487" s="40"/>
      <c r="C487" s="40"/>
      <c r="D487" s="40" t="str">
        <f t="array" ref="D487">IF(B487="","",IFERROR(_xlfn.XLOOKUP(B487,'Lists &amp; Settings'!A:A,'Lists &amp; Settings'!E:E),""))</f>
        <v/>
      </c>
      <c r="E487" s="40"/>
      <c r="F487" s="40"/>
      <c r="G487" s="95"/>
      <c r="H487" s="95"/>
      <c r="I487" s="51"/>
      <c r="J487" s="54" t="s">
        <v>179</v>
      </c>
      <c r="K487" s="55" t="s">
        <v>179</v>
      </c>
      <c r="L487" s="56" t="s">
        <v>179</v>
      </c>
      <c r="M487" s="56" t="s">
        <v>179</v>
      </c>
      <c r="N487" s="40"/>
      <c r="O487" s="40"/>
      <c r="P487" s="57"/>
      <c r="Q487" s="57"/>
      <c r="R487" s="40"/>
      <c r="S487" s="40" t="str">
        <f t="array" ref="S487">IF(C487="","",IFERROR(_xlfn.XLOOKUP(C487,Volunteers!D:D,Volunteers!A:A),""))</f>
        <v/>
      </c>
      <c r="T487" s="40"/>
    </row>
    <row r="488">
      <c r="A488" s="52"/>
      <c r="B488" s="28"/>
      <c r="C488" s="28"/>
      <c r="D488" s="28" t="str">
        <f t="array" ref="D488">IF(B488="","",IFERROR(_xlfn.XLOOKUP(B488,'Lists &amp; Settings'!A:A,'Lists &amp; Settings'!E:E),""))</f>
        <v/>
      </c>
      <c r="E488" s="28"/>
      <c r="F488" s="28"/>
      <c r="G488" s="98"/>
      <c r="H488" s="98"/>
      <c r="I488" s="31"/>
      <c r="J488" s="54" t="s">
        <v>179</v>
      </c>
      <c r="K488" s="55" t="s">
        <v>179</v>
      </c>
      <c r="L488" s="56" t="s">
        <v>179</v>
      </c>
      <c r="M488" s="56" t="s">
        <v>179</v>
      </c>
      <c r="N488" s="28"/>
      <c r="O488" s="28"/>
      <c r="P488" s="52"/>
      <c r="Q488" s="52"/>
      <c r="R488" s="28"/>
      <c r="S488" s="28" t="str">
        <f t="array" ref="S488">IF(C488="","",IFERROR(_xlfn.XLOOKUP(C488,Volunteers!D:D,Volunteers!A:A),""))</f>
        <v/>
      </c>
      <c r="T488" s="28"/>
    </row>
    <row r="489">
      <c r="A489" s="57"/>
      <c r="B489" s="40"/>
      <c r="C489" s="40"/>
      <c r="D489" s="40" t="str">
        <f t="array" ref="D489">IF(B489="","",IFERROR(_xlfn.XLOOKUP(B489,'Lists &amp; Settings'!A:A,'Lists &amp; Settings'!E:E),""))</f>
        <v/>
      </c>
      <c r="E489" s="40"/>
      <c r="F489" s="40"/>
      <c r="G489" s="95"/>
      <c r="H489" s="95"/>
      <c r="I489" s="51"/>
      <c r="J489" s="54" t="s">
        <v>179</v>
      </c>
      <c r="K489" s="55" t="s">
        <v>179</v>
      </c>
      <c r="L489" s="56" t="s">
        <v>179</v>
      </c>
      <c r="M489" s="56" t="s">
        <v>179</v>
      </c>
      <c r="N489" s="40"/>
      <c r="O489" s="40"/>
      <c r="P489" s="57"/>
      <c r="Q489" s="57"/>
      <c r="R489" s="40"/>
      <c r="S489" s="40" t="str">
        <f t="array" ref="S489">IF(C489="","",IFERROR(_xlfn.XLOOKUP(C489,Volunteers!D:D,Volunteers!A:A),""))</f>
        <v/>
      </c>
      <c r="T489" s="40"/>
    </row>
    <row r="490">
      <c r="A490" s="52"/>
      <c r="B490" s="28"/>
      <c r="C490" s="28"/>
      <c r="D490" s="28" t="str">
        <f t="array" ref="D490">IF(B490="","",IFERROR(_xlfn.XLOOKUP(B490,'Lists &amp; Settings'!A:A,'Lists &amp; Settings'!E:E),""))</f>
        <v/>
      </c>
      <c r="E490" s="28"/>
      <c r="F490" s="28"/>
      <c r="G490" s="98"/>
      <c r="H490" s="98"/>
      <c r="I490" s="31"/>
      <c r="J490" s="54" t="s">
        <v>179</v>
      </c>
      <c r="K490" s="55" t="s">
        <v>179</v>
      </c>
      <c r="L490" s="56" t="s">
        <v>179</v>
      </c>
      <c r="M490" s="56" t="s">
        <v>179</v>
      </c>
      <c r="N490" s="28"/>
      <c r="O490" s="28"/>
      <c r="P490" s="52"/>
      <c r="Q490" s="52"/>
      <c r="R490" s="28"/>
      <c r="S490" s="28" t="str">
        <f t="array" ref="S490">IF(C490="","",IFERROR(_xlfn.XLOOKUP(C490,Volunteers!D:D,Volunteers!A:A),""))</f>
        <v/>
      </c>
      <c r="T490" s="28"/>
    </row>
    <row r="491">
      <c r="A491" s="57"/>
      <c r="B491" s="40"/>
      <c r="C491" s="40"/>
      <c r="D491" s="40" t="str">
        <f t="array" ref="D491">IF(B491="","",IFERROR(_xlfn.XLOOKUP(B491,'Lists &amp; Settings'!A:A,'Lists &amp; Settings'!E:E),""))</f>
        <v/>
      </c>
      <c r="E491" s="40"/>
      <c r="F491" s="40"/>
      <c r="G491" s="95"/>
      <c r="H491" s="95"/>
      <c r="I491" s="51"/>
      <c r="J491" s="54" t="s">
        <v>179</v>
      </c>
      <c r="K491" s="55" t="s">
        <v>179</v>
      </c>
      <c r="L491" s="56" t="s">
        <v>179</v>
      </c>
      <c r="M491" s="56" t="s">
        <v>179</v>
      </c>
      <c r="N491" s="40"/>
      <c r="O491" s="40"/>
      <c r="P491" s="57"/>
      <c r="Q491" s="57"/>
      <c r="R491" s="40"/>
      <c r="S491" s="40" t="str">
        <f t="array" ref="S491">IF(C491="","",IFERROR(_xlfn.XLOOKUP(C491,Volunteers!D:D,Volunteers!A:A),""))</f>
        <v/>
      </c>
      <c r="T491" s="40"/>
    </row>
    <row r="492">
      <c r="A492" s="52"/>
      <c r="B492" s="28"/>
      <c r="C492" s="28"/>
      <c r="D492" s="28" t="str">
        <f t="array" ref="D492">IF(B492="","",IFERROR(_xlfn.XLOOKUP(B492,'Lists &amp; Settings'!A:A,'Lists &amp; Settings'!E:E),""))</f>
        <v/>
      </c>
      <c r="E492" s="28"/>
      <c r="F492" s="28"/>
      <c r="G492" s="98"/>
      <c r="H492" s="98"/>
      <c r="I492" s="31"/>
      <c r="J492" s="54" t="s">
        <v>179</v>
      </c>
      <c r="K492" s="55" t="s">
        <v>179</v>
      </c>
      <c r="L492" s="56" t="s">
        <v>179</v>
      </c>
      <c r="M492" s="56" t="s">
        <v>179</v>
      </c>
      <c r="N492" s="28"/>
      <c r="O492" s="28"/>
      <c r="P492" s="52"/>
      <c r="Q492" s="52"/>
      <c r="R492" s="28"/>
      <c r="S492" s="28" t="str">
        <f t="array" ref="S492">IF(C492="","",IFERROR(_xlfn.XLOOKUP(C492,Volunteers!D:D,Volunteers!A:A),""))</f>
        <v/>
      </c>
      <c r="T492" s="28"/>
    </row>
    <row r="493">
      <c r="A493" s="57"/>
      <c r="B493" s="40"/>
      <c r="C493" s="40"/>
      <c r="D493" s="40" t="str">
        <f t="array" ref="D493">IF(B493="","",IFERROR(_xlfn.XLOOKUP(B493,'Lists &amp; Settings'!A:A,'Lists &amp; Settings'!E:E),""))</f>
        <v/>
      </c>
      <c r="E493" s="40"/>
      <c r="F493" s="40"/>
      <c r="G493" s="95"/>
      <c r="H493" s="95"/>
      <c r="I493" s="51"/>
      <c r="J493" s="54" t="s">
        <v>179</v>
      </c>
      <c r="K493" s="55" t="s">
        <v>179</v>
      </c>
      <c r="L493" s="56" t="s">
        <v>179</v>
      </c>
      <c r="M493" s="56" t="s">
        <v>179</v>
      </c>
      <c r="N493" s="40"/>
      <c r="O493" s="40"/>
      <c r="P493" s="57"/>
      <c r="Q493" s="57"/>
      <c r="R493" s="40"/>
      <c r="S493" s="40" t="str">
        <f t="array" ref="S493">IF(C493="","",IFERROR(_xlfn.XLOOKUP(C493,Volunteers!D:D,Volunteers!A:A),""))</f>
        <v/>
      </c>
      <c r="T493" s="40"/>
    </row>
    <row r="494">
      <c r="A494" s="52"/>
      <c r="B494" s="28"/>
      <c r="C494" s="28"/>
      <c r="D494" s="28" t="str">
        <f t="array" ref="D494">IF(B494="","",IFERROR(_xlfn.XLOOKUP(B494,'Lists &amp; Settings'!A:A,'Lists &amp; Settings'!E:E),""))</f>
        <v/>
      </c>
      <c r="E494" s="28"/>
      <c r="F494" s="28"/>
      <c r="G494" s="98"/>
      <c r="H494" s="98"/>
      <c r="I494" s="31"/>
      <c r="J494" s="54" t="s">
        <v>179</v>
      </c>
      <c r="K494" s="55" t="s">
        <v>179</v>
      </c>
      <c r="L494" s="56" t="s">
        <v>179</v>
      </c>
      <c r="M494" s="56" t="s">
        <v>179</v>
      </c>
      <c r="N494" s="28"/>
      <c r="O494" s="28"/>
      <c r="P494" s="52"/>
      <c r="Q494" s="52"/>
      <c r="R494" s="28"/>
      <c r="S494" s="28" t="str">
        <f t="array" ref="S494">IF(C494="","",IFERROR(_xlfn.XLOOKUP(C494,Volunteers!D:D,Volunteers!A:A),""))</f>
        <v/>
      </c>
      <c r="T494" s="28"/>
    </row>
    <row r="495">
      <c r="A495" s="57"/>
      <c r="B495" s="40"/>
      <c r="C495" s="40"/>
      <c r="D495" s="40" t="str">
        <f t="array" ref="D495">IF(B495="","",IFERROR(_xlfn.XLOOKUP(B495,'Lists &amp; Settings'!A:A,'Lists &amp; Settings'!E:E),""))</f>
        <v/>
      </c>
      <c r="E495" s="40"/>
      <c r="F495" s="40"/>
      <c r="G495" s="95"/>
      <c r="H495" s="95"/>
      <c r="I495" s="51"/>
      <c r="J495" s="54" t="s">
        <v>179</v>
      </c>
      <c r="K495" s="55" t="s">
        <v>179</v>
      </c>
      <c r="L495" s="56" t="s">
        <v>179</v>
      </c>
      <c r="M495" s="56" t="s">
        <v>179</v>
      </c>
      <c r="N495" s="40"/>
      <c r="O495" s="40"/>
      <c r="P495" s="57"/>
      <c r="Q495" s="57"/>
      <c r="R495" s="40"/>
      <c r="S495" s="40" t="str">
        <f t="array" ref="S495">IF(C495="","",IFERROR(_xlfn.XLOOKUP(C495,Volunteers!D:D,Volunteers!A:A),""))</f>
        <v/>
      </c>
      <c r="T495" s="40"/>
    </row>
    <row r="496">
      <c r="A496" s="52"/>
      <c r="B496" s="28"/>
      <c r="C496" s="28"/>
      <c r="D496" s="28" t="str">
        <f t="array" ref="D496">IF(B496="","",IFERROR(_xlfn.XLOOKUP(B496,'Lists &amp; Settings'!A:A,'Lists &amp; Settings'!E:E),""))</f>
        <v/>
      </c>
      <c r="E496" s="28"/>
      <c r="F496" s="28"/>
      <c r="G496" s="98"/>
      <c r="H496" s="98"/>
      <c r="I496" s="31"/>
      <c r="J496" s="54" t="s">
        <v>179</v>
      </c>
      <c r="K496" s="55" t="s">
        <v>179</v>
      </c>
      <c r="L496" s="56" t="s">
        <v>179</v>
      </c>
      <c r="M496" s="56" t="s">
        <v>179</v>
      </c>
      <c r="N496" s="28"/>
      <c r="O496" s="28"/>
      <c r="P496" s="52"/>
      <c r="Q496" s="52"/>
      <c r="R496" s="28"/>
      <c r="S496" s="28" t="str">
        <f t="array" ref="S496">IF(C496="","",IFERROR(_xlfn.XLOOKUP(C496,Volunteers!D:D,Volunteers!A:A),""))</f>
        <v/>
      </c>
      <c r="T496" s="28"/>
    </row>
    <row r="497">
      <c r="A497" s="57"/>
      <c r="B497" s="40"/>
      <c r="C497" s="40"/>
      <c r="D497" s="40" t="str">
        <f t="array" ref="D497">IF(B497="","",IFERROR(_xlfn.XLOOKUP(B497,'Lists &amp; Settings'!A:A,'Lists &amp; Settings'!E:E),""))</f>
        <v/>
      </c>
      <c r="E497" s="40"/>
      <c r="F497" s="40"/>
      <c r="G497" s="95"/>
      <c r="H497" s="95"/>
      <c r="I497" s="51"/>
      <c r="J497" s="54" t="s">
        <v>179</v>
      </c>
      <c r="K497" s="55" t="s">
        <v>179</v>
      </c>
      <c r="L497" s="56" t="s">
        <v>179</v>
      </c>
      <c r="M497" s="56" t="s">
        <v>179</v>
      </c>
      <c r="N497" s="40"/>
      <c r="O497" s="40"/>
      <c r="P497" s="57"/>
      <c r="Q497" s="57"/>
      <c r="R497" s="40"/>
      <c r="S497" s="40" t="str">
        <f t="array" ref="S497">IF(C497="","",IFERROR(_xlfn.XLOOKUP(C497,Volunteers!D:D,Volunteers!A:A),""))</f>
        <v/>
      </c>
      <c r="T497" s="40"/>
    </row>
    <row r="498">
      <c r="A498" s="52"/>
      <c r="B498" s="28"/>
      <c r="C498" s="28"/>
      <c r="D498" s="28" t="str">
        <f t="array" ref="D498">IF(B498="","",IFERROR(_xlfn.XLOOKUP(B498,'Lists &amp; Settings'!A:A,'Lists &amp; Settings'!E:E),""))</f>
        <v/>
      </c>
      <c r="E498" s="28"/>
      <c r="F498" s="28"/>
      <c r="G498" s="98"/>
      <c r="H498" s="98"/>
      <c r="I498" s="31"/>
      <c r="J498" s="54" t="s">
        <v>179</v>
      </c>
      <c r="K498" s="55" t="s">
        <v>179</v>
      </c>
      <c r="L498" s="56" t="s">
        <v>179</v>
      </c>
      <c r="M498" s="56" t="s">
        <v>179</v>
      </c>
      <c r="N498" s="28"/>
      <c r="O498" s="28"/>
      <c r="P498" s="52"/>
      <c r="Q498" s="52"/>
      <c r="R498" s="28"/>
      <c r="S498" s="28" t="str">
        <f t="array" ref="S498">IF(C498="","",IFERROR(_xlfn.XLOOKUP(C498,Volunteers!D:D,Volunteers!A:A),""))</f>
        <v/>
      </c>
      <c r="T498" s="28"/>
    </row>
    <row r="499">
      <c r="A499" s="57"/>
      <c r="B499" s="40"/>
      <c r="C499" s="40"/>
      <c r="D499" s="40" t="str">
        <f t="array" ref="D499">IF(B499="","",IFERROR(_xlfn.XLOOKUP(B499,'Lists &amp; Settings'!A:A,'Lists &amp; Settings'!E:E),""))</f>
        <v/>
      </c>
      <c r="E499" s="40"/>
      <c r="F499" s="40"/>
      <c r="G499" s="95"/>
      <c r="H499" s="95"/>
      <c r="I499" s="51"/>
      <c r="J499" s="54" t="s">
        <v>179</v>
      </c>
      <c r="K499" s="55" t="s">
        <v>179</v>
      </c>
      <c r="L499" s="56" t="s">
        <v>179</v>
      </c>
      <c r="M499" s="56" t="s">
        <v>179</v>
      </c>
      <c r="N499" s="40"/>
      <c r="O499" s="40"/>
      <c r="P499" s="57"/>
      <c r="Q499" s="57"/>
      <c r="R499" s="40"/>
      <c r="S499" s="40" t="str">
        <f t="array" ref="S499">IF(C499="","",IFERROR(_xlfn.XLOOKUP(C499,Volunteers!D:D,Volunteers!A:A),""))</f>
        <v/>
      </c>
      <c r="T499" s="40"/>
    </row>
    <row r="500">
      <c r="A500" s="52"/>
      <c r="B500" s="28"/>
      <c r="C500" s="28"/>
      <c r="D500" s="28" t="str">
        <f t="array" ref="D500">IF(B500="","",IFERROR(_xlfn.XLOOKUP(B500,'Lists &amp; Settings'!A:A,'Lists &amp; Settings'!E:E),""))</f>
        <v/>
      </c>
      <c r="E500" s="28"/>
      <c r="F500" s="28"/>
      <c r="G500" s="98"/>
      <c r="H500" s="98"/>
      <c r="I500" s="31"/>
      <c r="J500" s="54" t="s">
        <v>179</v>
      </c>
      <c r="K500" s="55" t="s">
        <v>179</v>
      </c>
      <c r="L500" s="56" t="s">
        <v>179</v>
      </c>
      <c r="M500" s="56" t="s">
        <v>179</v>
      </c>
      <c r="N500" s="28"/>
      <c r="O500" s="28"/>
      <c r="P500" s="52"/>
      <c r="Q500" s="52"/>
      <c r="R500" s="28"/>
      <c r="S500" s="28" t="str">
        <f t="array" ref="S500">IF(C500="","",IFERROR(_xlfn.XLOOKUP(C500,Volunteers!D:D,Volunteers!A:A),""))</f>
        <v/>
      </c>
      <c r="T500" s="28"/>
    </row>
    <row r="501">
      <c r="A501" s="57"/>
      <c r="B501" s="40"/>
      <c r="C501" s="40"/>
      <c r="D501" s="40" t="str">
        <f t="array" ref="D501">IF(B501="","",IFERROR(_xlfn.XLOOKUP(B501,'Lists &amp; Settings'!A:A,'Lists &amp; Settings'!E:E),""))</f>
        <v/>
      </c>
      <c r="E501" s="40"/>
      <c r="F501" s="40"/>
      <c r="G501" s="95"/>
      <c r="H501" s="95"/>
      <c r="I501" s="51"/>
      <c r="J501" s="54" t="s">
        <v>179</v>
      </c>
      <c r="K501" s="55" t="s">
        <v>179</v>
      </c>
      <c r="L501" s="56" t="s">
        <v>179</v>
      </c>
      <c r="M501" s="56" t="s">
        <v>179</v>
      </c>
      <c r="N501" s="40"/>
      <c r="O501" s="40"/>
      <c r="P501" s="57"/>
      <c r="Q501" s="57"/>
      <c r="R501" s="40"/>
      <c r="S501" s="40" t="str">
        <f t="array" ref="S501">IF(C501="","",IFERROR(_xlfn.XLOOKUP(C501,Volunteers!D:D,Volunteers!A:A),""))</f>
        <v/>
      </c>
      <c r="T501" s="40"/>
    </row>
    <row r="502">
      <c r="A502" s="52"/>
      <c r="B502" s="28"/>
      <c r="C502" s="28"/>
      <c r="D502" s="28" t="str">
        <f t="array" ref="D502">IF(B502="","",IFERROR(_xlfn.XLOOKUP(B502,'Lists &amp; Settings'!A:A,'Lists &amp; Settings'!E:E),""))</f>
        <v/>
      </c>
      <c r="E502" s="28"/>
      <c r="F502" s="28"/>
      <c r="G502" s="98"/>
      <c r="H502" s="98"/>
      <c r="I502" s="31"/>
      <c r="J502" s="54" t="s">
        <v>179</v>
      </c>
      <c r="K502" s="55" t="s">
        <v>179</v>
      </c>
      <c r="L502" s="56" t="s">
        <v>179</v>
      </c>
      <c r="M502" s="56" t="s">
        <v>179</v>
      </c>
      <c r="N502" s="28"/>
      <c r="O502" s="28"/>
      <c r="P502" s="52"/>
      <c r="Q502" s="52"/>
      <c r="R502" s="28"/>
      <c r="S502" s="28" t="str">
        <f t="array" ref="S502">IF(C502="","",IFERROR(_xlfn.XLOOKUP(C502,Volunteers!D:D,Volunteers!A:A),""))</f>
        <v/>
      </c>
      <c r="T502" s="28"/>
    </row>
    <row r="503">
      <c r="A503" s="57"/>
      <c r="B503" s="40"/>
      <c r="C503" s="40"/>
      <c r="D503" s="40" t="str">
        <f t="array" ref="D503">IF(B503="","",IFERROR(_xlfn.XLOOKUP(B503,'Lists &amp; Settings'!A:A,'Lists &amp; Settings'!E:E),""))</f>
        <v/>
      </c>
      <c r="E503" s="40"/>
      <c r="F503" s="40"/>
      <c r="G503" s="95"/>
      <c r="H503" s="95"/>
      <c r="I503" s="51"/>
      <c r="J503" s="54" t="s">
        <v>179</v>
      </c>
      <c r="K503" s="55" t="s">
        <v>179</v>
      </c>
      <c r="L503" s="56" t="s">
        <v>179</v>
      </c>
      <c r="M503" s="56" t="s">
        <v>179</v>
      </c>
      <c r="N503" s="40"/>
      <c r="O503" s="40"/>
      <c r="P503" s="57"/>
      <c r="Q503" s="57"/>
      <c r="R503" s="40"/>
      <c r="S503" s="40" t="str">
        <f t="array" ref="S503">IF(C503="","",IFERROR(_xlfn.XLOOKUP(C503,Volunteers!D:D,Volunteers!A:A),""))</f>
        <v/>
      </c>
      <c r="T503" s="40"/>
    </row>
    <row r="504">
      <c r="A504" s="52"/>
      <c r="B504" s="28"/>
      <c r="C504" s="28"/>
      <c r="D504" s="28" t="str">
        <f t="array" ref="D504">IF(B504="","",IFERROR(_xlfn.XLOOKUP(B504,'Lists &amp; Settings'!A:A,'Lists &amp; Settings'!E:E),""))</f>
        <v/>
      </c>
      <c r="E504" s="28"/>
      <c r="F504" s="28"/>
      <c r="G504" s="98"/>
      <c r="H504" s="98"/>
      <c r="I504" s="31"/>
      <c r="J504" s="54" t="s">
        <v>179</v>
      </c>
      <c r="K504" s="55" t="s">
        <v>179</v>
      </c>
      <c r="L504" s="56" t="s">
        <v>179</v>
      </c>
      <c r="M504" s="56" t="s">
        <v>179</v>
      </c>
      <c r="N504" s="28"/>
      <c r="O504" s="28"/>
      <c r="P504" s="52"/>
      <c r="Q504" s="52"/>
      <c r="R504" s="28"/>
      <c r="S504" s="28" t="str">
        <f t="array" ref="S504">IF(C504="","",IFERROR(_xlfn.XLOOKUP(C504,Volunteers!D:D,Volunteers!A:A),""))</f>
        <v/>
      </c>
      <c r="T504" s="28"/>
    </row>
    <row r="505">
      <c r="A505" s="57"/>
      <c r="B505" s="40"/>
      <c r="C505" s="40"/>
      <c r="D505" s="40" t="str">
        <f t="array" ref="D505">IF(B505="","",IFERROR(_xlfn.XLOOKUP(B505,'Lists &amp; Settings'!A:A,'Lists &amp; Settings'!E:E),""))</f>
        <v/>
      </c>
      <c r="E505" s="40"/>
      <c r="F505" s="40"/>
      <c r="G505" s="95"/>
      <c r="H505" s="95"/>
      <c r="I505" s="51"/>
      <c r="J505" s="54" t="s">
        <v>179</v>
      </c>
      <c r="K505" s="55" t="s">
        <v>179</v>
      </c>
      <c r="L505" s="56" t="s">
        <v>179</v>
      </c>
      <c r="M505" s="56" t="s">
        <v>179</v>
      </c>
      <c r="N505" s="40"/>
      <c r="O505" s="40"/>
      <c r="P505" s="57"/>
      <c r="Q505" s="57"/>
      <c r="R505" s="40"/>
      <c r="S505" s="40" t="str">
        <f t="array" ref="S505">IF(C505="","",IFERROR(_xlfn.XLOOKUP(C505,Volunteers!D:D,Volunteers!A:A),""))</f>
        <v/>
      </c>
      <c r="T505" s="40"/>
    </row>
    <row r="506">
      <c r="A506" s="52"/>
      <c r="B506" s="28"/>
      <c r="C506" s="28"/>
      <c r="D506" s="28" t="str">
        <f t="array" ref="D506">IF(B506="","",IFERROR(_xlfn.XLOOKUP(B506,'Lists &amp; Settings'!A:A,'Lists &amp; Settings'!E:E),""))</f>
        <v/>
      </c>
      <c r="E506" s="28"/>
      <c r="F506" s="28"/>
      <c r="G506" s="98"/>
      <c r="H506" s="98"/>
      <c r="I506" s="31"/>
      <c r="J506" s="54" t="s">
        <v>179</v>
      </c>
      <c r="K506" s="55" t="s">
        <v>179</v>
      </c>
      <c r="L506" s="56" t="s">
        <v>179</v>
      </c>
      <c r="M506" s="56" t="s">
        <v>179</v>
      </c>
      <c r="N506" s="28"/>
      <c r="O506" s="28"/>
      <c r="P506" s="52"/>
      <c r="Q506" s="52"/>
      <c r="R506" s="28"/>
      <c r="S506" s="28" t="str">
        <f t="array" ref="S506">IF(C506="","",IFERROR(_xlfn.XLOOKUP(C506,Volunteers!D:D,Volunteers!A:A),""))</f>
        <v/>
      </c>
      <c r="T506" s="28"/>
    </row>
    <row r="507">
      <c r="A507" s="57"/>
      <c r="B507" s="40"/>
      <c r="C507" s="40"/>
      <c r="D507" s="40" t="str">
        <f t="array" ref="D507">IF(B507="","",IFERROR(_xlfn.XLOOKUP(B507,'Lists &amp; Settings'!A:A,'Lists &amp; Settings'!E:E),""))</f>
        <v/>
      </c>
      <c r="E507" s="40"/>
      <c r="F507" s="40"/>
      <c r="G507" s="95"/>
      <c r="H507" s="95"/>
      <c r="I507" s="51"/>
      <c r="J507" s="54" t="s">
        <v>179</v>
      </c>
      <c r="K507" s="55" t="s">
        <v>179</v>
      </c>
      <c r="L507" s="56" t="s">
        <v>179</v>
      </c>
      <c r="M507" s="56" t="s">
        <v>179</v>
      </c>
      <c r="N507" s="40"/>
      <c r="O507" s="40"/>
      <c r="P507" s="57"/>
      <c r="Q507" s="57"/>
      <c r="R507" s="40"/>
      <c r="S507" s="40" t="str">
        <f t="array" ref="S507">IF(C507="","",IFERROR(_xlfn.XLOOKUP(C507,Volunteers!D:D,Volunteers!A:A),""))</f>
        <v/>
      </c>
      <c r="T507" s="40"/>
    </row>
    <row r="508">
      <c r="A508" s="52"/>
      <c r="B508" s="28"/>
      <c r="C508" s="28"/>
      <c r="D508" s="28" t="str">
        <f t="array" ref="D508">IF(B508="","",IFERROR(_xlfn.XLOOKUP(B508,'Lists &amp; Settings'!A:A,'Lists &amp; Settings'!E:E),""))</f>
        <v/>
      </c>
      <c r="E508" s="28"/>
      <c r="F508" s="28"/>
      <c r="G508" s="98"/>
      <c r="H508" s="98"/>
      <c r="I508" s="31"/>
      <c r="J508" s="54" t="s">
        <v>179</v>
      </c>
      <c r="K508" s="55" t="s">
        <v>179</v>
      </c>
      <c r="L508" s="56" t="s">
        <v>179</v>
      </c>
      <c r="M508" s="56" t="s">
        <v>179</v>
      </c>
      <c r="N508" s="28"/>
      <c r="O508" s="28"/>
      <c r="P508" s="52"/>
      <c r="Q508" s="52"/>
      <c r="R508" s="28"/>
      <c r="S508" s="28" t="str">
        <f t="array" ref="S508">IF(C508="","",IFERROR(_xlfn.XLOOKUP(C508,Volunteers!D:D,Volunteers!A:A),""))</f>
        <v/>
      </c>
      <c r="T508" s="28"/>
    </row>
    <row r="509">
      <c r="A509" s="57"/>
      <c r="B509" s="40"/>
      <c r="C509" s="40"/>
      <c r="D509" s="40" t="str">
        <f t="array" ref="D509">IF(B509="","",IFERROR(_xlfn.XLOOKUP(B509,'Lists &amp; Settings'!A:A,'Lists &amp; Settings'!E:E),""))</f>
        <v/>
      </c>
      <c r="E509" s="40"/>
      <c r="F509" s="40"/>
      <c r="G509" s="95"/>
      <c r="H509" s="95"/>
      <c r="I509" s="51"/>
      <c r="J509" s="54" t="s">
        <v>179</v>
      </c>
      <c r="K509" s="55" t="s">
        <v>179</v>
      </c>
      <c r="L509" s="56" t="s">
        <v>179</v>
      </c>
      <c r="M509" s="56" t="s">
        <v>179</v>
      </c>
      <c r="N509" s="40"/>
      <c r="O509" s="40"/>
      <c r="P509" s="57"/>
      <c r="Q509" s="57"/>
      <c r="R509" s="40"/>
      <c r="S509" s="40" t="str">
        <f t="array" ref="S509">IF(C509="","",IFERROR(_xlfn.XLOOKUP(C509,Volunteers!D:D,Volunteers!A:A),""))</f>
        <v/>
      </c>
      <c r="T509" s="40"/>
    </row>
    <row r="510">
      <c r="A510" s="52"/>
      <c r="B510" s="28"/>
      <c r="C510" s="28"/>
      <c r="D510" s="28" t="str">
        <f t="array" ref="D510">IF(B510="","",IFERROR(_xlfn.XLOOKUP(B510,'Lists &amp; Settings'!A:A,'Lists &amp; Settings'!E:E),""))</f>
        <v/>
      </c>
      <c r="E510" s="28"/>
      <c r="F510" s="28"/>
      <c r="G510" s="98"/>
      <c r="H510" s="98"/>
      <c r="I510" s="31"/>
      <c r="J510" s="54" t="s">
        <v>179</v>
      </c>
      <c r="K510" s="55" t="s">
        <v>179</v>
      </c>
      <c r="L510" s="56" t="s">
        <v>179</v>
      </c>
      <c r="M510" s="56" t="s">
        <v>179</v>
      </c>
      <c r="N510" s="28"/>
      <c r="O510" s="28"/>
      <c r="P510" s="52"/>
      <c r="Q510" s="52"/>
      <c r="R510" s="28"/>
      <c r="S510" s="28" t="str">
        <f t="array" ref="S510">IF(C510="","",IFERROR(_xlfn.XLOOKUP(C510,Volunteers!D:D,Volunteers!A:A),""))</f>
        <v/>
      </c>
      <c r="T510" s="28"/>
    </row>
    <row r="511">
      <c r="A511" s="57"/>
      <c r="B511" s="40"/>
      <c r="C511" s="40"/>
      <c r="D511" s="40" t="str">
        <f t="array" ref="D511">IF(B511="","",IFERROR(_xlfn.XLOOKUP(B511,'Lists &amp; Settings'!A:A,'Lists &amp; Settings'!E:E),""))</f>
        <v/>
      </c>
      <c r="E511" s="40"/>
      <c r="F511" s="40"/>
      <c r="G511" s="95"/>
      <c r="H511" s="95"/>
      <c r="I511" s="51"/>
      <c r="J511" s="54" t="s">
        <v>179</v>
      </c>
      <c r="K511" s="55" t="s">
        <v>179</v>
      </c>
      <c r="L511" s="56" t="s">
        <v>179</v>
      </c>
      <c r="M511" s="56" t="s">
        <v>179</v>
      </c>
      <c r="N511" s="40"/>
      <c r="O511" s="40"/>
      <c r="P511" s="57"/>
      <c r="Q511" s="57"/>
      <c r="R511" s="40"/>
      <c r="S511" s="40" t="str">
        <f t="array" ref="S511">IF(C511="","",IFERROR(_xlfn.XLOOKUP(C511,Volunteers!D:D,Volunteers!A:A),""))</f>
        <v/>
      </c>
      <c r="T511" s="40"/>
    </row>
    <row r="512">
      <c r="A512" s="52"/>
      <c r="B512" s="28"/>
      <c r="C512" s="28"/>
      <c r="D512" s="28" t="str">
        <f t="array" ref="D512">IF(B512="","",IFERROR(_xlfn.XLOOKUP(B512,'Lists &amp; Settings'!A:A,'Lists &amp; Settings'!E:E),""))</f>
        <v/>
      </c>
      <c r="E512" s="28"/>
      <c r="F512" s="28"/>
      <c r="G512" s="98"/>
      <c r="H512" s="98"/>
      <c r="I512" s="31"/>
      <c r="J512" s="54" t="s">
        <v>179</v>
      </c>
      <c r="K512" s="55" t="s">
        <v>179</v>
      </c>
      <c r="L512" s="56" t="s">
        <v>179</v>
      </c>
      <c r="M512" s="56" t="s">
        <v>179</v>
      </c>
      <c r="N512" s="28"/>
      <c r="O512" s="28"/>
      <c r="P512" s="52"/>
      <c r="Q512" s="52"/>
      <c r="R512" s="28"/>
      <c r="S512" s="28" t="str">
        <f t="array" ref="S512">IF(C512="","",IFERROR(_xlfn.XLOOKUP(C512,Volunteers!D:D,Volunteers!A:A),""))</f>
        <v/>
      </c>
      <c r="T512" s="28"/>
    </row>
    <row r="513">
      <c r="A513" s="57"/>
      <c r="B513" s="40"/>
      <c r="C513" s="40"/>
      <c r="D513" s="40" t="str">
        <f t="array" ref="D513">IF(B513="","",IFERROR(_xlfn.XLOOKUP(B513,'Lists &amp; Settings'!A:A,'Lists &amp; Settings'!E:E),""))</f>
        <v/>
      </c>
      <c r="E513" s="40"/>
      <c r="F513" s="40"/>
      <c r="G513" s="95"/>
      <c r="H513" s="95"/>
      <c r="I513" s="51"/>
      <c r="J513" s="54" t="s">
        <v>179</v>
      </c>
      <c r="K513" s="55" t="s">
        <v>179</v>
      </c>
      <c r="L513" s="56" t="s">
        <v>179</v>
      </c>
      <c r="M513" s="56" t="s">
        <v>179</v>
      </c>
      <c r="N513" s="40"/>
      <c r="O513" s="40"/>
      <c r="P513" s="57"/>
      <c r="Q513" s="57"/>
      <c r="R513" s="40"/>
      <c r="S513" s="40" t="str">
        <f t="array" ref="S513">IF(C513="","",IFERROR(_xlfn.XLOOKUP(C513,Volunteers!D:D,Volunteers!A:A),""))</f>
        <v/>
      </c>
      <c r="T513" s="40"/>
    </row>
    <row r="514">
      <c r="A514" s="52"/>
      <c r="B514" s="28"/>
      <c r="C514" s="28"/>
      <c r="D514" s="28" t="str">
        <f t="array" ref="D514">IF(B514="","",IFERROR(_xlfn.XLOOKUP(B514,'Lists &amp; Settings'!A:A,'Lists &amp; Settings'!E:E),""))</f>
        <v/>
      </c>
      <c r="E514" s="28"/>
      <c r="F514" s="28"/>
      <c r="G514" s="98"/>
      <c r="H514" s="98"/>
      <c r="I514" s="31"/>
      <c r="J514" s="54" t="s">
        <v>179</v>
      </c>
      <c r="K514" s="55" t="s">
        <v>179</v>
      </c>
      <c r="L514" s="56" t="s">
        <v>179</v>
      </c>
      <c r="M514" s="56" t="s">
        <v>179</v>
      </c>
      <c r="N514" s="28"/>
      <c r="O514" s="28"/>
      <c r="P514" s="52"/>
      <c r="Q514" s="52"/>
      <c r="R514" s="28"/>
      <c r="S514" s="28" t="str">
        <f t="array" ref="S514">IF(C514="","",IFERROR(_xlfn.XLOOKUP(C514,Volunteers!D:D,Volunteers!A:A),""))</f>
        <v/>
      </c>
      <c r="T514" s="28"/>
    </row>
    <row r="515">
      <c r="A515" s="57"/>
      <c r="B515" s="40"/>
      <c r="C515" s="40"/>
      <c r="D515" s="40" t="str">
        <f t="array" ref="D515">IF(B515="","",IFERROR(_xlfn.XLOOKUP(B515,'Lists &amp; Settings'!A:A,'Lists &amp; Settings'!E:E),""))</f>
        <v/>
      </c>
      <c r="E515" s="40"/>
      <c r="F515" s="40"/>
      <c r="G515" s="95"/>
      <c r="H515" s="95"/>
      <c r="I515" s="51"/>
      <c r="J515" s="54" t="s">
        <v>179</v>
      </c>
      <c r="K515" s="55" t="s">
        <v>179</v>
      </c>
      <c r="L515" s="56" t="s">
        <v>179</v>
      </c>
      <c r="M515" s="56" t="s">
        <v>179</v>
      </c>
      <c r="N515" s="40"/>
      <c r="O515" s="40"/>
      <c r="P515" s="57"/>
      <c r="Q515" s="57"/>
      <c r="R515" s="40"/>
      <c r="S515" s="40" t="str">
        <f t="array" ref="S515">IF(C515="","",IFERROR(_xlfn.XLOOKUP(C515,Volunteers!D:D,Volunteers!A:A),""))</f>
        <v/>
      </c>
      <c r="T515" s="40"/>
    </row>
    <row r="516">
      <c r="A516" s="52"/>
      <c r="B516" s="28"/>
      <c r="C516" s="28"/>
      <c r="D516" s="28" t="str">
        <f t="array" ref="D516">IF(B516="","",IFERROR(_xlfn.XLOOKUP(B516,'Lists &amp; Settings'!A:A,'Lists &amp; Settings'!E:E),""))</f>
        <v/>
      </c>
      <c r="E516" s="28"/>
      <c r="F516" s="28"/>
      <c r="G516" s="98"/>
      <c r="H516" s="98"/>
      <c r="I516" s="31"/>
      <c r="J516" s="54" t="s">
        <v>179</v>
      </c>
      <c r="K516" s="55" t="s">
        <v>179</v>
      </c>
      <c r="L516" s="56" t="s">
        <v>179</v>
      </c>
      <c r="M516" s="56" t="s">
        <v>179</v>
      </c>
      <c r="N516" s="28"/>
      <c r="O516" s="28"/>
      <c r="P516" s="52"/>
      <c r="Q516" s="52"/>
      <c r="R516" s="28"/>
      <c r="S516" s="28" t="str">
        <f t="array" ref="S516">IF(C516="","",IFERROR(_xlfn.XLOOKUP(C516,Volunteers!D:D,Volunteers!A:A),""))</f>
        <v/>
      </c>
      <c r="T516" s="28"/>
    </row>
    <row r="517">
      <c r="A517" s="57"/>
      <c r="B517" s="40"/>
      <c r="C517" s="40"/>
      <c r="D517" s="40" t="str">
        <f t="array" ref="D517">IF(B517="","",IFERROR(_xlfn.XLOOKUP(B517,'Lists &amp; Settings'!A:A,'Lists &amp; Settings'!E:E),""))</f>
        <v/>
      </c>
      <c r="E517" s="40"/>
      <c r="F517" s="40"/>
      <c r="G517" s="95"/>
      <c r="H517" s="95"/>
      <c r="I517" s="51"/>
      <c r="J517" s="54" t="s">
        <v>179</v>
      </c>
      <c r="K517" s="55" t="s">
        <v>179</v>
      </c>
      <c r="L517" s="56" t="s">
        <v>179</v>
      </c>
      <c r="M517" s="56" t="s">
        <v>179</v>
      </c>
      <c r="N517" s="40"/>
      <c r="O517" s="40"/>
      <c r="P517" s="57"/>
      <c r="Q517" s="57"/>
      <c r="R517" s="40"/>
      <c r="S517" s="40" t="str">
        <f t="array" ref="S517">IF(C517="","",IFERROR(_xlfn.XLOOKUP(C517,Volunteers!D:D,Volunteers!A:A),""))</f>
        <v/>
      </c>
      <c r="T517" s="40"/>
    </row>
    <row r="518">
      <c r="A518" s="52"/>
      <c r="B518" s="28"/>
      <c r="C518" s="28"/>
      <c r="D518" s="28" t="str">
        <f t="array" ref="D518">IF(B518="","",IFERROR(_xlfn.XLOOKUP(B518,'Lists &amp; Settings'!A:A,'Lists &amp; Settings'!E:E),""))</f>
        <v/>
      </c>
      <c r="E518" s="28"/>
      <c r="F518" s="28"/>
      <c r="G518" s="98"/>
      <c r="H518" s="98"/>
      <c r="I518" s="31"/>
      <c r="J518" s="54" t="s">
        <v>179</v>
      </c>
      <c r="K518" s="55" t="s">
        <v>179</v>
      </c>
      <c r="L518" s="56" t="s">
        <v>179</v>
      </c>
      <c r="M518" s="56" t="s">
        <v>179</v>
      </c>
      <c r="N518" s="28"/>
      <c r="O518" s="28"/>
      <c r="P518" s="52"/>
      <c r="Q518" s="52"/>
      <c r="R518" s="28"/>
      <c r="S518" s="28" t="str">
        <f t="array" ref="S518">IF(C518="","",IFERROR(_xlfn.XLOOKUP(C518,Volunteers!D:D,Volunteers!A:A),""))</f>
        <v/>
      </c>
      <c r="T518" s="28"/>
    </row>
    <row r="519">
      <c r="A519" s="57"/>
      <c r="B519" s="40"/>
      <c r="C519" s="40"/>
      <c r="D519" s="40" t="str">
        <f t="array" ref="D519">IF(B519="","",IFERROR(_xlfn.XLOOKUP(B519,'Lists &amp; Settings'!A:A,'Lists &amp; Settings'!E:E),""))</f>
        <v/>
      </c>
      <c r="E519" s="40"/>
      <c r="F519" s="40"/>
      <c r="G519" s="95"/>
      <c r="H519" s="95"/>
      <c r="I519" s="51"/>
      <c r="J519" s="54" t="s">
        <v>179</v>
      </c>
      <c r="K519" s="55" t="s">
        <v>179</v>
      </c>
      <c r="L519" s="56" t="s">
        <v>179</v>
      </c>
      <c r="M519" s="56" t="s">
        <v>179</v>
      </c>
      <c r="N519" s="40"/>
      <c r="O519" s="40"/>
      <c r="P519" s="57"/>
      <c r="Q519" s="57"/>
      <c r="R519" s="40"/>
      <c r="S519" s="40" t="str">
        <f t="array" ref="S519">IF(C519="","",IFERROR(_xlfn.XLOOKUP(C519,Volunteers!D:D,Volunteers!A:A),""))</f>
        <v/>
      </c>
      <c r="T519" s="40"/>
    </row>
    <row r="520">
      <c r="A520" s="52"/>
      <c r="B520" s="28"/>
      <c r="C520" s="28"/>
      <c r="D520" s="28" t="str">
        <f t="array" ref="D520">IF(B520="","",IFERROR(_xlfn.XLOOKUP(B520,'Lists &amp; Settings'!A:A,'Lists &amp; Settings'!E:E),""))</f>
        <v/>
      </c>
      <c r="E520" s="28"/>
      <c r="F520" s="28"/>
      <c r="G520" s="98"/>
      <c r="H520" s="98"/>
      <c r="I520" s="31"/>
      <c r="J520" s="54" t="s">
        <v>179</v>
      </c>
      <c r="K520" s="55" t="s">
        <v>179</v>
      </c>
      <c r="L520" s="56" t="s">
        <v>179</v>
      </c>
      <c r="M520" s="56" t="s">
        <v>179</v>
      </c>
      <c r="N520" s="28"/>
      <c r="O520" s="28"/>
      <c r="P520" s="52"/>
      <c r="Q520" s="52"/>
      <c r="R520" s="28"/>
      <c r="S520" s="28" t="str">
        <f t="array" ref="S520">IF(C520="","",IFERROR(_xlfn.XLOOKUP(C520,Volunteers!D:D,Volunteers!A:A),""))</f>
        <v/>
      </c>
      <c r="T520" s="28"/>
    </row>
    <row r="521">
      <c r="A521" s="57"/>
      <c r="B521" s="40"/>
      <c r="C521" s="40"/>
      <c r="D521" s="40" t="str">
        <f t="array" ref="D521">IF(B521="","",IFERROR(_xlfn.XLOOKUP(B521,'Lists &amp; Settings'!A:A,'Lists &amp; Settings'!E:E),""))</f>
        <v/>
      </c>
      <c r="E521" s="40"/>
      <c r="F521" s="40"/>
      <c r="G521" s="95"/>
      <c r="H521" s="95"/>
      <c r="I521" s="51"/>
      <c r="J521" s="54" t="s">
        <v>179</v>
      </c>
      <c r="K521" s="55" t="s">
        <v>179</v>
      </c>
      <c r="L521" s="56" t="s">
        <v>179</v>
      </c>
      <c r="M521" s="56" t="s">
        <v>179</v>
      </c>
      <c r="N521" s="40"/>
      <c r="O521" s="40"/>
      <c r="P521" s="57"/>
      <c r="Q521" s="57"/>
      <c r="R521" s="40"/>
      <c r="S521" s="40" t="str">
        <f t="array" ref="S521">IF(C521="","",IFERROR(_xlfn.XLOOKUP(C521,Volunteers!D:D,Volunteers!A:A),""))</f>
        <v/>
      </c>
      <c r="T521" s="40"/>
    </row>
    <row r="522">
      <c r="A522" s="52"/>
      <c r="B522" s="28"/>
      <c r="C522" s="28"/>
      <c r="D522" s="28" t="str">
        <f t="array" ref="D522">IF(B522="","",IFERROR(_xlfn.XLOOKUP(B522,'Lists &amp; Settings'!A:A,'Lists &amp; Settings'!E:E),""))</f>
        <v/>
      </c>
      <c r="E522" s="28"/>
      <c r="F522" s="28"/>
      <c r="G522" s="98"/>
      <c r="H522" s="98"/>
      <c r="I522" s="31"/>
      <c r="J522" s="54" t="s">
        <v>179</v>
      </c>
      <c r="K522" s="55" t="s">
        <v>179</v>
      </c>
      <c r="L522" s="56" t="s">
        <v>179</v>
      </c>
      <c r="M522" s="56" t="s">
        <v>179</v>
      </c>
      <c r="N522" s="28"/>
      <c r="O522" s="28"/>
      <c r="P522" s="52"/>
      <c r="Q522" s="52"/>
      <c r="R522" s="28"/>
      <c r="S522" s="28" t="str">
        <f t="array" ref="S522">IF(C522="","",IFERROR(_xlfn.XLOOKUP(C522,Volunteers!D:D,Volunteers!A:A),""))</f>
        <v/>
      </c>
      <c r="T522" s="28"/>
    </row>
    <row r="523">
      <c r="A523" s="57"/>
      <c r="B523" s="40"/>
      <c r="C523" s="40"/>
      <c r="D523" s="40" t="str">
        <f t="array" ref="D523">IF(B523="","",IFERROR(_xlfn.XLOOKUP(B523,'Lists &amp; Settings'!A:A,'Lists &amp; Settings'!E:E),""))</f>
        <v/>
      </c>
      <c r="E523" s="40"/>
      <c r="F523" s="40"/>
      <c r="G523" s="95"/>
      <c r="H523" s="95"/>
      <c r="I523" s="51"/>
      <c r="J523" s="54" t="s">
        <v>179</v>
      </c>
      <c r="K523" s="55" t="s">
        <v>179</v>
      </c>
      <c r="L523" s="56" t="s">
        <v>179</v>
      </c>
      <c r="M523" s="56" t="s">
        <v>179</v>
      </c>
      <c r="N523" s="40"/>
      <c r="O523" s="40"/>
      <c r="P523" s="57"/>
      <c r="Q523" s="57"/>
      <c r="R523" s="40"/>
      <c r="S523" s="40" t="str">
        <f t="array" ref="S523">IF(C523="","",IFERROR(_xlfn.XLOOKUP(C523,Volunteers!D:D,Volunteers!A:A),""))</f>
        <v/>
      </c>
      <c r="T523" s="40"/>
    </row>
    <row r="524">
      <c r="A524" s="52"/>
      <c r="B524" s="28"/>
      <c r="C524" s="28"/>
      <c r="D524" s="28" t="str">
        <f t="array" ref="D524">IF(B524="","",IFERROR(_xlfn.XLOOKUP(B524,'Lists &amp; Settings'!A:A,'Lists &amp; Settings'!E:E),""))</f>
        <v/>
      </c>
      <c r="E524" s="28"/>
      <c r="F524" s="28"/>
      <c r="G524" s="98"/>
      <c r="H524" s="98"/>
      <c r="I524" s="31"/>
      <c r="J524" s="54" t="s">
        <v>179</v>
      </c>
      <c r="K524" s="55" t="s">
        <v>179</v>
      </c>
      <c r="L524" s="56" t="s">
        <v>179</v>
      </c>
      <c r="M524" s="56" t="s">
        <v>179</v>
      </c>
      <c r="N524" s="28"/>
      <c r="O524" s="28"/>
      <c r="P524" s="52"/>
      <c r="Q524" s="52"/>
      <c r="R524" s="28"/>
      <c r="S524" s="28" t="str">
        <f t="array" ref="S524">IF(C524="","",IFERROR(_xlfn.XLOOKUP(C524,Volunteers!D:D,Volunteers!A:A),""))</f>
        <v/>
      </c>
      <c r="T524" s="28"/>
    </row>
    <row r="525">
      <c r="A525" s="57"/>
      <c r="B525" s="40"/>
      <c r="C525" s="40"/>
      <c r="D525" s="40" t="str">
        <f t="array" ref="D525">IF(B525="","",IFERROR(_xlfn.XLOOKUP(B525,'Lists &amp; Settings'!A:A,'Lists &amp; Settings'!E:E),""))</f>
        <v/>
      </c>
      <c r="E525" s="40"/>
      <c r="F525" s="40"/>
      <c r="G525" s="95"/>
      <c r="H525" s="95"/>
      <c r="I525" s="51"/>
      <c r="J525" s="54" t="s">
        <v>179</v>
      </c>
      <c r="K525" s="55" t="s">
        <v>179</v>
      </c>
      <c r="L525" s="56" t="s">
        <v>179</v>
      </c>
      <c r="M525" s="56" t="s">
        <v>179</v>
      </c>
      <c r="N525" s="40"/>
      <c r="O525" s="40"/>
      <c r="P525" s="57"/>
      <c r="Q525" s="57"/>
      <c r="R525" s="40"/>
      <c r="S525" s="40" t="str">
        <f t="array" ref="S525">IF(C525="","",IFERROR(_xlfn.XLOOKUP(C525,Volunteers!D:D,Volunteers!A:A),""))</f>
        <v/>
      </c>
      <c r="T525" s="40"/>
    </row>
    <row r="526">
      <c r="A526" s="52"/>
      <c r="B526" s="28"/>
      <c r="C526" s="28"/>
      <c r="D526" s="28" t="str">
        <f t="array" ref="D526">IF(B526="","",IFERROR(_xlfn.XLOOKUP(B526,'Lists &amp; Settings'!A:A,'Lists &amp; Settings'!E:E),""))</f>
        <v/>
      </c>
      <c r="E526" s="28"/>
      <c r="F526" s="28"/>
      <c r="G526" s="98"/>
      <c r="H526" s="98"/>
      <c r="I526" s="31"/>
      <c r="J526" s="54" t="s">
        <v>179</v>
      </c>
      <c r="K526" s="55" t="s">
        <v>179</v>
      </c>
      <c r="L526" s="56" t="s">
        <v>179</v>
      </c>
      <c r="M526" s="56" t="s">
        <v>179</v>
      </c>
      <c r="N526" s="28"/>
      <c r="O526" s="28"/>
      <c r="P526" s="52"/>
      <c r="Q526" s="52"/>
      <c r="R526" s="28"/>
      <c r="S526" s="28" t="str">
        <f t="array" ref="S526">IF(C526="","",IFERROR(_xlfn.XLOOKUP(C526,Volunteers!D:D,Volunteers!A:A),""))</f>
        <v/>
      </c>
      <c r="T526" s="28"/>
    </row>
    <row r="527">
      <c r="A527" s="57"/>
      <c r="B527" s="40"/>
      <c r="C527" s="40"/>
      <c r="D527" s="40" t="str">
        <f t="array" ref="D527">IF(B527="","",IFERROR(_xlfn.XLOOKUP(B527,'Lists &amp; Settings'!A:A,'Lists &amp; Settings'!E:E),""))</f>
        <v/>
      </c>
      <c r="E527" s="40"/>
      <c r="F527" s="40"/>
      <c r="G527" s="95"/>
      <c r="H527" s="95"/>
      <c r="I527" s="51"/>
      <c r="J527" s="54" t="s">
        <v>179</v>
      </c>
      <c r="K527" s="55" t="s">
        <v>179</v>
      </c>
      <c r="L527" s="56" t="s">
        <v>179</v>
      </c>
      <c r="M527" s="56" t="s">
        <v>179</v>
      </c>
      <c r="N527" s="40"/>
      <c r="O527" s="40"/>
      <c r="P527" s="57"/>
      <c r="Q527" s="57"/>
      <c r="R527" s="40"/>
      <c r="S527" s="40" t="str">
        <f t="array" ref="S527">IF(C527="","",IFERROR(_xlfn.XLOOKUP(C527,Volunteers!D:D,Volunteers!A:A),""))</f>
        <v/>
      </c>
      <c r="T527" s="40"/>
    </row>
    <row r="528">
      <c r="A528" s="52"/>
      <c r="B528" s="28"/>
      <c r="C528" s="28"/>
      <c r="D528" s="28" t="str">
        <f t="array" ref="D528">IF(B528="","",IFERROR(_xlfn.XLOOKUP(B528,'Lists &amp; Settings'!A:A,'Lists &amp; Settings'!E:E),""))</f>
        <v/>
      </c>
      <c r="E528" s="28"/>
      <c r="F528" s="28"/>
      <c r="G528" s="98"/>
      <c r="H528" s="98"/>
      <c r="I528" s="31"/>
      <c r="J528" s="54" t="s">
        <v>179</v>
      </c>
      <c r="K528" s="55" t="s">
        <v>179</v>
      </c>
      <c r="L528" s="56" t="s">
        <v>179</v>
      </c>
      <c r="M528" s="56" t="s">
        <v>179</v>
      </c>
      <c r="N528" s="28"/>
      <c r="O528" s="28"/>
      <c r="P528" s="52"/>
      <c r="Q528" s="52"/>
      <c r="R528" s="28"/>
      <c r="S528" s="28" t="str">
        <f t="array" ref="S528">IF(C528="","",IFERROR(_xlfn.XLOOKUP(C528,Volunteers!D:D,Volunteers!A:A),""))</f>
        <v/>
      </c>
      <c r="T528" s="28"/>
    </row>
    <row r="529">
      <c r="A529" s="57"/>
      <c r="B529" s="40"/>
      <c r="C529" s="40"/>
      <c r="D529" s="40" t="str">
        <f t="array" ref="D529">IF(B529="","",IFERROR(_xlfn.XLOOKUP(B529,'Lists &amp; Settings'!A:A,'Lists &amp; Settings'!E:E),""))</f>
        <v/>
      </c>
      <c r="E529" s="40"/>
      <c r="F529" s="40"/>
      <c r="G529" s="95"/>
      <c r="H529" s="95"/>
      <c r="I529" s="51"/>
      <c r="J529" s="54" t="s">
        <v>179</v>
      </c>
      <c r="K529" s="55" t="s">
        <v>179</v>
      </c>
      <c r="L529" s="56" t="s">
        <v>179</v>
      </c>
      <c r="M529" s="56" t="s">
        <v>179</v>
      </c>
      <c r="N529" s="40"/>
      <c r="O529" s="40"/>
      <c r="P529" s="57"/>
      <c r="Q529" s="57"/>
      <c r="R529" s="40"/>
      <c r="S529" s="40" t="str">
        <f t="array" ref="S529">IF(C529="","",IFERROR(_xlfn.XLOOKUP(C529,Volunteers!D:D,Volunteers!A:A),""))</f>
        <v/>
      </c>
      <c r="T529" s="40"/>
    </row>
    <row r="530">
      <c r="A530" s="52"/>
      <c r="B530" s="28"/>
      <c r="C530" s="28"/>
      <c r="D530" s="28" t="str">
        <f t="array" ref="D530">IF(B530="","",IFERROR(_xlfn.XLOOKUP(B530,'Lists &amp; Settings'!A:A,'Lists &amp; Settings'!E:E),""))</f>
        <v/>
      </c>
      <c r="E530" s="28"/>
      <c r="F530" s="28"/>
      <c r="G530" s="98"/>
      <c r="H530" s="98"/>
      <c r="I530" s="31"/>
      <c r="J530" s="54" t="s">
        <v>179</v>
      </c>
      <c r="K530" s="55" t="s">
        <v>179</v>
      </c>
      <c r="L530" s="56" t="s">
        <v>179</v>
      </c>
      <c r="M530" s="56" t="s">
        <v>179</v>
      </c>
      <c r="N530" s="28"/>
      <c r="O530" s="28"/>
      <c r="P530" s="52"/>
      <c r="Q530" s="52"/>
      <c r="R530" s="28"/>
      <c r="S530" s="28" t="str">
        <f t="array" ref="S530">IF(C530="","",IFERROR(_xlfn.XLOOKUP(C530,Volunteers!D:D,Volunteers!A:A),""))</f>
        <v/>
      </c>
      <c r="T530" s="28"/>
    </row>
    <row r="531">
      <c r="A531" s="57"/>
      <c r="B531" s="40"/>
      <c r="C531" s="40"/>
      <c r="D531" s="40" t="str">
        <f t="array" ref="D531">IF(B531="","",IFERROR(_xlfn.XLOOKUP(B531,'Lists &amp; Settings'!A:A,'Lists &amp; Settings'!E:E),""))</f>
        <v/>
      </c>
      <c r="E531" s="40"/>
      <c r="F531" s="40"/>
      <c r="G531" s="95"/>
      <c r="H531" s="95"/>
      <c r="I531" s="51"/>
      <c r="J531" s="54" t="s">
        <v>179</v>
      </c>
      <c r="K531" s="55" t="s">
        <v>179</v>
      </c>
      <c r="L531" s="56" t="s">
        <v>179</v>
      </c>
      <c r="M531" s="56" t="s">
        <v>179</v>
      </c>
      <c r="N531" s="40"/>
      <c r="O531" s="40"/>
      <c r="P531" s="57"/>
      <c r="Q531" s="57"/>
      <c r="R531" s="40"/>
      <c r="S531" s="40" t="str">
        <f t="array" ref="S531">IF(C531="","",IFERROR(_xlfn.XLOOKUP(C531,Volunteers!D:D,Volunteers!A:A),""))</f>
        <v/>
      </c>
      <c r="T531" s="40"/>
    </row>
    <row r="532">
      <c r="A532" s="52"/>
      <c r="B532" s="28"/>
      <c r="C532" s="28"/>
      <c r="D532" s="28" t="str">
        <f t="array" ref="D532">IF(B532="","",IFERROR(_xlfn.XLOOKUP(B532,'Lists &amp; Settings'!A:A,'Lists &amp; Settings'!E:E),""))</f>
        <v/>
      </c>
      <c r="E532" s="28"/>
      <c r="F532" s="28"/>
      <c r="G532" s="98"/>
      <c r="H532" s="98"/>
      <c r="I532" s="31"/>
      <c r="J532" s="54" t="s">
        <v>179</v>
      </c>
      <c r="K532" s="55" t="s">
        <v>179</v>
      </c>
      <c r="L532" s="56" t="s">
        <v>179</v>
      </c>
      <c r="M532" s="56" t="s">
        <v>179</v>
      </c>
      <c r="N532" s="28"/>
      <c r="O532" s="28"/>
      <c r="P532" s="52"/>
      <c r="Q532" s="52"/>
      <c r="R532" s="28"/>
      <c r="S532" s="28" t="str">
        <f t="array" ref="S532">IF(C532="","",IFERROR(_xlfn.XLOOKUP(C532,Volunteers!D:D,Volunteers!A:A),""))</f>
        <v/>
      </c>
      <c r="T532" s="28"/>
    </row>
    <row r="533">
      <c r="A533" s="57"/>
      <c r="B533" s="40"/>
      <c r="C533" s="40"/>
      <c r="D533" s="40" t="str">
        <f t="array" ref="D533">IF(B533="","",IFERROR(_xlfn.XLOOKUP(B533,'Lists &amp; Settings'!A:A,'Lists &amp; Settings'!E:E),""))</f>
        <v/>
      </c>
      <c r="E533" s="40"/>
      <c r="F533" s="40"/>
      <c r="G533" s="95"/>
      <c r="H533" s="95"/>
      <c r="I533" s="51"/>
      <c r="J533" s="54" t="s">
        <v>179</v>
      </c>
      <c r="K533" s="55" t="s">
        <v>179</v>
      </c>
      <c r="L533" s="56" t="s">
        <v>179</v>
      </c>
      <c r="M533" s="56" t="s">
        <v>179</v>
      </c>
      <c r="N533" s="40"/>
      <c r="O533" s="40"/>
      <c r="P533" s="57"/>
      <c r="Q533" s="57"/>
      <c r="R533" s="40"/>
      <c r="S533" s="40" t="str">
        <f t="array" ref="S533">IF(C533="","",IFERROR(_xlfn.XLOOKUP(C533,Volunteers!D:D,Volunteers!A:A),""))</f>
        <v/>
      </c>
      <c r="T533" s="40"/>
    </row>
    <row r="534">
      <c r="A534" s="52"/>
      <c r="B534" s="28"/>
      <c r="C534" s="28"/>
      <c r="D534" s="28" t="str">
        <f t="array" ref="D534">IF(B534="","",IFERROR(_xlfn.XLOOKUP(B534,'Lists &amp; Settings'!A:A,'Lists &amp; Settings'!E:E),""))</f>
        <v/>
      </c>
      <c r="E534" s="28"/>
      <c r="F534" s="28"/>
      <c r="G534" s="98"/>
      <c r="H534" s="98"/>
      <c r="I534" s="31"/>
      <c r="J534" s="54" t="s">
        <v>179</v>
      </c>
      <c r="K534" s="55" t="s">
        <v>179</v>
      </c>
      <c r="L534" s="56" t="s">
        <v>179</v>
      </c>
      <c r="M534" s="56" t="s">
        <v>179</v>
      </c>
      <c r="N534" s="28"/>
      <c r="O534" s="28"/>
      <c r="P534" s="52"/>
      <c r="Q534" s="52"/>
      <c r="R534" s="28"/>
      <c r="S534" s="28" t="str">
        <f t="array" ref="S534">IF(C534="","",IFERROR(_xlfn.XLOOKUP(C534,Volunteers!D:D,Volunteers!A:A),""))</f>
        <v/>
      </c>
      <c r="T534" s="28"/>
    </row>
    <row r="535">
      <c r="A535" s="57"/>
      <c r="B535" s="40"/>
      <c r="C535" s="40"/>
      <c r="D535" s="40" t="str">
        <f t="array" ref="D535">IF(B535="","",IFERROR(_xlfn.XLOOKUP(B535,'Lists &amp; Settings'!A:A,'Lists &amp; Settings'!E:E),""))</f>
        <v/>
      </c>
      <c r="E535" s="40"/>
      <c r="F535" s="40"/>
      <c r="G535" s="95"/>
      <c r="H535" s="95"/>
      <c r="I535" s="51"/>
      <c r="J535" s="54" t="s">
        <v>179</v>
      </c>
      <c r="K535" s="55" t="s">
        <v>179</v>
      </c>
      <c r="L535" s="56" t="s">
        <v>179</v>
      </c>
      <c r="M535" s="56" t="s">
        <v>179</v>
      </c>
      <c r="N535" s="40"/>
      <c r="O535" s="40"/>
      <c r="P535" s="57"/>
      <c r="Q535" s="57"/>
      <c r="R535" s="40"/>
      <c r="S535" s="40" t="str">
        <f t="array" ref="S535">IF(C535="","",IFERROR(_xlfn.XLOOKUP(C535,Volunteers!D:D,Volunteers!A:A),""))</f>
        <v/>
      </c>
      <c r="T535" s="40"/>
    </row>
    <row r="536">
      <c r="A536" s="52"/>
      <c r="B536" s="28"/>
      <c r="C536" s="28"/>
      <c r="D536" s="28" t="str">
        <f t="array" ref="D536">IF(B536="","",IFERROR(_xlfn.XLOOKUP(B536,'Lists &amp; Settings'!A:A,'Lists &amp; Settings'!E:E),""))</f>
        <v/>
      </c>
      <c r="E536" s="28"/>
      <c r="F536" s="28"/>
      <c r="G536" s="98"/>
      <c r="H536" s="98"/>
      <c r="I536" s="31"/>
      <c r="J536" s="54" t="s">
        <v>179</v>
      </c>
      <c r="K536" s="55" t="s">
        <v>179</v>
      </c>
      <c r="L536" s="56" t="s">
        <v>179</v>
      </c>
      <c r="M536" s="56" t="s">
        <v>179</v>
      </c>
      <c r="N536" s="28"/>
      <c r="O536" s="28"/>
      <c r="P536" s="52"/>
      <c r="Q536" s="52"/>
      <c r="R536" s="28"/>
      <c r="S536" s="28" t="str">
        <f t="array" ref="S536">IF(C536="","",IFERROR(_xlfn.XLOOKUP(C536,Volunteers!D:D,Volunteers!A:A),""))</f>
        <v/>
      </c>
      <c r="T536" s="28"/>
    </row>
    <row r="537">
      <c r="A537" s="57"/>
      <c r="B537" s="40"/>
      <c r="C537" s="40"/>
      <c r="D537" s="40" t="str">
        <f t="array" ref="D537">IF(B537="","",IFERROR(_xlfn.XLOOKUP(B537,'Lists &amp; Settings'!A:A,'Lists &amp; Settings'!E:E),""))</f>
        <v/>
      </c>
      <c r="E537" s="40"/>
      <c r="F537" s="40"/>
      <c r="G537" s="95"/>
      <c r="H537" s="95"/>
      <c r="I537" s="51"/>
      <c r="J537" s="54" t="s">
        <v>179</v>
      </c>
      <c r="K537" s="55" t="s">
        <v>179</v>
      </c>
      <c r="L537" s="56" t="s">
        <v>179</v>
      </c>
      <c r="M537" s="56" t="s">
        <v>179</v>
      </c>
      <c r="N537" s="40"/>
      <c r="O537" s="40"/>
      <c r="P537" s="57"/>
      <c r="Q537" s="57"/>
      <c r="R537" s="40"/>
      <c r="S537" s="40" t="str">
        <f t="array" ref="S537">IF(C537="","",IFERROR(_xlfn.XLOOKUP(C537,Volunteers!D:D,Volunteers!A:A),""))</f>
        <v/>
      </c>
      <c r="T537" s="40"/>
    </row>
    <row r="538">
      <c r="A538" s="52"/>
      <c r="B538" s="28"/>
      <c r="C538" s="28"/>
      <c r="D538" s="28" t="str">
        <f t="array" ref="D538">IF(B538="","",IFERROR(_xlfn.XLOOKUP(B538,'Lists &amp; Settings'!A:A,'Lists &amp; Settings'!E:E),""))</f>
        <v/>
      </c>
      <c r="E538" s="28"/>
      <c r="F538" s="28"/>
      <c r="G538" s="98"/>
      <c r="H538" s="98"/>
      <c r="I538" s="31"/>
      <c r="J538" s="54" t="s">
        <v>179</v>
      </c>
      <c r="K538" s="55" t="s">
        <v>179</v>
      </c>
      <c r="L538" s="56" t="s">
        <v>179</v>
      </c>
      <c r="M538" s="56" t="s">
        <v>179</v>
      </c>
      <c r="N538" s="28"/>
      <c r="O538" s="28"/>
      <c r="P538" s="52"/>
      <c r="Q538" s="52"/>
      <c r="R538" s="28"/>
      <c r="S538" s="28" t="str">
        <f t="array" ref="S538">IF(C538="","",IFERROR(_xlfn.XLOOKUP(C538,Volunteers!D:D,Volunteers!A:A),""))</f>
        <v/>
      </c>
      <c r="T538" s="28"/>
    </row>
    <row r="539">
      <c r="A539" s="57"/>
      <c r="B539" s="40"/>
      <c r="C539" s="40"/>
      <c r="D539" s="40" t="str">
        <f t="array" ref="D539">IF(B539="","",IFERROR(_xlfn.XLOOKUP(B539,'Lists &amp; Settings'!A:A,'Lists &amp; Settings'!E:E),""))</f>
        <v/>
      </c>
      <c r="E539" s="40"/>
      <c r="F539" s="40"/>
      <c r="G539" s="95"/>
      <c r="H539" s="95"/>
      <c r="I539" s="51"/>
      <c r="J539" s="54" t="s">
        <v>179</v>
      </c>
      <c r="K539" s="55" t="s">
        <v>179</v>
      </c>
      <c r="L539" s="56" t="s">
        <v>179</v>
      </c>
      <c r="M539" s="56" t="s">
        <v>179</v>
      </c>
      <c r="N539" s="40"/>
      <c r="O539" s="40"/>
      <c r="P539" s="57"/>
      <c r="Q539" s="57"/>
      <c r="R539" s="40"/>
      <c r="S539" s="40" t="str">
        <f t="array" ref="S539">IF(C539="","",IFERROR(_xlfn.XLOOKUP(C539,Volunteers!D:D,Volunteers!A:A),""))</f>
        <v/>
      </c>
      <c r="T539" s="40"/>
    </row>
    <row r="540">
      <c r="A540" s="52"/>
      <c r="B540" s="28"/>
      <c r="C540" s="28"/>
      <c r="D540" s="28" t="str">
        <f t="array" ref="D540">IF(B540="","",IFERROR(_xlfn.XLOOKUP(B540,'Lists &amp; Settings'!A:A,'Lists &amp; Settings'!E:E),""))</f>
        <v/>
      </c>
      <c r="E540" s="28"/>
      <c r="F540" s="28"/>
      <c r="G540" s="98"/>
      <c r="H540" s="98"/>
      <c r="I540" s="31"/>
      <c r="J540" s="54" t="s">
        <v>179</v>
      </c>
      <c r="K540" s="55" t="s">
        <v>179</v>
      </c>
      <c r="L540" s="56" t="s">
        <v>179</v>
      </c>
      <c r="M540" s="56" t="s">
        <v>179</v>
      </c>
      <c r="N540" s="28"/>
      <c r="O540" s="28"/>
      <c r="P540" s="52"/>
      <c r="Q540" s="52"/>
      <c r="R540" s="28"/>
      <c r="S540" s="28" t="str">
        <f t="array" ref="S540">IF(C540="","",IFERROR(_xlfn.XLOOKUP(C540,Volunteers!D:D,Volunteers!A:A),""))</f>
        <v/>
      </c>
      <c r="T540" s="28"/>
    </row>
    <row r="541">
      <c r="A541" s="57"/>
      <c r="B541" s="40"/>
      <c r="C541" s="40"/>
      <c r="D541" s="40" t="str">
        <f t="array" ref="D541">IF(B541="","",IFERROR(_xlfn.XLOOKUP(B541,'Lists &amp; Settings'!A:A,'Lists &amp; Settings'!E:E),""))</f>
        <v/>
      </c>
      <c r="E541" s="40"/>
      <c r="F541" s="40"/>
      <c r="G541" s="95"/>
      <c r="H541" s="95"/>
      <c r="I541" s="51"/>
      <c r="J541" s="54" t="s">
        <v>179</v>
      </c>
      <c r="K541" s="55" t="s">
        <v>179</v>
      </c>
      <c r="L541" s="56" t="s">
        <v>179</v>
      </c>
      <c r="M541" s="56" t="s">
        <v>179</v>
      </c>
      <c r="N541" s="40"/>
      <c r="O541" s="40"/>
      <c r="P541" s="57"/>
      <c r="Q541" s="57"/>
      <c r="R541" s="40"/>
      <c r="S541" s="40" t="str">
        <f t="array" ref="S541">IF(C541="","",IFERROR(_xlfn.XLOOKUP(C541,Volunteers!D:D,Volunteers!A:A),""))</f>
        <v/>
      </c>
      <c r="T541" s="40"/>
    </row>
    <row r="542">
      <c r="A542" s="52"/>
      <c r="B542" s="28"/>
      <c r="C542" s="28"/>
      <c r="D542" s="28" t="str">
        <f t="array" ref="D542">IF(B542="","",IFERROR(_xlfn.XLOOKUP(B542,'Lists &amp; Settings'!A:A,'Lists &amp; Settings'!E:E),""))</f>
        <v/>
      </c>
      <c r="E542" s="28"/>
      <c r="F542" s="28"/>
      <c r="G542" s="98"/>
      <c r="H542" s="98"/>
      <c r="I542" s="31"/>
      <c r="J542" s="54" t="s">
        <v>179</v>
      </c>
      <c r="K542" s="55" t="s">
        <v>179</v>
      </c>
      <c r="L542" s="56" t="s">
        <v>179</v>
      </c>
      <c r="M542" s="56" t="s">
        <v>179</v>
      </c>
      <c r="N542" s="28"/>
      <c r="O542" s="28"/>
      <c r="P542" s="52"/>
      <c r="Q542" s="52"/>
      <c r="R542" s="28"/>
      <c r="S542" s="28" t="str">
        <f t="array" ref="S542">IF(C542="","",IFERROR(_xlfn.XLOOKUP(C542,Volunteers!D:D,Volunteers!A:A),""))</f>
        <v/>
      </c>
      <c r="T542" s="28"/>
    </row>
    <row r="543">
      <c r="A543" s="57"/>
      <c r="B543" s="40"/>
      <c r="C543" s="40"/>
      <c r="D543" s="40" t="str">
        <f t="array" ref="D543">IF(B543="","",IFERROR(_xlfn.XLOOKUP(B543,'Lists &amp; Settings'!A:A,'Lists &amp; Settings'!E:E),""))</f>
        <v/>
      </c>
      <c r="E543" s="40"/>
      <c r="F543" s="40"/>
      <c r="G543" s="95"/>
      <c r="H543" s="95"/>
      <c r="I543" s="51"/>
      <c r="J543" s="54" t="s">
        <v>179</v>
      </c>
      <c r="K543" s="55" t="s">
        <v>179</v>
      </c>
      <c r="L543" s="56" t="s">
        <v>179</v>
      </c>
      <c r="M543" s="56" t="s">
        <v>179</v>
      </c>
      <c r="N543" s="40"/>
      <c r="O543" s="40"/>
      <c r="P543" s="57"/>
      <c r="Q543" s="57"/>
      <c r="R543" s="40"/>
      <c r="S543" s="40" t="str">
        <f t="array" ref="S543">IF(C543="","",IFERROR(_xlfn.XLOOKUP(C543,Volunteers!D:D,Volunteers!A:A),""))</f>
        <v/>
      </c>
      <c r="T543" s="40"/>
    </row>
    <row r="544">
      <c r="A544" s="52"/>
      <c r="B544" s="28"/>
      <c r="C544" s="28"/>
      <c r="D544" s="28" t="str">
        <f t="array" ref="D544">IF(B544="","",IFERROR(_xlfn.XLOOKUP(B544,'Lists &amp; Settings'!A:A,'Lists &amp; Settings'!E:E),""))</f>
        <v/>
      </c>
      <c r="E544" s="28"/>
      <c r="F544" s="28"/>
      <c r="G544" s="98"/>
      <c r="H544" s="98"/>
      <c r="I544" s="31"/>
      <c r="J544" s="54" t="s">
        <v>179</v>
      </c>
      <c r="K544" s="55" t="s">
        <v>179</v>
      </c>
      <c r="L544" s="56" t="s">
        <v>179</v>
      </c>
      <c r="M544" s="56" t="s">
        <v>179</v>
      </c>
      <c r="N544" s="28"/>
      <c r="O544" s="28"/>
      <c r="P544" s="52"/>
      <c r="Q544" s="52"/>
      <c r="R544" s="28"/>
      <c r="S544" s="28" t="str">
        <f t="array" ref="S544">IF(C544="","",IFERROR(_xlfn.XLOOKUP(C544,Volunteers!D:D,Volunteers!A:A),""))</f>
        <v/>
      </c>
      <c r="T544" s="28"/>
    </row>
    <row r="545">
      <c r="A545" s="57"/>
      <c r="B545" s="40"/>
      <c r="C545" s="40"/>
      <c r="D545" s="40" t="str">
        <f t="array" ref="D545">IF(B545="","",IFERROR(_xlfn.XLOOKUP(B545,'Lists &amp; Settings'!A:A,'Lists &amp; Settings'!E:E),""))</f>
        <v/>
      </c>
      <c r="E545" s="40"/>
      <c r="F545" s="40"/>
      <c r="G545" s="95"/>
      <c r="H545" s="95"/>
      <c r="I545" s="51"/>
      <c r="J545" s="54" t="s">
        <v>179</v>
      </c>
      <c r="K545" s="55" t="s">
        <v>179</v>
      </c>
      <c r="L545" s="56" t="s">
        <v>179</v>
      </c>
      <c r="M545" s="56" t="s">
        <v>179</v>
      </c>
      <c r="N545" s="40"/>
      <c r="O545" s="40"/>
      <c r="P545" s="57"/>
      <c r="Q545" s="57"/>
      <c r="R545" s="40"/>
      <c r="S545" s="40" t="str">
        <f t="array" ref="S545">IF(C545="","",IFERROR(_xlfn.XLOOKUP(C545,Volunteers!D:D,Volunteers!A:A),""))</f>
        <v/>
      </c>
      <c r="T545" s="40"/>
    </row>
    <row r="546">
      <c r="A546" s="52"/>
      <c r="B546" s="28"/>
      <c r="C546" s="28"/>
      <c r="D546" s="28" t="str">
        <f t="array" ref="D546">IF(B546="","",IFERROR(_xlfn.XLOOKUP(B546,'Lists &amp; Settings'!A:A,'Lists &amp; Settings'!E:E),""))</f>
        <v/>
      </c>
      <c r="E546" s="28"/>
      <c r="F546" s="28"/>
      <c r="G546" s="98"/>
      <c r="H546" s="98"/>
      <c r="I546" s="31"/>
      <c r="J546" s="54" t="s">
        <v>179</v>
      </c>
      <c r="K546" s="55" t="s">
        <v>179</v>
      </c>
      <c r="L546" s="56" t="s">
        <v>179</v>
      </c>
      <c r="M546" s="56" t="s">
        <v>179</v>
      </c>
      <c r="N546" s="28"/>
      <c r="O546" s="28"/>
      <c r="P546" s="52"/>
      <c r="Q546" s="52"/>
      <c r="R546" s="28"/>
      <c r="S546" s="28" t="str">
        <f t="array" ref="S546">IF(C546="","",IFERROR(_xlfn.XLOOKUP(C546,Volunteers!D:D,Volunteers!A:A),""))</f>
        <v/>
      </c>
      <c r="T546" s="28"/>
    </row>
    <row r="547">
      <c r="A547" s="57"/>
      <c r="B547" s="40"/>
      <c r="C547" s="40"/>
      <c r="D547" s="40" t="str">
        <f t="array" ref="D547">IF(B547="","",IFERROR(_xlfn.XLOOKUP(B547,'Lists &amp; Settings'!A:A,'Lists &amp; Settings'!E:E),""))</f>
        <v/>
      </c>
      <c r="E547" s="40"/>
      <c r="F547" s="40"/>
      <c r="G547" s="95"/>
      <c r="H547" s="95"/>
      <c r="I547" s="51"/>
      <c r="J547" s="54" t="s">
        <v>179</v>
      </c>
      <c r="K547" s="55" t="s">
        <v>179</v>
      </c>
      <c r="L547" s="56" t="s">
        <v>179</v>
      </c>
      <c r="M547" s="56" t="s">
        <v>179</v>
      </c>
      <c r="N547" s="40"/>
      <c r="O547" s="40"/>
      <c r="P547" s="57"/>
      <c r="Q547" s="57"/>
      <c r="R547" s="40"/>
      <c r="S547" s="40" t="str">
        <f t="array" ref="S547">IF(C547="","",IFERROR(_xlfn.XLOOKUP(C547,Volunteers!D:D,Volunteers!A:A),""))</f>
        <v/>
      </c>
      <c r="T547" s="40"/>
    </row>
    <row r="548">
      <c r="A548" s="52"/>
      <c r="B548" s="28"/>
      <c r="C548" s="28"/>
      <c r="D548" s="28" t="str">
        <f t="array" ref="D548">IF(B548="","",IFERROR(_xlfn.XLOOKUP(B548,'Lists &amp; Settings'!A:A,'Lists &amp; Settings'!E:E),""))</f>
        <v/>
      </c>
      <c r="E548" s="28"/>
      <c r="F548" s="28"/>
      <c r="G548" s="98"/>
      <c r="H548" s="98"/>
      <c r="I548" s="31"/>
      <c r="J548" s="54" t="s">
        <v>179</v>
      </c>
      <c r="K548" s="55" t="s">
        <v>179</v>
      </c>
      <c r="L548" s="56" t="s">
        <v>179</v>
      </c>
      <c r="M548" s="56" t="s">
        <v>179</v>
      </c>
      <c r="N548" s="28"/>
      <c r="O548" s="28"/>
      <c r="P548" s="52"/>
      <c r="Q548" s="52"/>
      <c r="R548" s="28"/>
      <c r="S548" s="28" t="str">
        <f t="array" ref="S548">IF(C548="","",IFERROR(_xlfn.XLOOKUP(C548,Volunteers!D:D,Volunteers!A:A),""))</f>
        <v/>
      </c>
      <c r="T548" s="28"/>
    </row>
    <row r="549">
      <c r="A549" s="57"/>
      <c r="B549" s="40"/>
      <c r="C549" s="40"/>
      <c r="D549" s="40" t="str">
        <f t="array" ref="D549">IF(B549="","",IFERROR(_xlfn.XLOOKUP(B549,'Lists &amp; Settings'!A:A,'Lists &amp; Settings'!E:E),""))</f>
        <v/>
      </c>
      <c r="E549" s="40"/>
      <c r="F549" s="40"/>
      <c r="G549" s="95"/>
      <c r="H549" s="95"/>
      <c r="I549" s="51"/>
      <c r="J549" s="54" t="s">
        <v>179</v>
      </c>
      <c r="K549" s="55" t="s">
        <v>179</v>
      </c>
      <c r="L549" s="56" t="s">
        <v>179</v>
      </c>
      <c r="M549" s="56" t="s">
        <v>179</v>
      </c>
      <c r="N549" s="40"/>
      <c r="O549" s="40"/>
      <c r="P549" s="57"/>
      <c r="Q549" s="57"/>
      <c r="R549" s="40"/>
      <c r="S549" s="40" t="str">
        <f t="array" ref="S549">IF(C549="","",IFERROR(_xlfn.XLOOKUP(C549,Volunteers!D:D,Volunteers!A:A),""))</f>
        <v/>
      </c>
      <c r="T549" s="40"/>
    </row>
    <row r="550">
      <c r="A550" s="52"/>
      <c r="B550" s="28"/>
      <c r="C550" s="28"/>
      <c r="D550" s="28" t="str">
        <f t="array" ref="D550">IF(B550="","",IFERROR(_xlfn.XLOOKUP(B550,'Lists &amp; Settings'!A:A,'Lists &amp; Settings'!E:E),""))</f>
        <v/>
      </c>
      <c r="E550" s="28"/>
      <c r="F550" s="28"/>
      <c r="G550" s="98"/>
      <c r="H550" s="98"/>
      <c r="I550" s="31"/>
      <c r="J550" s="54" t="s">
        <v>179</v>
      </c>
      <c r="K550" s="55" t="s">
        <v>179</v>
      </c>
      <c r="L550" s="56" t="s">
        <v>179</v>
      </c>
      <c r="M550" s="56" t="s">
        <v>179</v>
      </c>
      <c r="N550" s="28"/>
      <c r="O550" s="28"/>
      <c r="P550" s="52"/>
      <c r="Q550" s="52"/>
      <c r="R550" s="28"/>
      <c r="S550" s="28" t="str">
        <f t="array" ref="S550">IF(C550="","",IFERROR(_xlfn.XLOOKUP(C550,Volunteers!D:D,Volunteers!A:A),""))</f>
        <v/>
      </c>
      <c r="T550" s="28"/>
    </row>
    <row r="551">
      <c r="A551" s="57"/>
      <c r="B551" s="40"/>
      <c r="C551" s="40"/>
      <c r="D551" s="40" t="str">
        <f t="array" ref="D551">IF(B551="","",IFERROR(_xlfn.XLOOKUP(B551,'Lists &amp; Settings'!A:A,'Lists &amp; Settings'!E:E),""))</f>
        <v/>
      </c>
      <c r="E551" s="40"/>
      <c r="F551" s="40"/>
      <c r="G551" s="95"/>
      <c r="H551" s="95"/>
      <c r="I551" s="51"/>
      <c r="J551" s="54" t="s">
        <v>179</v>
      </c>
      <c r="K551" s="55" t="s">
        <v>179</v>
      </c>
      <c r="L551" s="56" t="s">
        <v>179</v>
      </c>
      <c r="M551" s="56" t="s">
        <v>179</v>
      </c>
      <c r="N551" s="40"/>
      <c r="O551" s="40"/>
      <c r="P551" s="57"/>
      <c r="Q551" s="57"/>
      <c r="R551" s="40"/>
      <c r="S551" s="40" t="str">
        <f t="array" ref="S551">IF(C551="","",IFERROR(_xlfn.XLOOKUP(C551,Volunteers!D:D,Volunteers!A:A),""))</f>
        <v/>
      </c>
      <c r="T551" s="40"/>
    </row>
    <row r="552">
      <c r="A552" s="52"/>
      <c r="B552" s="28"/>
      <c r="C552" s="28"/>
      <c r="D552" s="28" t="str">
        <f t="array" ref="D552">IF(B552="","",IFERROR(_xlfn.XLOOKUP(B552,'Lists &amp; Settings'!A:A,'Lists &amp; Settings'!E:E),""))</f>
        <v/>
      </c>
      <c r="E552" s="28"/>
      <c r="F552" s="28"/>
      <c r="G552" s="98"/>
      <c r="H552" s="98"/>
      <c r="I552" s="31"/>
      <c r="J552" s="54" t="s">
        <v>179</v>
      </c>
      <c r="K552" s="55" t="s">
        <v>179</v>
      </c>
      <c r="L552" s="56" t="s">
        <v>179</v>
      </c>
      <c r="M552" s="56" t="s">
        <v>179</v>
      </c>
      <c r="N552" s="28"/>
      <c r="O552" s="28"/>
      <c r="P552" s="52"/>
      <c r="Q552" s="52"/>
      <c r="R552" s="28"/>
      <c r="S552" s="28" t="str">
        <f t="array" ref="S552">IF(C552="","",IFERROR(_xlfn.XLOOKUP(C552,Volunteers!D:D,Volunteers!A:A),""))</f>
        <v/>
      </c>
      <c r="T552" s="28"/>
    </row>
    <row r="553">
      <c r="A553" s="57"/>
      <c r="B553" s="40"/>
      <c r="C553" s="40"/>
      <c r="D553" s="40" t="str">
        <f t="array" ref="D553">IF(B553="","",IFERROR(_xlfn.XLOOKUP(B553,'Lists &amp; Settings'!A:A,'Lists &amp; Settings'!E:E),""))</f>
        <v/>
      </c>
      <c r="E553" s="40"/>
      <c r="F553" s="40"/>
      <c r="G553" s="95"/>
      <c r="H553" s="95"/>
      <c r="I553" s="51"/>
      <c r="J553" s="54" t="s">
        <v>179</v>
      </c>
      <c r="K553" s="55" t="s">
        <v>179</v>
      </c>
      <c r="L553" s="56" t="s">
        <v>179</v>
      </c>
      <c r="M553" s="56" t="s">
        <v>179</v>
      </c>
      <c r="N553" s="40"/>
      <c r="O553" s="40"/>
      <c r="P553" s="57"/>
      <c r="Q553" s="57"/>
      <c r="R553" s="40"/>
      <c r="S553" s="40" t="str">
        <f t="array" ref="S553">IF(C553="","",IFERROR(_xlfn.XLOOKUP(C553,Volunteers!D:D,Volunteers!A:A),""))</f>
        <v/>
      </c>
      <c r="T553" s="40"/>
    </row>
    <row r="554">
      <c r="A554" s="52"/>
      <c r="B554" s="28"/>
      <c r="C554" s="28"/>
      <c r="D554" s="28" t="str">
        <f t="array" ref="D554">IF(B554="","",IFERROR(_xlfn.XLOOKUP(B554,'Lists &amp; Settings'!A:A,'Lists &amp; Settings'!E:E),""))</f>
        <v/>
      </c>
      <c r="E554" s="28"/>
      <c r="F554" s="28"/>
      <c r="G554" s="98"/>
      <c r="H554" s="98"/>
      <c r="I554" s="31"/>
      <c r="J554" s="54" t="s">
        <v>179</v>
      </c>
      <c r="K554" s="55" t="s">
        <v>179</v>
      </c>
      <c r="L554" s="56" t="s">
        <v>179</v>
      </c>
      <c r="M554" s="56" t="s">
        <v>179</v>
      </c>
      <c r="N554" s="28"/>
      <c r="O554" s="28"/>
      <c r="P554" s="52"/>
      <c r="Q554" s="52"/>
      <c r="R554" s="28"/>
      <c r="S554" s="28" t="str">
        <f t="array" ref="S554">IF(C554="","",IFERROR(_xlfn.XLOOKUP(C554,Volunteers!D:D,Volunteers!A:A),""))</f>
        <v/>
      </c>
      <c r="T554" s="28"/>
    </row>
    <row r="555">
      <c r="A555" s="57"/>
      <c r="B555" s="40"/>
      <c r="C555" s="40"/>
      <c r="D555" s="40" t="str">
        <f t="array" ref="D555">IF(B555="","",IFERROR(_xlfn.XLOOKUP(B555,'Lists &amp; Settings'!A:A,'Lists &amp; Settings'!E:E),""))</f>
        <v/>
      </c>
      <c r="E555" s="40"/>
      <c r="F555" s="40"/>
      <c r="G555" s="95"/>
      <c r="H555" s="95"/>
      <c r="I555" s="51"/>
      <c r="J555" s="54" t="s">
        <v>179</v>
      </c>
      <c r="K555" s="55" t="s">
        <v>179</v>
      </c>
      <c r="L555" s="56" t="s">
        <v>179</v>
      </c>
      <c r="M555" s="56" t="s">
        <v>179</v>
      </c>
      <c r="N555" s="40"/>
      <c r="O555" s="40"/>
      <c r="P555" s="57"/>
      <c r="Q555" s="57"/>
      <c r="R555" s="40"/>
      <c r="S555" s="40" t="str">
        <f t="array" ref="S555">IF(C555="","",IFERROR(_xlfn.XLOOKUP(C555,Volunteers!D:D,Volunteers!A:A),""))</f>
        <v/>
      </c>
      <c r="T555" s="40"/>
    </row>
    <row r="556">
      <c r="A556" s="52"/>
      <c r="B556" s="28"/>
      <c r="C556" s="28"/>
      <c r="D556" s="28" t="str">
        <f t="array" ref="D556">IF(B556="","",IFERROR(_xlfn.XLOOKUP(B556,'Lists &amp; Settings'!A:A,'Lists &amp; Settings'!E:E),""))</f>
        <v/>
      </c>
      <c r="E556" s="28"/>
      <c r="F556" s="28"/>
      <c r="G556" s="98"/>
      <c r="H556" s="98"/>
      <c r="I556" s="31"/>
      <c r="J556" s="54" t="s">
        <v>179</v>
      </c>
      <c r="K556" s="55" t="s">
        <v>179</v>
      </c>
      <c r="L556" s="56" t="s">
        <v>179</v>
      </c>
      <c r="M556" s="56" t="s">
        <v>179</v>
      </c>
      <c r="N556" s="28"/>
      <c r="O556" s="28"/>
      <c r="P556" s="52"/>
      <c r="Q556" s="52"/>
      <c r="R556" s="28"/>
      <c r="S556" s="28" t="str">
        <f t="array" ref="S556">IF(C556="","",IFERROR(_xlfn.XLOOKUP(C556,Volunteers!D:D,Volunteers!A:A),""))</f>
        <v/>
      </c>
      <c r="T556" s="28"/>
    </row>
    <row r="557">
      <c r="A557" s="57"/>
      <c r="B557" s="40"/>
      <c r="C557" s="40"/>
      <c r="D557" s="40" t="str">
        <f t="array" ref="D557">IF(B557="","",IFERROR(_xlfn.XLOOKUP(B557,'Lists &amp; Settings'!A:A,'Lists &amp; Settings'!E:E),""))</f>
        <v/>
      </c>
      <c r="E557" s="40"/>
      <c r="F557" s="40"/>
      <c r="G557" s="95"/>
      <c r="H557" s="95"/>
      <c r="I557" s="51"/>
      <c r="J557" s="54" t="s">
        <v>179</v>
      </c>
      <c r="K557" s="55" t="s">
        <v>179</v>
      </c>
      <c r="L557" s="56" t="s">
        <v>179</v>
      </c>
      <c r="M557" s="56" t="s">
        <v>179</v>
      </c>
      <c r="N557" s="40"/>
      <c r="O557" s="40"/>
      <c r="P557" s="57"/>
      <c r="Q557" s="57"/>
      <c r="R557" s="40"/>
      <c r="S557" s="40" t="str">
        <f t="array" ref="S557">IF(C557="","",IFERROR(_xlfn.XLOOKUP(C557,Volunteers!D:D,Volunteers!A:A),""))</f>
        <v/>
      </c>
      <c r="T557" s="40"/>
    </row>
    <row r="558">
      <c r="A558" s="52"/>
      <c r="B558" s="28"/>
      <c r="C558" s="28"/>
      <c r="D558" s="28" t="str">
        <f t="array" ref="D558">IF(B558="","",IFERROR(_xlfn.XLOOKUP(B558,'Lists &amp; Settings'!A:A,'Lists &amp; Settings'!E:E),""))</f>
        <v/>
      </c>
      <c r="E558" s="28"/>
      <c r="F558" s="28"/>
      <c r="G558" s="98"/>
      <c r="H558" s="98"/>
      <c r="I558" s="31"/>
      <c r="J558" s="54" t="s">
        <v>179</v>
      </c>
      <c r="K558" s="55" t="s">
        <v>179</v>
      </c>
      <c r="L558" s="56" t="s">
        <v>179</v>
      </c>
      <c r="M558" s="56" t="s">
        <v>179</v>
      </c>
      <c r="N558" s="28"/>
      <c r="O558" s="28"/>
      <c r="P558" s="52"/>
      <c r="Q558" s="52"/>
      <c r="R558" s="28"/>
      <c r="S558" s="28" t="str">
        <f t="array" ref="S558">IF(C558="","",IFERROR(_xlfn.XLOOKUP(C558,Volunteers!D:D,Volunteers!A:A),""))</f>
        <v/>
      </c>
      <c r="T558" s="28"/>
    </row>
    <row r="559">
      <c r="A559" s="57"/>
      <c r="B559" s="40"/>
      <c r="C559" s="40"/>
      <c r="D559" s="40" t="str">
        <f t="array" ref="D559">IF(B559="","",IFERROR(_xlfn.XLOOKUP(B559,'Lists &amp; Settings'!A:A,'Lists &amp; Settings'!E:E),""))</f>
        <v/>
      </c>
      <c r="E559" s="40"/>
      <c r="F559" s="40"/>
      <c r="G559" s="95"/>
      <c r="H559" s="95"/>
      <c r="I559" s="51"/>
      <c r="J559" s="54" t="s">
        <v>179</v>
      </c>
      <c r="K559" s="55" t="s">
        <v>179</v>
      </c>
      <c r="L559" s="56" t="s">
        <v>179</v>
      </c>
      <c r="M559" s="56" t="s">
        <v>179</v>
      </c>
      <c r="N559" s="40"/>
      <c r="O559" s="40"/>
      <c r="P559" s="57"/>
      <c r="Q559" s="57"/>
      <c r="R559" s="40"/>
      <c r="S559" s="40" t="str">
        <f t="array" ref="S559">IF(C559="","",IFERROR(_xlfn.XLOOKUP(C559,Volunteers!D:D,Volunteers!A:A),""))</f>
        <v/>
      </c>
      <c r="T559" s="40"/>
    </row>
    <row r="560">
      <c r="A560" s="52"/>
      <c r="B560" s="28"/>
      <c r="C560" s="28"/>
      <c r="D560" s="28" t="str">
        <f t="array" ref="D560">IF(B560="","",IFERROR(_xlfn.XLOOKUP(B560,'Lists &amp; Settings'!A:A,'Lists &amp; Settings'!E:E),""))</f>
        <v/>
      </c>
      <c r="E560" s="28"/>
      <c r="F560" s="28"/>
      <c r="G560" s="98"/>
      <c r="H560" s="98"/>
      <c r="I560" s="31"/>
      <c r="J560" s="54" t="s">
        <v>179</v>
      </c>
      <c r="K560" s="55" t="s">
        <v>179</v>
      </c>
      <c r="L560" s="56" t="s">
        <v>179</v>
      </c>
      <c r="M560" s="56" t="s">
        <v>179</v>
      </c>
      <c r="N560" s="28"/>
      <c r="O560" s="28"/>
      <c r="P560" s="52"/>
      <c r="Q560" s="52"/>
      <c r="R560" s="28"/>
      <c r="S560" s="28" t="str">
        <f t="array" ref="S560">IF(C560="","",IFERROR(_xlfn.XLOOKUP(C560,Volunteers!D:D,Volunteers!A:A),""))</f>
        <v/>
      </c>
      <c r="T560" s="28"/>
    </row>
    <row r="561">
      <c r="A561" s="57"/>
      <c r="B561" s="40"/>
      <c r="C561" s="40"/>
      <c r="D561" s="40" t="str">
        <f t="array" ref="D561">IF(B561="","",IFERROR(_xlfn.XLOOKUP(B561,'Lists &amp; Settings'!A:A,'Lists &amp; Settings'!E:E),""))</f>
        <v/>
      </c>
      <c r="E561" s="40"/>
      <c r="F561" s="40"/>
      <c r="G561" s="95"/>
      <c r="H561" s="95"/>
      <c r="I561" s="51"/>
      <c r="J561" s="54" t="s">
        <v>179</v>
      </c>
      <c r="K561" s="55" t="s">
        <v>179</v>
      </c>
      <c r="L561" s="56" t="s">
        <v>179</v>
      </c>
      <c r="M561" s="56" t="s">
        <v>179</v>
      </c>
      <c r="N561" s="40"/>
      <c r="O561" s="40"/>
      <c r="P561" s="57"/>
      <c r="Q561" s="57"/>
      <c r="R561" s="40"/>
      <c r="S561" s="40" t="str">
        <f t="array" ref="S561">IF(C561="","",IFERROR(_xlfn.XLOOKUP(C561,Volunteers!D:D,Volunteers!A:A),""))</f>
        <v/>
      </c>
      <c r="T561" s="40"/>
    </row>
    <row r="562">
      <c r="A562" s="52"/>
      <c r="B562" s="28"/>
      <c r="C562" s="28"/>
      <c r="D562" s="28" t="str">
        <f t="array" ref="D562">IF(B562="","",IFERROR(_xlfn.XLOOKUP(B562,'Lists &amp; Settings'!A:A,'Lists &amp; Settings'!E:E),""))</f>
        <v/>
      </c>
      <c r="E562" s="28"/>
      <c r="F562" s="28"/>
      <c r="G562" s="98"/>
      <c r="H562" s="98"/>
      <c r="I562" s="31"/>
      <c r="J562" s="54" t="s">
        <v>179</v>
      </c>
      <c r="K562" s="55" t="s">
        <v>179</v>
      </c>
      <c r="L562" s="56" t="s">
        <v>179</v>
      </c>
      <c r="M562" s="56" t="s">
        <v>179</v>
      </c>
      <c r="N562" s="28"/>
      <c r="O562" s="28"/>
      <c r="P562" s="52"/>
      <c r="Q562" s="52"/>
      <c r="R562" s="28"/>
      <c r="S562" s="28" t="str">
        <f t="array" ref="S562">IF(C562="","",IFERROR(_xlfn.XLOOKUP(C562,Volunteers!D:D,Volunteers!A:A),""))</f>
        <v/>
      </c>
      <c r="T562" s="28"/>
    </row>
    <row r="563">
      <c r="A563" s="57"/>
      <c r="B563" s="40"/>
      <c r="C563" s="40"/>
      <c r="D563" s="40" t="str">
        <f t="array" ref="D563">IF(B563="","",IFERROR(_xlfn.XLOOKUP(B563,'Lists &amp; Settings'!A:A,'Lists &amp; Settings'!E:E),""))</f>
        <v/>
      </c>
      <c r="E563" s="40"/>
      <c r="F563" s="40"/>
      <c r="G563" s="95"/>
      <c r="H563" s="95"/>
      <c r="I563" s="51"/>
      <c r="J563" s="54" t="s">
        <v>179</v>
      </c>
      <c r="K563" s="55" t="s">
        <v>179</v>
      </c>
      <c r="L563" s="56" t="s">
        <v>179</v>
      </c>
      <c r="M563" s="56" t="s">
        <v>179</v>
      </c>
      <c r="N563" s="40"/>
      <c r="O563" s="40"/>
      <c r="P563" s="57"/>
      <c r="Q563" s="57"/>
      <c r="R563" s="40"/>
      <c r="S563" s="40" t="str">
        <f t="array" ref="S563">IF(C563="","",IFERROR(_xlfn.XLOOKUP(C563,Volunteers!D:D,Volunteers!A:A),""))</f>
        <v/>
      </c>
      <c r="T563" s="40"/>
    </row>
    <row r="564">
      <c r="A564" s="52"/>
      <c r="B564" s="28"/>
      <c r="C564" s="28"/>
      <c r="D564" s="28" t="str">
        <f t="array" ref="D564">IF(B564="","",IFERROR(_xlfn.XLOOKUP(B564,'Lists &amp; Settings'!A:A,'Lists &amp; Settings'!E:E),""))</f>
        <v/>
      </c>
      <c r="E564" s="28"/>
      <c r="F564" s="28"/>
      <c r="G564" s="98"/>
      <c r="H564" s="98"/>
      <c r="I564" s="31"/>
      <c r="J564" s="54" t="s">
        <v>179</v>
      </c>
      <c r="K564" s="55" t="s">
        <v>179</v>
      </c>
      <c r="L564" s="56" t="s">
        <v>179</v>
      </c>
      <c r="M564" s="56" t="s">
        <v>179</v>
      </c>
      <c r="N564" s="28"/>
      <c r="O564" s="28"/>
      <c r="P564" s="52"/>
      <c r="Q564" s="52"/>
      <c r="R564" s="28"/>
      <c r="S564" s="28" t="str">
        <f t="array" ref="S564">IF(C564="","",IFERROR(_xlfn.XLOOKUP(C564,Volunteers!D:D,Volunteers!A:A),""))</f>
        <v/>
      </c>
      <c r="T564" s="28"/>
    </row>
    <row r="565">
      <c r="A565" s="57"/>
      <c r="B565" s="40"/>
      <c r="C565" s="40"/>
      <c r="D565" s="40" t="str">
        <f t="array" ref="D565">IF(B565="","",IFERROR(_xlfn.XLOOKUP(B565,'Lists &amp; Settings'!A:A,'Lists &amp; Settings'!E:E),""))</f>
        <v/>
      </c>
      <c r="E565" s="40"/>
      <c r="F565" s="40"/>
      <c r="G565" s="95"/>
      <c r="H565" s="95"/>
      <c r="I565" s="51"/>
      <c r="J565" s="54" t="s">
        <v>179</v>
      </c>
      <c r="K565" s="55" t="s">
        <v>179</v>
      </c>
      <c r="L565" s="56" t="s">
        <v>179</v>
      </c>
      <c r="M565" s="56" t="s">
        <v>179</v>
      </c>
      <c r="N565" s="40"/>
      <c r="O565" s="40"/>
      <c r="P565" s="57"/>
      <c r="Q565" s="57"/>
      <c r="R565" s="40"/>
      <c r="S565" s="40" t="str">
        <f t="array" ref="S565">IF(C565="","",IFERROR(_xlfn.XLOOKUP(C565,Volunteers!D:D,Volunteers!A:A),""))</f>
        <v/>
      </c>
      <c r="T565" s="40"/>
    </row>
    <row r="566">
      <c r="A566" s="52"/>
      <c r="B566" s="28"/>
      <c r="C566" s="28"/>
      <c r="D566" s="28" t="str">
        <f t="array" ref="D566">IF(B566="","",IFERROR(_xlfn.XLOOKUP(B566,'Lists &amp; Settings'!A:A,'Lists &amp; Settings'!E:E),""))</f>
        <v/>
      </c>
      <c r="E566" s="28"/>
      <c r="F566" s="28"/>
      <c r="G566" s="98"/>
      <c r="H566" s="98"/>
      <c r="I566" s="31"/>
      <c r="J566" s="54" t="s">
        <v>179</v>
      </c>
      <c r="K566" s="55" t="s">
        <v>179</v>
      </c>
      <c r="L566" s="56" t="s">
        <v>179</v>
      </c>
      <c r="M566" s="56" t="s">
        <v>179</v>
      </c>
      <c r="N566" s="28"/>
      <c r="O566" s="28"/>
      <c r="P566" s="52"/>
      <c r="Q566" s="52"/>
      <c r="R566" s="28"/>
      <c r="S566" s="28" t="str">
        <f t="array" ref="S566">IF(C566="","",IFERROR(_xlfn.XLOOKUP(C566,Volunteers!D:D,Volunteers!A:A),""))</f>
        <v/>
      </c>
      <c r="T566" s="28"/>
    </row>
    <row r="567">
      <c r="A567" s="57"/>
      <c r="B567" s="40"/>
      <c r="C567" s="40"/>
      <c r="D567" s="40" t="str">
        <f t="array" ref="D567">IF(B567="","",IFERROR(_xlfn.XLOOKUP(B567,'Lists &amp; Settings'!A:A,'Lists &amp; Settings'!E:E),""))</f>
        <v/>
      </c>
      <c r="E567" s="40"/>
      <c r="F567" s="40"/>
      <c r="G567" s="95"/>
      <c r="H567" s="95"/>
      <c r="I567" s="51"/>
      <c r="J567" s="54" t="s">
        <v>179</v>
      </c>
      <c r="K567" s="55" t="s">
        <v>179</v>
      </c>
      <c r="L567" s="56" t="s">
        <v>179</v>
      </c>
      <c r="M567" s="56" t="s">
        <v>179</v>
      </c>
      <c r="N567" s="40"/>
      <c r="O567" s="40"/>
      <c r="P567" s="57"/>
      <c r="Q567" s="57"/>
      <c r="R567" s="40"/>
      <c r="S567" s="40" t="str">
        <f t="array" ref="S567">IF(C567="","",IFERROR(_xlfn.XLOOKUP(C567,Volunteers!D:D,Volunteers!A:A),""))</f>
        <v/>
      </c>
      <c r="T567" s="40"/>
    </row>
    <row r="568">
      <c r="A568" s="52"/>
      <c r="B568" s="28"/>
      <c r="C568" s="28"/>
      <c r="D568" s="28" t="str">
        <f t="array" ref="D568">IF(B568="","",IFERROR(_xlfn.XLOOKUP(B568,'Lists &amp; Settings'!A:A,'Lists &amp; Settings'!E:E),""))</f>
        <v/>
      </c>
      <c r="E568" s="28"/>
      <c r="F568" s="28"/>
      <c r="G568" s="98"/>
      <c r="H568" s="98"/>
      <c r="I568" s="31"/>
      <c r="J568" s="54" t="s">
        <v>179</v>
      </c>
      <c r="K568" s="55" t="s">
        <v>179</v>
      </c>
      <c r="L568" s="56" t="s">
        <v>179</v>
      </c>
      <c r="M568" s="56" t="s">
        <v>179</v>
      </c>
      <c r="N568" s="28"/>
      <c r="O568" s="28"/>
      <c r="P568" s="52"/>
      <c r="Q568" s="52"/>
      <c r="R568" s="28"/>
      <c r="S568" s="28" t="str">
        <f t="array" ref="S568">IF(C568="","",IFERROR(_xlfn.XLOOKUP(C568,Volunteers!D:D,Volunteers!A:A),""))</f>
        <v/>
      </c>
      <c r="T568" s="28"/>
    </row>
    <row r="569">
      <c r="A569" s="57"/>
      <c r="B569" s="40"/>
      <c r="C569" s="40"/>
      <c r="D569" s="40" t="str">
        <f t="array" ref="D569">IF(B569="","",IFERROR(_xlfn.XLOOKUP(B569,'Lists &amp; Settings'!A:A,'Lists &amp; Settings'!E:E),""))</f>
        <v/>
      </c>
      <c r="E569" s="40"/>
      <c r="F569" s="40"/>
      <c r="G569" s="95"/>
      <c r="H569" s="95"/>
      <c r="I569" s="51"/>
      <c r="J569" s="54" t="s">
        <v>179</v>
      </c>
      <c r="K569" s="55" t="s">
        <v>179</v>
      </c>
      <c r="L569" s="56" t="s">
        <v>179</v>
      </c>
      <c r="M569" s="56" t="s">
        <v>179</v>
      </c>
      <c r="N569" s="40"/>
      <c r="O569" s="40"/>
      <c r="P569" s="57"/>
      <c r="Q569" s="57"/>
      <c r="R569" s="40"/>
      <c r="S569" s="40" t="str">
        <f t="array" ref="S569">IF(C569="","",IFERROR(_xlfn.XLOOKUP(C569,Volunteers!D:D,Volunteers!A:A),""))</f>
        <v/>
      </c>
      <c r="T569" s="40"/>
    </row>
    <row r="570">
      <c r="A570" s="52"/>
      <c r="B570" s="28"/>
      <c r="C570" s="28"/>
      <c r="D570" s="28" t="str">
        <f t="array" ref="D570">IF(B570="","",IFERROR(_xlfn.XLOOKUP(B570,'Lists &amp; Settings'!A:A,'Lists &amp; Settings'!E:E),""))</f>
        <v/>
      </c>
      <c r="E570" s="28"/>
      <c r="F570" s="28"/>
      <c r="G570" s="98"/>
      <c r="H570" s="98"/>
      <c r="I570" s="31"/>
      <c r="J570" s="54" t="s">
        <v>179</v>
      </c>
      <c r="K570" s="55" t="s">
        <v>179</v>
      </c>
      <c r="L570" s="56" t="s">
        <v>179</v>
      </c>
      <c r="M570" s="56" t="s">
        <v>179</v>
      </c>
      <c r="N570" s="28"/>
      <c r="O570" s="28"/>
      <c r="P570" s="52"/>
      <c r="Q570" s="52"/>
      <c r="R570" s="28"/>
      <c r="S570" s="28" t="str">
        <f t="array" ref="S570">IF(C570="","",IFERROR(_xlfn.XLOOKUP(C570,Volunteers!D:D,Volunteers!A:A),""))</f>
        <v/>
      </c>
      <c r="T570" s="28"/>
    </row>
    <row r="571">
      <c r="A571" s="57"/>
      <c r="B571" s="40"/>
      <c r="C571" s="40"/>
      <c r="D571" s="40" t="str">
        <f t="array" ref="D571">IF(B571="","",IFERROR(_xlfn.XLOOKUP(B571,'Lists &amp; Settings'!A:A,'Lists &amp; Settings'!E:E),""))</f>
        <v/>
      </c>
      <c r="E571" s="40"/>
      <c r="F571" s="40"/>
      <c r="G571" s="95"/>
      <c r="H571" s="95"/>
      <c r="I571" s="51"/>
      <c r="J571" s="54" t="s">
        <v>179</v>
      </c>
      <c r="K571" s="55" t="s">
        <v>179</v>
      </c>
      <c r="L571" s="56" t="s">
        <v>179</v>
      </c>
      <c r="M571" s="56" t="s">
        <v>179</v>
      </c>
      <c r="N571" s="40"/>
      <c r="O571" s="40"/>
      <c r="P571" s="57"/>
      <c r="Q571" s="57"/>
      <c r="R571" s="40"/>
      <c r="S571" s="40" t="str">
        <f t="array" ref="S571">IF(C571="","",IFERROR(_xlfn.XLOOKUP(C571,Volunteers!D:D,Volunteers!A:A),""))</f>
        <v/>
      </c>
      <c r="T571" s="40"/>
    </row>
    <row r="572">
      <c r="A572" s="52"/>
      <c r="B572" s="28"/>
      <c r="C572" s="28"/>
      <c r="D572" s="28" t="str">
        <f t="array" ref="D572">IF(B572="","",IFERROR(_xlfn.XLOOKUP(B572,'Lists &amp; Settings'!A:A,'Lists &amp; Settings'!E:E),""))</f>
        <v/>
      </c>
      <c r="E572" s="28"/>
      <c r="F572" s="28"/>
      <c r="G572" s="98"/>
      <c r="H572" s="98"/>
      <c r="I572" s="31"/>
      <c r="J572" s="54" t="s">
        <v>179</v>
      </c>
      <c r="K572" s="55" t="s">
        <v>179</v>
      </c>
      <c r="L572" s="56" t="s">
        <v>179</v>
      </c>
      <c r="M572" s="56" t="s">
        <v>179</v>
      </c>
      <c r="N572" s="28"/>
      <c r="O572" s="28"/>
      <c r="P572" s="52"/>
      <c r="Q572" s="52"/>
      <c r="R572" s="28"/>
      <c r="S572" s="28" t="str">
        <f t="array" ref="S572">IF(C572="","",IFERROR(_xlfn.XLOOKUP(C572,Volunteers!D:D,Volunteers!A:A),""))</f>
        <v/>
      </c>
      <c r="T572" s="28"/>
    </row>
    <row r="573">
      <c r="A573" s="57"/>
      <c r="B573" s="40"/>
      <c r="C573" s="40"/>
      <c r="D573" s="40" t="str">
        <f t="array" ref="D573">IF(B573="","",IFERROR(_xlfn.XLOOKUP(B573,'Lists &amp; Settings'!A:A,'Lists &amp; Settings'!E:E),""))</f>
        <v/>
      </c>
      <c r="E573" s="40"/>
      <c r="F573" s="40"/>
      <c r="G573" s="95"/>
      <c r="H573" s="95"/>
      <c r="I573" s="51"/>
      <c r="J573" s="54" t="s">
        <v>179</v>
      </c>
      <c r="K573" s="55" t="s">
        <v>179</v>
      </c>
      <c r="L573" s="56" t="s">
        <v>179</v>
      </c>
      <c r="M573" s="56" t="s">
        <v>179</v>
      </c>
      <c r="N573" s="40"/>
      <c r="O573" s="40"/>
      <c r="P573" s="57"/>
      <c r="Q573" s="57"/>
      <c r="R573" s="40"/>
      <c r="S573" s="40" t="str">
        <f t="array" ref="S573">IF(C573="","",IFERROR(_xlfn.XLOOKUP(C573,Volunteers!D:D,Volunteers!A:A),""))</f>
        <v/>
      </c>
      <c r="T573" s="40"/>
    </row>
    <row r="574">
      <c r="A574" s="52"/>
      <c r="B574" s="28"/>
      <c r="C574" s="28"/>
      <c r="D574" s="28" t="str">
        <f t="array" ref="D574">IF(B574="","",IFERROR(_xlfn.XLOOKUP(B574,'Lists &amp; Settings'!A:A,'Lists &amp; Settings'!E:E),""))</f>
        <v/>
      </c>
      <c r="E574" s="28"/>
      <c r="F574" s="28"/>
      <c r="G574" s="98"/>
      <c r="H574" s="98"/>
      <c r="I574" s="31"/>
      <c r="J574" s="54" t="s">
        <v>179</v>
      </c>
      <c r="K574" s="55" t="s">
        <v>179</v>
      </c>
      <c r="L574" s="56" t="s">
        <v>179</v>
      </c>
      <c r="M574" s="56" t="s">
        <v>179</v>
      </c>
      <c r="N574" s="28"/>
      <c r="O574" s="28"/>
      <c r="P574" s="52"/>
      <c r="Q574" s="52"/>
      <c r="R574" s="28"/>
      <c r="S574" s="28" t="str">
        <f t="array" ref="S574">IF(C574="","",IFERROR(_xlfn.XLOOKUP(C574,Volunteers!D:D,Volunteers!A:A),""))</f>
        <v/>
      </c>
      <c r="T574" s="28"/>
    </row>
    <row r="575">
      <c r="A575" s="57"/>
      <c r="B575" s="40"/>
      <c r="C575" s="40"/>
      <c r="D575" s="40" t="str">
        <f t="array" ref="D575">IF(B575="","",IFERROR(_xlfn.XLOOKUP(B575,'Lists &amp; Settings'!A:A,'Lists &amp; Settings'!E:E),""))</f>
        <v/>
      </c>
      <c r="E575" s="40"/>
      <c r="F575" s="40"/>
      <c r="G575" s="95"/>
      <c r="H575" s="95"/>
      <c r="I575" s="51"/>
      <c r="J575" s="54" t="s">
        <v>179</v>
      </c>
      <c r="K575" s="55" t="s">
        <v>179</v>
      </c>
      <c r="L575" s="56" t="s">
        <v>179</v>
      </c>
      <c r="M575" s="56" t="s">
        <v>179</v>
      </c>
      <c r="N575" s="40"/>
      <c r="O575" s="40"/>
      <c r="P575" s="57"/>
      <c r="Q575" s="57"/>
      <c r="R575" s="40"/>
      <c r="S575" s="40" t="str">
        <f t="array" ref="S575">IF(C575="","",IFERROR(_xlfn.XLOOKUP(C575,Volunteers!D:D,Volunteers!A:A),""))</f>
        <v/>
      </c>
      <c r="T575" s="40"/>
    </row>
    <row r="576">
      <c r="A576" s="52"/>
      <c r="B576" s="28"/>
      <c r="C576" s="28"/>
      <c r="D576" s="28" t="str">
        <f t="array" ref="D576">IF(B576="","",IFERROR(_xlfn.XLOOKUP(B576,'Lists &amp; Settings'!A:A,'Lists &amp; Settings'!E:E),""))</f>
        <v/>
      </c>
      <c r="E576" s="28"/>
      <c r="F576" s="28"/>
      <c r="G576" s="98"/>
      <c r="H576" s="98"/>
      <c r="I576" s="31"/>
      <c r="J576" s="54" t="s">
        <v>179</v>
      </c>
      <c r="K576" s="55" t="s">
        <v>179</v>
      </c>
      <c r="L576" s="56" t="s">
        <v>179</v>
      </c>
      <c r="M576" s="56" t="s">
        <v>179</v>
      </c>
      <c r="N576" s="28"/>
      <c r="O576" s="28"/>
      <c r="P576" s="52"/>
      <c r="Q576" s="52"/>
      <c r="R576" s="28"/>
      <c r="S576" s="28" t="str">
        <f t="array" ref="S576">IF(C576="","",IFERROR(_xlfn.XLOOKUP(C576,Volunteers!D:D,Volunteers!A:A),""))</f>
        <v/>
      </c>
      <c r="T576" s="28"/>
    </row>
    <row r="577">
      <c r="A577" s="57"/>
      <c r="B577" s="40"/>
      <c r="C577" s="40"/>
      <c r="D577" s="40" t="str">
        <f t="array" ref="D577">IF(B577="","",IFERROR(_xlfn.XLOOKUP(B577,'Lists &amp; Settings'!A:A,'Lists &amp; Settings'!E:E),""))</f>
        <v/>
      </c>
      <c r="E577" s="40"/>
      <c r="F577" s="40"/>
      <c r="G577" s="95"/>
      <c r="H577" s="95"/>
      <c r="I577" s="51"/>
      <c r="J577" s="54" t="s">
        <v>179</v>
      </c>
      <c r="K577" s="55" t="s">
        <v>179</v>
      </c>
      <c r="L577" s="56" t="s">
        <v>179</v>
      </c>
      <c r="M577" s="56" t="s">
        <v>179</v>
      </c>
      <c r="N577" s="40"/>
      <c r="O577" s="40"/>
      <c r="P577" s="57"/>
      <c r="Q577" s="57"/>
      <c r="R577" s="40"/>
      <c r="S577" s="40" t="str">
        <f t="array" ref="S577">IF(C577="","",IFERROR(_xlfn.XLOOKUP(C577,Volunteers!D:D,Volunteers!A:A),""))</f>
        <v/>
      </c>
      <c r="T577" s="40"/>
    </row>
    <row r="578">
      <c r="A578" s="52"/>
      <c r="B578" s="28"/>
      <c r="C578" s="28"/>
      <c r="D578" s="28" t="str">
        <f t="array" ref="D578">IF(B578="","",IFERROR(_xlfn.XLOOKUP(B578,'Lists &amp; Settings'!A:A,'Lists &amp; Settings'!E:E),""))</f>
        <v/>
      </c>
      <c r="E578" s="28"/>
      <c r="F578" s="28"/>
      <c r="G578" s="98"/>
      <c r="H578" s="98"/>
      <c r="I578" s="31"/>
      <c r="J578" s="54" t="s">
        <v>179</v>
      </c>
      <c r="K578" s="55" t="s">
        <v>179</v>
      </c>
      <c r="L578" s="56" t="s">
        <v>179</v>
      </c>
      <c r="M578" s="56" t="s">
        <v>179</v>
      </c>
      <c r="N578" s="28"/>
      <c r="O578" s="28"/>
      <c r="P578" s="52"/>
      <c r="Q578" s="52"/>
      <c r="R578" s="28"/>
      <c r="S578" s="28" t="str">
        <f t="array" ref="S578">IF(C578="","",IFERROR(_xlfn.XLOOKUP(C578,Volunteers!D:D,Volunteers!A:A),""))</f>
        <v/>
      </c>
      <c r="T578" s="28"/>
    </row>
    <row r="579">
      <c r="A579" s="57"/>
      <c r="B579" s="40"/>
      <c r="C579" s="40"/>
      <c r="D579" s="40" t="str">
        <f t="array" ref="D579">IF(B579="","",IFERROR(_xlfn.XLOOKUP(B579,'Lists &amp; Settings'!A:A,'Lists &amp; Settings'!E:E),""))</f>
        <v/>
      </c>
      <c r="E579" s="40"/>
      <c r="F579" s="40"/>
      <c r="G579" s="95"/>
      <c r="H579" s="95"/>
      <c r="I579" s="51"/>
      <c r="J579" s="54" t="s">
        <v>179</v>
      </c>
      <c r="K579" s="55" t="s">
        <v>179</v>
      </c>
      <c r="L579" s="56" t="s">
        <v>179</v>
      </c>
      <c r="M579" s="56" t="s">
        <v>179</v>
      </c>
      <c r="N579" s="40"/>
      <c r="O579" s="40"/>
      <c r="P579" s="57"/>
      <c r="Q579" s="57"/>
      <c r="R579" s="40"/>
      <c r="S579" s="40" t="str">
        <f t="array" ref="S579">IF(C579="","",IFERROR(_xlfn.XLOOKUP(C579,Volunteers!D:D,Volunteers!A:A),""))</f>
        <v/>
      </c>
      <c r="T579" s="40"/>
    </row>
    <row r="580">
      <c r="A580" s="52"/>
      <c r="B580" s="28"/>
      <c r="C580" s="28"/>
      <c r="D580" s="28" t="str">
        <f t="array" ref="D580">IF(B580="","",IFERROR(_xlfn.XLOOKUP(B580,'Lists &amp; Settings'!A:A,'Lists &amp; Settings'!E:E),""))</f>
        <v/>
      </c>
      <c r="E580" s="28"/>
      <c r="F580" s="28"/>
      <c r="G580" s="98"/>
      <c r="H580" s="98"/>
      <c r="I580" s="31"/>
      <c r="J580" s="54" t="s">
        <v>179</v>
      </c>
      <c r="K580" s="55" t="s">
        <v>179</v>
      </c>
      <c r="L580" s="56" t="s">
        <v>179</v>
      </c>
      <c r="M580" s="56" t="s">
        <v>179</v>
      </c>
      <c r="N580" s="28"/>
      <c r="O580" s="28"/>
      <c r="P580" s="52"/>
      <c r="Q580" s="52"/>
      <c r="R580" s="28"/>
      <c r="S580" s="28" t="str">
        <f t="array" ref="S580">IF(C580="","",IFERROR(_xlfn.XLOOKUP(C580,Volunteers!D:D,Volunteers!A:A),""))</f>
        <v/>
      </c>
      <c r="T580" s="28"/>
    </row>
    <row r="581">
      <c r="A581" s="57"/>
      <c r="B581" s="40"/>
      <c r="C581" s="40"/>
      <c r="D581" s="40" t="str">
        <f t="array" ref="D581">IF(B581="","",IFERROR(_xlfn.XLOOKUP(B581,'Lists &amp; Settings'!A:A,'Lists &amp; Settings'!E:E),""))</f>
        <v/>
      </c>
      <c r="E581" s="40"/>
      <c r="F581" s="40"/>
      <c r="G581" s="95"/>
      <c r="H581" s="95"/>
      <c r="I581" s="51"/>
      <c r="J581" s="54" t="s">
        <v>179</v>
      </c>
      <c r="K581" s="55" t="s">
        <v>179</v>
      </c>
      <c r="L581" s="56" t="s">
        <v>179</v>
      </c>
      <c r="M581" s="56" t="s">
        <v>179</v>
      </c>
      <c r="N581" s="40"/>
      <c r="O581" s="40"/>
      <c r="P581" s="57"/>
      <c r="Q581" s="57"/>
      <c r="R581" s="40"/>
      <c r="S581" s="40" t="str">
        <f t="array" ref="S581">IF(C581="","",IFERROR(_xlfn.XLOOKUP(C581,Volunteers!D:D,Volunteers!A:A),""))</f>
        <v/>
      </c>
      <c r="T581" s="40"/>
    </row>
    <row r="582">
      <c r="A582" s="52"/>
      <c r="B582" s="28"/>
      <c r="C582" s="28"/>
      <c r="D582" s="28" t="str">
        <f t="array" ref="D582">IF(B582="","",IFERROR(_xlfn.XLOOKUP(B582,'Lists &amp; Settings'!A:A,'Lists &amp; Settings'!E:E),""))</f>
        <v/>
      </c>
      <c r="E582" s="28"/>
      <c r="F582" s="28"/>
      <c r="G582" s="98"/>
      <c r="H582" s="98"/>
      <c r="I582" s="31"/>
      <c r="J582" s="54" t="s">
        <v>179</v>
      </c>
      <c r="K582" s="55" t="s">
        <v>179</v>
      </c>
      <c r="L582" s="56" t="s">
        <v>179</v>
      </c>
      <c r="M582" s="56" t="s">
        <v>179</v>
      </c>
      <c r="N582" s="28"/>
      <c r="O582" s="28"/>
      <c r="P582" s="52"/>
      <c r="Q582" s="52"/>
      <c r="R582" s="28"/>
      <c r="S582" s="28" t="str">
        <f t="array" ref="S582">IF(C582="","",IFERROR(_xlfn.XLOOKUP(C582,Volunteers!D:D,Volunteers!A:A),""))</f>
        <v/>
      </c>
      <c r="T582" s="28"/>
    </row>
    <row r="583">
      <c r="A583" s="57"/>
      <c r="B583" s="40"/>
      <c r="C583" s="40"/>
      <c r="D583" s="40" t="str">
        <f t="array" ref="D583">IF(B583="","",IFERROR(_xlfn.XLOOKUP(B583,'Lists &amp; Settings'!A:A,'Lists &amp; Settings'!E:E),""))</f>
        <v/>
      </c>
      <c r="E583" s="40"/>
      <c r="F583" s="40"/>
      <c r="G583" s="95"/>
      <c r="H583" s="95"/>
      <c r="I583" s="51"/>
      <c r="J583" s="54" t="s">
        <v>179</v>
      </c>
      <c r="K583" s="55" t="s">
        <v>179</v>
      </c>
      <c r="L583" s="56" t="s">
        <v>179</v>
      </c>
      <c r="M583" s="56" t="s">
        <v>179</v>
      </c>
      <c r="N583" s="40"/>
      <c r="O583" s="40"/>
      <c r="P583" s="57"/>
      <c r="Q583" s="57"/>
      <c r="R583" s="40"/>
      <c r="S583" s="40" t="str">
        <f t="array" ref="S583">IF(C583="","",IFERROR(_xlfn.XLOOKUP(C583,Volunteers!D:D,Volunteers!A:A),""))</f>
        <v/>
      </c>
      <c r="T583" s="40"/>
    </row>
    <row r="584">
      <c r="A584" s="52"/>
      <c r="B584" s="28"/>
      <c r="C584" s="28"/>
      <c r="D584" s="28" t="str">
        <f t="array" ref="D584">IF(B584="","",IFERROR(_xlfn.XLOOKUP(B584,'Lists &amp; Settings'!A:A,'Lists &amp; Settings'!E:E),""))</f>
        <v/>
      </c>
      <c r="E584" s="28"/>
      <c r="F584" s="28"/>
      <c r="G584" s="98"/>
      <c r="H584" s="98"/>
      <c r="I584" s="31"/>
      <c r="J584" s="54" t="s">
        <v>179</v>
      </c>
      <c r="K584" s="55" t="s">
        <v>179</v>
      </c>
      <c r="L584" s="56" t="s">
        <v>179</v>
      </c>
      <c r="M584" s="56" t="s">
        <v>179</v>
      </c>
      <c r="N584" s="28"/>
      <c r="O584" s="28"/>
      <c r="P584" s="52"/>
      <c r="Q584" s="52"/>
      <c r="R584" s="28"/>
      <c r="S584" s="28" t="str">
        <f t="array" ref="S584">IF(C584="","",IFERROR(_xlfn.XLOOKUP(C584,Volunteers!D:D,Volunteers!A:A),""))</f>
        <v/>
      </c>
      <c r="T584" s="28"/>
    </row>
    <row r="585">
      <c r="A585" s="57"/>
      <c r="B585" s="40"/>
      <c r="C585" s="40"/>
      <c r="D585" s="40" t="str">
        <f t="array" ref="D585">IF(B585="","",IFERROR(_xlfn.XLOOKUP(B585,'Lists &amp; Settings'!A:A,'Lists &amp; Settings'!E:E),""))</f>
        <v/>
      </c>
      <c r="E585" s="40"/>
      <c r="F585" s="40"/>
      <c r="G585" s="95"/>
      <c r="H585" s="95"/>
      <c r="I585" s="51"/>
      <c r="J585" s="54" t="s">
        <v>179</v>
      </c>
      <c r="K585" s="55" t="s">
        <v>179</v>
      </c>
      <c r="L585" s="56" t="s">
        <v>179</v>
      </c>
      <c r="M585" s="56" t="s">
        <v>179</v>
      </c>
      <c r="N585" s="40"/>
      <c r="O585" s="40"/>
      <c r="P585" s="57"/>
      <c r="Q585" s="57"/>
      <c r="R585" s="40"/>
      <c r="S585" s="40" t="str">
        <f t="array" ref="S585">IF(C585="","",IFERROR(_xlfn.XLOOKUP(C585,Volunteers!D:D,Volunteers!A:A),""))</f>
        <v/>
      </c>
      <c r="T585" s="40"/>
    </row>
    <row r="586">
      <c r="A586" s="52"/>
      <c r="B586" s="28"/>
      <c r="C586" s="28"/>
      <c r="D586" s="28" t="str">
        <f t="array" ref="D586">IF(B586="","",IFERROR(_xlfn.XLOOKUP(B586,'Lists &amp; Settings'!A:A,'Lists &amp; Settings'!E:E),""))</f>
        <v/>
      </c>
      <c r="E586" s="28"/>
      <c r="F586" s="28"/>
      <c r="G586" s="98"/>
      <c r="H586" s="98"/>
      <c r="I586" s="31"/>
      <c r="J586" s="54" t="s">
        <v>179</v>
      </c>
      <c r="K586" s="55" t="s">
        <v>179</v>
      </c>
      <c r="L586" s="56" t="s">
        <v>179</v>
      </c>
      <c r="M586" s="56" t="s">
        <v>179</v>
      </c>
      <c r="N586" s="28"/>
      <c r="O586" s="28"/>
      <c r="P586" s="52"/>
      <c r="Q586" s="52"/>
      <c r="R586" s="28"/>
      <c r="S586" s="28" t="str">
        <f t="array" ref="S586">IF(C586="","",IFERROR(_xlfn.XLOOKUP(C586,Volunteers!D:D,Volunteers!A:A),""))</f>
        <v/>
      </c>
      <c r="T586" s="28"/>
    </row>
    <row r="587">
      <c r="A587" s="57"/>
      <c r="B587" s="40"/>
      <c r="C587" s="40"/>
      <c r="D587" s="40" t="str">
        <f t="array" ref="D587">IF(B587="","",IFERROR(_xlfn.XLOOKUP(B587,'Lists &amp; Settings'!A:A,'Lists &amp; Settings'!E:E),""))</f>
        <v/>
      </c>
      <c r="E587" s="40"/>
      <c r="F587" s="40"/>
      <c r="G587" s="95"/>
      <c r="H587" s="95"/>
      <c r="I587" s="51"/>
      <c r="J587" s="54" t="s">
        <v>179</v>
      </c>
      <c r="K587" s="55" t="s">
        <v>179</v>
      </c>
      <c r="L587" s="56" t="s">
        <v>179</v>
      </c>
      <c r="M587" s="56" t="s">
        <v>179</v>
      </c>
      <c r="N587" s="40"/>
      <c r="O587" s="40"/>
      <c r="P587" s="57"/>
      <c r="Q587" s="57"/>
      <c r="R587" s="40"/>
      <c r="S587" s="40" t="str">
        <f t="array" ref="S587">IF(C587="","",IFERROR(_xlfn.XLOOKUP(C587,Volunteers!D:D,Volunteers!A:A),""))</f>
        <v/>
      </c>
      <c r="T587" s="40"/>
    </row>
    <row r="588">
      <c r="A588" s="52"/>
      <c r="B588" s="28"/>
      <c r="C588" s="28"/>
      <c r="D588" s="28" t="str">
        <f t="array" ref="D588">IF(B588="","",IFERROR(_xlfn.XLOOKUP(B588,'Lists &amp; Settings'!A:A,'Lists &amp; Settings'!E:E),""))</f>
        <v/>
      </c>
      <c r="E588" s="28"/>
      <c r="F588" s="28"/>
      <c r="G588" s="98"/>
      <c r="H588" s="98"/>
      <c r="I588" s="31"/>
      <c r="J588" s="54" t="s">
        <v>179</v>
      </c>
      <c r="K588" s="55" t="s">
        <v>179</v>
      </c>
      <c r="L588" s="56" t="s">
        <v>179</v>
      </c>
      <c r="M588" s="56" t="s">
        <v>179</v>
      </c>
      <c r="N588" s="28"/>
      <c r="O588" s="28"/>
      <c r="P588" s="52"/>
      <c r="Q588" s="52"/>
      <c r="R588" s="28"/>
      <c r="S588" s="28" t="str">
        <f t="array" ref="S588">IF(C588="","",IFERROR(_xlfn.XLOOKUP(C588,Volunteers!D:D,Volunteers!A:A),""))</f>
        <v/>
      </c>
      <c r="T588" s="28"/>
    </row>
    <row r="589">
      <c r="A589" s="57"/>
      <c r="B589" s="40"/>
      <c r="C589" s="40"/>
      <c r="D589" s="40" t="str">
        <f t="array" ref="D589">IF(B589="","",IFERROR(_xlfn.XLOOKUP(B589,'Lists &amp; Settings'!A:A,'Lists &amp; Settings'!E:E),""))</f>
        <v/>
      </c>
      <c r="E589" s="40"/>
      <c r="F589" s="40"/>
      <c r="G589" s="95"/>
      <c r="H589" s="95"/>
      <c r="I589" s="51"/>
      <c r="J589" s="54" t="s">
        <v>179</v>
      </c>
      <c r="K589" s="55" t="s">
        <v>179</v>
      </c>
      <c r="L589" s="56" t="s">
        <v>179</v>
      </c>
      <c r="M589" s="56" t="s">
        <v>179</v>
      </c>
      <c r="N589" s="40"/>
      <c r="O589" s="40"/>
      <c r="P589" s="57"/>
      <c r="Q589" s="57"/>
      <c r="R589" s="40"/>
      <c r="S589" s="40" t="str">
        <f t="array" ref="S589">IF(C589="","",IFERROR(_xlfn.XLOOKUP(C589,Volunteers!D:D,Volunteers!A:A),""))</f>
        <v/>
      </c>
      <c r="T589" s="40"/>
    </row>
    <row r="590">
      <c r="A590" s="52"/>
      <c r="B590" s="28"/>
      <c r="C590" s="28"/>
      <c r="D590" s="28" t="str">
        <f t="array" ref="D590">IF(B590="","",IFERROR(_xlfn.XLOOKUP(B590,'Lists &amp; Settings'!A:A,'Lists &amp; Settings'!E:E),""))</f>
        <v/>
      </c>
      <c r="E590" s="28"/>
      <c r="F590" s="28"/>
      <c r="G590" s="98"/>
      <c r="H590" s="98"/>
      <c r="I590" s="31"/>
      <c r="J590" s="54" t="s">
        <v>179</v>
      </c>
      <c r="K590" s="55" t="s">
        <v>179</v>
      </c>
      <c r="L590" s="56" t="s">
        <v>179</v>
      </c>
      <c r="M590" s="56" t="s">
        <v>179</v>
      </c>
      <c r="N590" s="28"/>
      <c r="O590" s="28"/>
      <c r="P590" s="52"/>
      <c r="Q590" s="52"/>
      <c r="R590" s="28"/>
      <c r="S590" s="28" t="str">
        <f t="array" ref="S590">IF(C590="","",IFERROR(_xlfn.XLOOKUP(C590,Volunteers!D:D,Volunteers!A:A),""))</f>
        <v/>
      </c>
      <c r="T590" s="28"/>
    </row>
    <row r="591">
      <c r="A591" s="57"/>
      <c r="B591" s="40"/>
      <c r="C591" s="40"/>
      <c r="D591" s="40" t="str">
        <f t="array" ref="D591">IF(B591="","",IFERROR(_xlfn.XLOOKUP(B591,'Lists &amp; Settings'!A:A,'Lists &amp; Settings'!E:E),""))</f>
        <v/>
      </c>
      <c r="E591" s="40"/>
      <c r="F591" s="40"/>
      <c r="G591" s="95"/>
      <c r="H591" s="95"/>
      <c r="I591" s="51"/>
      <c r="J591" s="54" t="s">
        <v>179</v>
      </c>
      <c r="K591" s="55" t="s">
        <v>179</v>
      </c>
      <c r="L591" s="56" t="s">
        <v>179</v>
      </c>
      <c r="M591" s="56" t="s">
        <v>179</v>
      </c>
      <c r="N591" s="40"/>
      <c r="O591" s="40"/>
      <c r="P591" s="57"/>
      <c r="Q591" s="57"/>
      <c r="R591" s="40"/>
      <c r="S591" s="40" t="str">
        <f t="array" ref="S591">IF(C591="","",IFERROR(_xlfn.XLOOKUP(C591,Volunteers!D:D,Volunteers!A:A),""))</f>
        <v/>
      </c>
      <c r="T591" s="40"/>
    </row>
    <row r="592">
      <c r="A592" s="52"/>
      <c r="B592" s="28"/>
      <c r="C592" s="28"/>
      <c r="D592" s="28" t="str">
        <f t="array" ref="D592">IF(B592="","",IFERROR(_xlfn.XLOOKUP(B592,'Lists &amp; Settings'!A:A,'Lists &amp; Settings'!E:E),""))</f>
        <v/>
      </c>
      <c r="E592" s="28"/>
      <c r="F592" s="28"/>
      <c r="G592" s="98"/>
      <c r="H592" s="98"/>
      <c r="I592" s="31"/>
      <c r="J592" s="54" t="s">
        <v>179</v>
      </c>
      <c r="K592" s="55" t="s">
        <v>179</v>
      </c>
      <c r="L592" s="56" t="s">
        <v>179</v>
      </c>
      <c r="M592" s="56" t="s">
        <v>179</v>
      </c>
      <c r="N592" s="28"/>
      <c r="O592" s="28"/>
      <c r="P592" s="52"/>
      <c r="Q592" s="52"/>
      <c r="R592" s="28"/>
      <c r="S592" s="28" t="str">
        <f t="array" ref="S592">IF(C592="","",IFERROR(_xlfn.XLOOKUP(C592,Volunteers!D:D,Volunteers!A:A),""))</f>
        <v/>
      </c>
      <c r="T592" s="28"/>
    </row>
    <row r="593">
      <c r="A593" s="57"/>
      <c r="B593" s="40"/>
      <c r="C593" s="40"/>
      <c r="D593" s="40" t="str">
        <f t="array" ref="D593">IF(B593="","",IFERROR(_xlfn.XLOOKUP(B593,'Lists &amp; Settings'!A:A,'Lists &amp; Settings'!E:E),""))</f>
        <v/>
      </c>
      <c r="E593" s="40"/>
      <c r="F593" s="40"/>
      <c r="G593" s="95"/>
      <c r="H593" s="95"/>
      <c r="I593" s="51"/>
      <c r="J593" s="54" t="s">
        <v>179</v>
      </c>
      <c r="K593" s="55" t="s">
        <v>179</v>
      </c>
      <c r="L593" s="56" t="s">
        <v>179</v>
      </c>
      <c r="M593" s="56" t="s">
        <v>179</v>
      </c>
      <c r="N593" s="40"/>
      <c r="O593" s="40"/>
      <c r="P593" s="57"/>
      <c r="Q593" s="57"/>
      <c r="R593" s="40"/>
      <c r="S593" s="40" t="str">
        <f t="array" ref="S593">IF(C593="","",IFERROR(_xlfn.XLOOKUP(C593,Volunteers!D:D,Volunteers!A:A),""))</f>
        <v/>
      </c>
      <c r="T593" s="40"/>
    </row>
    <row r="594">
      <c r="A594" s="52"/>
      <c r="B594" s="28"/>
      <c r="C594" s="28"/>
      <c r="D594" s="28" t="str">
        <f t="array" ref="D594">IF(B594="","",IFERROR(_xlfn.XLOOKUP(B594,'Lists &amp; Settings'!A:A,'Lists &amp; Settings'!E:E),""))</f>
        <v/>
      </c>
      <c r="E594" s="28"/>
      <c r="F594" s="28"/>
      <c r="G594" s="98"/>
      <c r="H594" s="98"/>
      <c r="I594" s="31"/>
      <c r="J594" s="54" t="s">
        <v>179</v>
      </c>
      <c r="K594" s="55" t="s">
        <v>179</v>
      </c>
      <c r="L594" s="56" t="s">
        <v>179</v>
      </c>
      <c r="M594" s="56" t="s">
        <v>179</v>
      </c>
      <c r="N594" s="28"/>
      <c r="O594" s="28"/>
      <c r="P594" s="52"/>
      <c r="Q594" s="52"/>
      <c r="R594" s="28"/>
      <c r="S594" s="28" t="str">
        <f t="array" ref="S594">IF(C594="","",IFERROR(_xlfn.XLOOKUP(C594,Volunteers!D:D,Volunteers!A:A),""))</f>
        <v/>
      </c>
      <c r="T594" s="28"/>
    </row>
    <row r="595">
      <c r="A595" s="57"/>
      <c r="B595" s="40"/>
      <c r="C595" s="40"/>
      <c r="D595" s="40" t="str">
        <f t="array" ref="D595">IF(B595="","",IFERROR(_xlfn.XLOOKUP(B595,'Lists &amp; Settings'!A:A,'Lists &amp; Settings'!E:E),""))</f>
        <v/>
      </c>
      <c r="E595" s="40"/>
      <c r="F595" s="40"/>
      <c r="G595" s="95"/>
      <c r="H595" s="95"/>
      <c r="I595" s="51"/>
      <c r="J595" s="54" t="s">
        <v>179</v>
      </c>
      <c r="K595" s="55" t="s">
        <v>179</v>
      </c>
      <c r="L595" s="56" t="s">
        <v>179</v>
      </c>
      <c r="M595" s="56" t="s">
        <v>179</v>
      </c>
      <c r="N595" s="40"/>
      <c r="O595" s="40"/>
      <c r="P595" s="57"/>
      <c r="Q595" s="57"/>
      <c r="R595" s="40"/>
      <c r="S595" s="40" t="str">
        <f t="array" ref="S595">IF(C595="","",IFERROR(_xlfn.XLOOKUP(C595,Volunteers!D:D,Volunteers!A:A),""))</f>
        <v/>
      </c>
      <c r="T595" s="40"/>
    </row>
    <row r="596">
      <c r="A596" s="52"/>
      <c r="B596" s="28"/>
      <c r="C596" s="28"/>
      <c r="D596" s="28" t="str">
        <f t="array" ref="D596">IF(B596="","",IFERROR(_xlfn.XLOOKUP(B596,'Lists &amp; Settings'!A:A,'Lists &amp; Settings'!E:E),""))</f>
        <v/>
      </c>
      <c r="E596" s="28"/>
      <c r="F596" s="28"/>
      <c r="G596" s="98"/>
      <c r="H596" s="98"/>
      <c r="I596" s="31"/>
      <c r="J596" s="54" t="s">
        <v>179</v>
      </c>
      <c r="K596" s="55" t="s">
        <v>179</v>
      </c>
      <c r="L596" s="56" t="s">
        <v>179</v>
      </c>
      <c r="M596" s="56" t="s">
        <v>179</v>
      </c>
      <c r="N596" s="28"/>
      <c r="O596" s="28"/>
      <c r="P596" s="52"/>
      <c r="Q596" s="52"/>
      <c r="R596" s="28"/>
      <c r="S596" s="28" t="str">
        <f t="array" ref="S596">IF(C596="","",IFERROR(_xlfn.XLOOKUP(C596,Volunteers!D:D,Volunteers!A:A),""))</f>
        <v/>
      </c>
      <c r="T596" s="28"/>
    </row>
    <row r="597">
      <c r="A597" s="57"/>
      <c r="B597" s="40"/>
      <c r="C597" s="40"/>
      <c r="D597" s="40" t="str">
        <f t="array" ref="D597">IF(B597="","",IFERROR(_xlfn.XLOOKUP(B597,'Lists &amp; Settings'!A:A,'Lists &amp; Settings'!E:E),""))</f>
        <v/>
      </c>
      <c r="E597" s="40"/>
      <c r="F597" s="40"/>
      <c r="G597" s="95"/>
      <c r="H597" s="95"/>
      <c r="I597" s="51"/>
      <c r="J597" s="54" t="s">
        <v>179</v>
      </c>
      <c r="K597" s="55" t="s">
        <v>179</v>
      </c>
      <c r="L597" s="56" t="s">
        <v>179</v>
      </c>
      <c r="M597" s="56" t="s">
        <v>179</v>
      </c>
      <c r="N597" s="40"/>
      <c r="O597" s="40"/>
      <c r="P597" s="57"/>
      <c r="Q597" s="57"/>
      <c r="R597" s="40"/>
      <c r="S597" s="40" t="str">
        <f t="array" ref="S597">IF(C597="","",IFERROR(_xlfn.XLOOKUP(C597,Volunteers!D:D,Volunteers!A:A),""))</f>
        <v/>
      </c>
      <c r="T597" s="40"/>
    </row>
    <row r="598">
      <c r="A598" s="52"/>
      <c r="B598" s="28"/>
      <c r="C598" s="28"/>
      <c r="D598" s="28" t="str">
        <f t="array" ref="D598">IF(B598="","",IFERROR(_xlfn.XLOOKUP(B598,'Lists &amp; Settings'!A:A,'Lists &amp; Settings'!E:E),""))</f>
        <v/>
      </c>
      <c r="E598" s="28"/>
      <c r="F598" s="28"/>
      <c r="G598" s="98"/>
      <c r="H598" s="98"/>
      <c r="I598" s="31"/>
      <c r="J598" s="54" t="s">
        <v>179</v>
      </c>
      <c r="K598" s="55" t="s">
        <v>179</v>
      </c>
      <c r="L598" s="56" t="s">
        <v>179</v>
      </c>
      <c r="M598" s="56" t="s">
        <v>179</v>
      </c>
      <c r="N598" s="28"/>
      <c r="O598" s="28"/>
      <c r="P598" s="52"/>
      <c r="Q598" s="52"/>
      <c r="R598" s="28"/>
      <c r="S598" s="28" t="str">
        <f t="array" ref="S598">IF(C598="","",IFERROR(_xlfn.XLOOKUP(C598,Volunteers!D:D,Volunteers!A:A),""))</f>
        <v/>
      </c>
      <c r="T598" s="28"/>
    </row>
    <row r="599">
      <c r="A599" s="57"/>
      <c r="B599" s="40"/>
      <c r="C599" s="40"/>
      <c r="D599" s="40" t="str">
        <f t="array" ref="D599">IF(B599="","",IFERROR(_xlfn.XLOOKUP(B599,'Lists &amp; Settings'!A:A,'Lists &amp; Settings'!E:E),""))</f>
        <v/>
      </c>
      <c r="E599" s="40"/>
      <c r="F599" s="40"/>
      <c r="G599" s="95"/>
      <c r="H599" s="95"/>
      <c r="I599" s="51"/>
      <c r="J599" s="54" t="s">
        <v>179</v>
      </c>
      <c r="K599" s="55" t="s">
        <v>179</v>
      </c>
      <c r="L599" s="56" t="s">
        <v>179</v>
      </c>
      <c r="M599" s="56" t="s">
        <v>179</v>
      </c>
      <c r="N599" s="40"/>
      <c r="O599" s="40"/>
      <c r="P599" s="57"/>
      <c r="Q599" s="57"/>
      <c r="R599" s="40"/>
      <c r="S599" s="40" t="str">
        <f t="array" ref="S599">IF(C599="","",IFERROR(_xlfn.XLOOKUP(C599,Volunteers!D:D,Volunteers!A:A),""))</f>
        <v/>
      </c>
      <c r="T599" s="40"/>
    </row>
    <row r="600">
      <c r="A600" s="52"/>
      <c r="B600" s="28"/>
      <c r="C600" s="28"/>
      <c r="D600" s="28" t="str">
        <f t="array" ref="D600">IF(B600="","",IFERROR(_xlfn.XLOOKUP(B600,'Lists &amp; Settings'!A:A,'Lists &amp; Settings'!E:E),""))</f>
        <v/>
      </c>
      <c r="E600" s="28"/>
      <c r="F600" s="28"/>
      <c r="G600" s="98"/>
      <c r="H600" s="98"/>
      <c r="I600" s="31"/>
      <c r="J600" s="54" t="s">
        <v>179</v>
      </c>
      <c r="K600" s="55" t="s">
        <v>179</v>
      </c>
      <c r="L600" s="56" t="s">
        <v>179</v>
      </c>
      <c r="M600" s="56" t="s">
        <v>179</v>
      </c>
      <c r="N600" s="28"/>
      <c r="O600" s="28"/>
      <c r="P600" s="52"/>
      <c r="Q600" s="52"/>
      <c r="R600" s="28"/>
      <c r="S600" s="28" t="str">
        <f t="array" ref="S600">IF(C600="","",IFERROR(_xlfn.XLOOKUP(C600,Volunteers!D:D,Volunteers!A:A),""))</f>
        <v/>
      </c>
      <c r="T600" s="28"/>
    </row>
    <row r="601">
      <c r="A601" s="57"/>
      <c r="B601" s="40"/>
      <c r="C601" s="40"/>
      <c r="D601" s="40" t="str">
        <f t="array" ref="D601">IF(B601="","",IFERROR(_xlfn.XLOOKUP(B601,'Lists &amp; Settings'!A:A,'Lists &amp; Settings'!E:E),""))</f>
        <v/>
      </c>
      <c r="E601" s="40"/>
      <c r="F601" s="40"/>
      <c r="G601" s="95"/>
      <c r="H601" s="95"/>
      <c r="I601" s="51"/>
      <c r="J601" s="54" t="s">
        <v>179</v>
      </c>
      <c r="K601" s="55" t="s">
        <v>179</v>
      </c>
      <c r="L601" s="56" t="s">
        <v>179</v>
      </c>
      <c r="M601" s="56" t="s">
        <v>179</v>
      </c>
      <c r="N601" s="40"/>
      <c r="O601" s="40"/>
      <c r="P601" s="57"/>
      <c r="Q601" s="57"/>
      <c r="R601" s="40"/>
      <c r="S601" s="40" t="str">
        <f t="array" ref="S601">IF(C601="","",IFERROR(_xlfn.XLOOKUP(C601,Volunteers!D:D,Volunteers!A:A),""))</f>
        <v/>
      </c>
      <c r="T601" s="40"/>
    </row>
    <row r="602">
      <c r="A602" s="52"/>
      <c r="B602" s="28"/>
      <c r="C602" s="28"/>
      <c r="D602" s="28" t="str">
        <f t="array" ref="D602">IF(B602="","",IFERROR(_xlfn.XLOOKUP(B602,'Lists &amp; Settings'!A:A,'Lists &amp; Settings'!E:E),""))</f>
        <v/>
      </c>
      <c r="E602" s="28"/>
      <c r="F602" s="28"/>
      <c r="G602" s="98"/>
      <c r="H602" s="98"/>
      <c r="I602" s="31"/>
      <c r="J602" s="54" t="s">
        <v>179</v>
      </c>
      <c r="K602" s="55" t="s">
        <v>179</v>
      </c>
      <c r="L602" s="56" t="s">
        <v>179</v>
      </c>
      <c r="M602" s="56" t="s">
        <v>179</v>
      </c>
      <c r="N602" s="28"/>
      <c r="O602" s="28"/>
      <c r="P602" s="52"/>
      <c r="Q602" s="52"/>
      <c r="R602" s="28"/>
      <c r="S602" s="28" t="str">
        <f t="array" ref="S602">IF(C602="","",IFERROR(_xlfn.XLOOKUP(C602,Volunteers!D:D,Volunteers!A:A),""))</f>
        <v/>
      </c>
      <c r="T602" s="28"/>
    </row>
    <row r="603">
      <c r="A603" s="57"/>
      <c r="B603" s="40"/>
      <c r="C603" s="40"/>
      <c r="D603" s="40" t="str">
        <f t="array" ref="D603">IF(B603="","",IFERROR(_xlfn.XLOOKUP(B603,'Lists &amp; Settings'!A:A,'Lists &amp; Settings'!E:E),""))</f>
        <v/>
      </c>
      <c r="E603" s="40"/>
      <c r="F603" s="40"/>
      <c r="G603" s="95"/>
      <c r="H603" s="95"/>
      <c r="I603" s="51"/>
      <c r="J603" s="54" t="s">
        <v>179</v>
      </c>
      <c r="K603" s="55" t="s">
        <v>179</v>
      </c>
      <c r="L603" s="56" t="s">
        <v>179</v>
      </c>
      <c r="M603" s="56" t="s">
        <v>179</v>
      </c>
      <c r="N603" s="40"/>
      <c r="O603" s="40"/>
      <c r="P603" s="57"/>
      <c r="Q603" s="57"/>
      <c r="R603" s="40"/>
      <c r="S603" s="40" t="str">
        <f t="array" ref="S603">IF(C603="","",IFERROR(_xlfn.XLOOKUP(C603,Volunteers!D:D,Volunteers!A:A),""))</f>
        <v/>
      </c>
      <c r="T603" s="40"/>
    </row>
    <row r="604">
      <c r="A604" s="52"/>
      <c r="B604" s="28"/>
      <c r="C604" s="28"/>
      <c r="D604" s="28" t="str">
        <f t="array" ref="D604">IF(B604="","",IFERROR(_xlfn.XLOOKUP(B604,'Lists &amp; Settings'!A:A,'Lists &amp; Settings'!E:E),""))</f>
        <v/>
      </c>
      <c r="E604" s="28"/>
      <c r="F604" s="28"/>
      <c r="G604" s="98"/>
      <c r="H604" s="98"/>
      <c r="I604" s="31"/>
      <c r="J604" s="54" t="s">
        <v>179</v>
      </c>
      <c r="K604" s="55" t="s">
        <v>179</v>
      </c>
      <c r="L604" s="56" t="s">
        <v>179</v>
      </c>
      <c r="M604" s="56" t="s">
        <v>179</v>
      </c>
      <c r="N604" s="28"/>
      <c r="O604" s="28"/>
      <c r="P604" s="52"/>
      <c r="Q604" s="52"/>
      <c r="R604" s="28"/>
      <c r="S604" s="28" t="str">
        <f t="array" ref="S604">IF(C604="","",IFERROR(_xlfn.XLOOKUP(C604,Volunteers!D:D,Volunteers!A:A),""))</f>
        <v/>
      </c>
      <c r="T604" s="28"/>
    </row>
    <row r="605">
      <c r="A605" s="57"/>
      <c r="B605" s="40"/>
      <c r="C605" s="40"/>
      <c r="D605" s="40" t="str">
        <f t="array" ref="D605">IF(B605="","",IFERROR(_xlfn.XLOOKUP(B605,'Lists &amp; Settings'!A:A,'Lists &amp; Settings'!E:E),""))</f>
        <v/>
      </c>
      <c r="E605" s="40"/>
      <c r="F605" s="40"/>
      <c r="G605" s="95"/>
      <c r="H605" s="95"/>
      <c r="I605" s="51"/>
      <c r="J605" s="54" t="s">
        <v>179</v>
      </c>
      <c r="K605" s="55" t="s">
        <v>179</v>
      </c>
      <c r="L605" s="56" t="s">
        <v>179</v>
      </c>
      <c r="M605" s="56" t="s">
        <v>179</v>
      </c>
      <c r="N605" s="40"/>
      <c r="O605" s="40"/>
      <c r="P605" s="57"/>
      <c r="Q605" s="57"/>
      <c r="R605" s="40"/>
      <c r="S605" s="40" t="str">
        <f t="array" ref="S605">IF(C605="","",IFERROR(_xlfn.XLOOKUP(C605,Volunteers!D:D,Volunteers!A:A),""))</f>
        <v/>
      </c>
      <c r="T605" s="40"/>
    </row>
    <row r="606">
      <c r="A606" s="52"/>
      <c r="B606" s="28"/>
      <c r="C606" s="28"/>
      <c r="D606" s="28" t="str">
        <f t="array" ref="D606">IF(B606="","",IFERROR(_xlfn.XLOOKUP(B606,'Lists &amp; Settings'!A:A,'Lists &amp; Settings'!E:E),""))</f>
        <v/>
      </c>
      <c r="E606" s="28"/>
      <c r="F606" s="28"/>
      <c r="G606" s="98"/>
      <c r="H606" s="98"/>
      <c r="I606" s="31"/>
      <c r="J606" s="54" t="s">
        <v>179</v>
      </c>
      <c r="K606" s="55" t="s">
        <v>179</v>
      </c>
      <c r="L606" s="56" t="s">
        <v>179</v>
      </c>
      <c r="M606" s="56" t="s">
        <v>179</v>
      </c>
      <c r="N606" s="28"/>
      <c r="O606" s="28"/>
      <c r="P606" s="52"/>
      <c r="Q606" s="52"/>
      <c r="R606" s="28"/>
      <c r="S606" s="28" t="str">
        <f t="array" ref="S606">IF(C606="","",IFERROR(_xlfn.XLOOKUP(C606,Volunteers!D:D,Volunteers!A:A),""))</f>
        <v/>
      </c>
      <c r="T606" s="28"/>
    </row>
    <row r="607">
      <c r="A607" s="57"/>
      <c r="B607" s="40"/>
      <c r="C607" s="40"/>
      <c r="D607" s="40" t="str">
        <f t="array" ref="D607">IF(B607="","",IFERROR(_xlfn.XLOOKUP(B607,'Lists &amp; Settings'!A:A,'Lists &amp; Settings'!E:E),""))</f>
        <v/>
      </c>
      <c r="E607" s="40"/>
      <c r="F607" s="40"/>
      <c r="G607" s="95"/>
      <c r="H607" s="95"/>
      <c r="I607" s="51"/>
      <c r="J607" s="54" t="s">
        <v>179</v>
      </c>
      <c r="K607" s="55" t="s">
        <v>179</v>
      </c>
      <c r="L607" s="56" t="s">
        <v>179</v>
      </c>
      <c r="M607" s="56" t="s">
        <v>179</v>
      </c>
      <c r="N607" s="40"/>
      <c r="O607" s="40"/>
      <c r="P607" s="57"/>
      <c r="Q607" s="57"/>
      <c r="R607" s="40"/>
      <c r="S607" s="40" t="str">
        <f t="array" ref="S607">IF(C607="","",IFERROR(_xlfn.XLOOKUP(C607,Volunteers!D:D,Volunteers!A:A),""))</f>
        <v/>
      </c>
      <c r="T607" s="40"/>
    </row>
    <row r="608">
      <c r="A608" s="52"/>
      <c r="B608" s="28"/>
      <c r="C608" s="28"/>
      <c r="D608" s="28" t="str">
        <f t="array" ref="D608">IF(B608="","",IFERROR(_xlfn.XLOOKUP(B608,'Lists &amp; Settings'!A:A,'Lists &amp; Settings'!E:E),""))</f>
        <v/>
      </c>
      <c r="E608" s="28"/>
      <c r="F608" s="28"/>
      <c r="G608" s="98"/>
      <c r="H608" s="98"/>
      <c r="I608" s="31"/>
      <c r="J608" s="54" t="s">
        <v>179</v>
      </c>
      <c r="K608" s="55" t="s">
        <v>179</v>
      </c>
      <c r="L608" s="56" t="s">
        <v>179</v>
      </c>
      <c r="M608" s="56" t="s">
        <v>179</v>
      </c>
      <c r="N608" s="28"/>
      <c r="O608" s="28"/>
      <c r="P608" s="52"/>
      <c r="Q608" s="52"/>
      <c r="R608" s="28"/>
      <c r="S608" s="28" t="str">
        <f t="array" ref="S608">IF(C608="","",IFERROR(_xlfn.XLOOKUP(C608,Volunteers!D:D,Volunteers!A:A),""))</f>
        <v/>
      </c>
      <c r="T608" s="28"/>
    </row>
    <row r="609">
      <c r="A609" s="57"/>
      <c r="B609" s="40"/>
      <c r="C609" s="40"/>
      <c r="D609" s="40" t="str">
        <f t="array" ref="D609">IF(B609="","",IFERROR(_xlfn.XLOOKUP(B609,'Lists &amp; Settings'!A:A,'Lists &amp; Settings'!E:E),""))</f>
        <v/>
      </c>
      <c r="E609" s="40"/>
      <c r="F609" s="40"/>
      <c r="G609" s="95"/>
      <c r="H609" s="95"/>
      <c r="I609" s="51"/>
      <c r="J609" s="54" t="s">
        <v>179</v>
      </c>
      <c r="K609" s="55" t="s">
        <v>179</v>
      </c>
      <c r="L609" s="56" t="s">
        <v>179</v>
      </c>
      <c r="M609" s="56" t="s">
        <v>179</v>
      </c>
      <c r="N609" s="40"/>
      <c r="O609" s="40"/>
      <c r="P609" s="57"/>
      <c r="Q609" s="57"/>
      <c r="R609" s="40"/>
      <c r="S609" s="40" t="str">
        <f t="array" ref="S609">IF(C609="","",IFERROR(_xlfn.XLOOKUP(C609,Volunteers!D:D,Volunteers!A:A),""))</f>
        <v/>
      </c>
      <c r="T609" s="40"/>
    </row>
    <row r="610">
      <c r="A610" s="52"/>
      <c r="B610" s="28"/>
      <c r="C610" s="28"/>
      <c r="D610" s="28" t="str">
        <f t="array" ref="D610">IF(B610="","",IFERROR(_xlfn.XLOOKUP(B610,'Lists &amp; Settings'!A:A,'Lists &amp; Settings'!E:E),""))</f>
        <v/>
      </c>
      <c r="E610" s="28"/>
      <c r="F610" s="28"/>
      <c r="G610" s="98"/>
      <c r="H610" s="98"/>
      <c r="I610" s="31"/>
      <c r="J610" s="54" t="s">
        <v>179</v>
      </c>
      <c r="K610" s="55" t="s">
        <v>179</v>
      </c>
      <c r="L610" s="56" t="s">
        <v>179</v>
      </c>
      <c r="M610" s="56" t="s">
        <v>179</v>
      </c>
      <c r="N610" s="28"/>
      <c r="O610" s="28"/>
      <c r="P610" s="52"/>
      <c r="Q610" s="52"/>
      <c r="R610" s="28"/>
      <c r="S610" s="28" t="str">
        <f t="array" ref="S610">IF(C610="","",IFERROR(_xlfn.XLOOKUP(C610,Volunteers!D:D,Volunteers!A:A),""))</f>
        <v/>
      </c>
      <c r="T610" s="28"/>
    </row>
    <row r="611">
      <c r="A611" s="57"/>
      <c r="B611" s="40"/>
      <c r="C611" s="40"/>
      <c r="D611" s="40" t="str">
        <f t="array" ref="D611">IF(B611="","",IFERROR(_xlfn.XLOOKUP(B611,'Lists &amp; Settings'!A:A,'Lists &amp; Settings'!E:E),""))</f>
        <v/>
      </c>
      <c r="E611" s="40"/>
      <c r="F611" s="40"/>
      <c r="G611" s="95"/>
      <c r="H611" s="95"/>
      <c r="I611" s="51"/>
      <c r="J611" s="54" t="s">
        <v>179</v>
      </c>
      <c r="K611" s="55" t="s">
        <v>179</v>
      </c>
      <c r="L611" s="56" t="s">
        <v>179</v>
      </c>
      <c r="M611" s="56" t="s">
        <v>179</v>
      </c>
      <c r="N611" s="40"/>
      <c r="O611" s="40"/>
      <c r="P611" s="57"/>
      <c r="Q611" s="57"/>
      <c r="R611" s="40"/>
      <c r="S611" s="40" t="str">
        <f t="array" ref="S611">IF(C611="","",IFERROR(_xlfn.XLOOKUP(C611,Volunteers!D:D,Volunteers!A:A),""))</f>
        <v/>
      </c>
      <c r="T611" s="40"/>
    </row>
    <row r="612">
      <c r="A612" s="52"/>
      <c r="B612" s="28"/>
      <c r="C612" s="28"/>
      <c r="D612" s="28" t="str">
        <f t="array" ref="D612">IF(B612="","",IFERROR(_xlfn.XLOOKUP(B612,'Lists &amp; Settings'!A:A,'Lists &amp; Settings'!E:E),""))</f>
        <v/>
      </c>
      <c r="E612" s="28"/>
      <c r="F612" s="28"/>
      <c r="G612" s="98"/>
      <c r="H612" s="98"/>
      <c r="I612" s="31"/>
      <c r="J612" s="54" t="s">
        <v>179</v>
      </c>
      <c r="K612" s="55" t="s">
        <v>179</v>
      </c>
      <c r="L612" s="56" t="s">
        <v>179</v>
      </c>
      <c r="M612" s="56" t="s">
        <v>179</v>
      </c>
      <c r="N612" s="28"/>
      <c r="O612" s="28"/>
      <c r="P612" s="52"/>
      <c r="Q612" s="52"/>
      <c r="R612" s="28"/>
      <c r="S612" s="28" t="str">
        <f t="array" ref="S612">IF(C612="","",IFERROR(_xlfn.XLOOKUP(C612,Volunteers!D:D,Volunteers!A:A),""))</f>
        <v/>
      </c>
      <c r="T612" s="28"/>
    </row>
    <row r="613">
      <c r="A613" s="57"/>
      <c r="B613" s="40"/>
      <c r="C613" s="40"/>
      <c r="D613" s="40" t="str">
        <f t="array" ref="D613">IF(B613="","",IFERROR(_xlfn.XLOOKUP(B613,'Lists &amp; Settings'!A:A,'Lists &amp; Settings'!E:E),""))</f>
        <v/>
      </c>
      <c r="E613" s="40"/>
      <c r="F613" s="40"/>
      <c r="G613" s="95"/>
      <c r="H613" s="95"/>
      <c r="I613" s="51"/>
      <c r="J613" s="54" t="s">
        <v>179</v>
      </c>
      <c r="K613" s="55" t="s">
        <v>179</v>
      </c>
      <c r="L613" s="56" t="s">
        <v>179</v>
      </c>
      <c r="M613" s="56" t="s">
        <v>179</v>
      </c>
      <c r="N613" s="40"/>
      <c r="O613" s="40"/>
      <c r="P613" s="57"/>
      <c r="Q613" s="57"/>
      <c r="R613" s="40"/>
      <c r="S613" s="40" t="str">
        <f t="array" ref="S613">IF(C613="","",IFERROR(_xlfn.XLOOKUP(C613,Volunteers!D:D,Volunteers!A:A),""))</f>
        <v/>
      </c>
      <c r="T613" s="40"/>
    </row>
    <row r="614">
      <c r="A614" s="52"/>
      <c r="B614" s="28"/>
      <c r="C614" s="28"/>
      <c r="D614" s="28" t="str">
        <f t="array" ref="D614">IF(B614="","",IFERROR(_xlfn.XLOOKUP(B614,'Lists &amp; Settings'!A:A,'Lists &amp; Settings'!E:E),""))</f>
        <v/>
      </c>
      <c r="E614" s="28"/>
      <c r="F614" s="28"/>
      <c r="G614" s="98"/>
      <c r="H614" s="98"/>
      <c r="I614" s="31"/>
      <c r="J614" s="54" t="s">
        <v>179</v>
      </c>
      <c r="K614" s="55" t="s">
        <v>179</v>
      </c>
      <c r="L614" s="56" t="s">
        <v>179</v>
      </c>
      <c r="M614" s="56" t="s">
        <v>179</v>
      </c>
      <c r="N614" s="28"/>
      <c r="O614" s="28"/>
      <c r="P614" s="52"/>
      <c r="Q614" s="52"/>
      <c r="R614" s="28"/>
      <c r="S614" s="28" t="str">
        <f t="array" ref="S614">IF(C614="","",IFERROR(_xlfn.XLOOKUP(C614,Volunteers!D:D,Volunteers!A:A),""))</f>
        <v/>
      </c>
      <c r="T614" s="28"/>
    </row>
    <row r="615">
      <c r="A615" s="57"/>
      <c r="B615" s="40"/>
      <c r="C615" s="40"/>
      <c r="D615" s="40" t="str">
        <f t="array" ref="D615">IF(B615="","",IFERROR(_xlfn.XLOOKUP(B615,'Lists &amp; Settings'!A:A,'Lists &amp; Settings'!E:E),""))</f>
        <v/>
      </c>
      <c r="E615" s="40"/>
      <c r="F615" s="40"/>
      <c r="G615" s="95"/>
      <c r="H615" s="95"/>
      <c r="I615" s="51"/>
      <c r="J615" s="54" t="s">
        <v>179</v>
      </c>
      <c r="K615" s="55" t="s">
        <v>179</v>
      </c>
      <c r="L615" s="56" t="s">
        <v>179</v>
      </c>
      <c r="M615" s="56" t="s">
        <v>179</v>
      </c>
      <c r="N615" s="40"/>
      <c r="O615" s="40"/>
      <c r="P615" s="57"/>
      <c r="Q615" s="57"/>
      <c r="R615" s="40"/>
      <c r="S615" s="40" t="str">
        <f t="array" ref="S615">IF(C615="","",IFERROR(_xlfn.XLOOKUP(C615,Volunteers!D:D,Volunteers!A:A),""))</f>
        <v/>
      </c>
      <c r="T615" s="40"/>
    </row>
    <row r="616">
      <c r="A616" s="52"/>
      <c r="B616" s="28"/>
      <c r="C616" s="28"/>
      <c r="D616" s="28" t="str">
        <f t="array" ref="D616">IF(B616="","",IFERROR(_xlfn.XLOOKUP(B616,'Lists &amp; Settings'!A:A,'Lists &amp; Settings'!E:E),""))</f>
        <v/>
      </c>
      <c r="E616" s="28"/>
      <c r="F616" s="28"/>
      <c r="G616" s="98"/>
      <c r="H616" s="98"/>
      <c r="I616" s="31"/>
      <c r="J616" s="54" t="s">
        <v>179</v>
      </c>
      <c r="K616" s="55" t="s">
        <v>179</v>
      </c>
      <c r="L616" s="56" t="s">
        <v>179</v>
      </c>
      <c r="M616" s="56" t="s">
        <v>179</v>
      </c>
      <c r="N616" s="28"/>
      <c r="O616" s="28"/>
      <c r="P616" s="52"/>
      <c r="Q616" s="52"/>
      <c r="R616" s="28"/>
      <c r="S616" s="28" t="str">
        <f t="array" ref="S616">IF(C616="","",IFERROR(_xlfn.XLOOKUP(C616,Volunteers!D:D,Volunteers!A:A),""))</f>
        <v/>
      </c>
      <c r="T616" s="28"/>
    </row>
    <row r="617">
      <c r="A617" s="57"/>
      <c r="B617" s="40"/>
      <c r="C617" s="40"/>
      <c r="D617" s="40" t="str">
        <f t="array" ref="D617">IF(B617="","",IFERROR(_xlfn.XLOOKUP(B617,'Lists &amp; Settings'!A:A,'Lists &amp; Settings'!E:E),""))</f>
        <v/>
      </c>
      <c r="E617" s="40"/>
      <c r="F617" s="40"/>
      <c r="G617" s="95"/>
      <c r="H617" s="95"/>
      <c r="I617" s="51"/>
      <c r="J617" s="54" t="s">
        <v>179</v>
      </c>
      <c r="K617" s="55" t="s">
        <v>179</v>
      </c>
      <c r="L617" s="56" t="s">
        <v>179</v>
      </c>
      <c r="M617" s="56" t="s">
        <v>179</v>
      </c>
      <c r="N617" s="40"/>
      <c r="O617" s="40"/>
      <c r="P617" s="57"/>
      <c r="Q617" s="57"/>
      <c r="R617" s="40"/>
      <c r="S617" s="40" t="str">
        <f t="array" ref="S617">IF(C617="","",IFERROR(_xlfn.XLOOKUP(C617,Volunteers!D:D,Volunteers!A:A),""))</f>
        <v/>
      </c>
      <c r="T617" s="40"/>
    </row>
    <row r="618">
      <c r="A618" s="52"/>
      <c r="B618" s="28"/>
      <c r="C618" s="28"/>
      <c r="D618" s="28" t="str">
        <f t="array" ref="D618">IF(B618="","",IFERROR(_xlfn.XLOOKUP(B618,'Lists &amp; Settings'!A:A,'Lists &amp; Settings'!E:E),""))</f>
        <v/>
      </c>
      <c r="E618" s="28"/>
      <c r="F618" s="28"/>
      <c r="G618" s="98"/>
      <c r="H618" s="98"/>
      <c r="I618" s="31"/>
      <c r="J618" s="54" t="s">
        <v>179</v>
      </c>
      <c r="K618" s="55" t="s">
        <v>179</v>
      </c>
      <c r="L618" s="56" t="s">
        <v>179</v>
      </c>
      <c r="M618" s="56" t="s">
        <v>179</v>
      </c>
      <c r="N618" s="28"/>
      <c r="O618" s="28"/>
      <c r="P618" s="52"/>
      <c r="Q618" s="52"/>
      <c r="R618" s="28"/>
      <c r="S618" s="28" t="str">
        <f t="array" ref="S618">IF(C618="","",IFERROR(_xlfn.XLOOKUP(C618,Volunteers!D:D,Volunteers!A:A),""))</f>
        <v/>
      </c>
      <c r="T618" s="28"/>
    </row>
    <row r="619">
      <c r="A619" s="57"/>
      <c r="B619" s="40"/>
      <c r="C619" s="40"/>
      <c r="D619" s="40" t="str">
        <f t="array" ref="D619">IF(B619="","",IFERROR(_xlfn.XLOOKUP(B619,'Lists &amp; Settings'!A:A,'Lists &amp; Settings'!E:E),""))</f>
        <v/>
      </c>
      <c r="E619" s="40"/>
      <c r="F619" s="40"/>
      <c r="G619" s="95"/>
      <c r="H619" s="95"/>
      <c r="I619" s="51"/>
      <c r="J619" s="54" t="s">
        <v>179</v>
      </c>
      <c r="K619" s="55" t="s">
        <v>179</v>
      </c>
      <c r="L619" s="56" t="s">
        <v>179</v>
      </c>
      <c r="M619" s="56" t="s">
        <v>179</v>
      </c>
      <c r="N619" s="40"/>
      <c r="O619" s="40"/>
      <c r="P619" s="57"/>
      <c r="Q619" s="57"/>
      <c r="R619" s="40"/>
      <c r="S619" s="40" t="str">
        <f t="array" ref="S619">IF(C619="","",IFERROR(_xlfn.XLOOKUP(C619,Volunteers!D:D,Volunteers!A:A),""))</f>
        <v/>
      </c>
      <c r="T619" s="40"/>
    </row>
    <row r="620">
      <c r="A620" s="52"/>
      <c r="B620" s="28"/>
      <c r="C620" s="28"/>
      <c r="D620" s="28" t="str">
        <f t="array" ref="D620">IF(B620="","",IFERROR(_xlfn.XLOOKUP(B620,'Lists &amp; Settings'!A:A,'Lists &amp; Settings'!E:E),""))</f>
        <v/>
      </c>
      <c r="E620" s="28"/>
      <c r="F620" s="28"/>
      <c r="G620" s="98"/>
      <c r="H620" s="98"/>
      <c r="I620" s="31"/>
      <c r="J620" s="54" t="s">
        <v>179</v>
      </c>
      <c r="K620" s="55" t="s">
        <v>179</v>
      </c>
      <c r="L620" s="56" t="s">
        <v>179</v>
      </c>
      <c r="M620" s="56" t="s">
        <v>179</v>
      </c>
      <c r="N620" s="28"/>
      <c r="O620" s="28"/>
      <c r="P620" s="52"/>
      <c r="Q620" s="52"/>
      <c r="R620" s="28"/>
      <c r="S620" s="28" t="str">
        <f t="array" ref="S620">IF(C620="","",IFERROR(_xlfn.XLOOKUP(C620,Volunteers!D:D,Volunteers!A:A),""))</f>
        <v/>
      </c>
      <c r="T620" s="28"/>
    </row>
    <row r="621">
      <c r="A621" s="57"/>
      <c r="B621" s="40"/>
      <c r="C621" s="40"/>
      <c r="D621" s="40" t="str">
        <f t="array" ref="D621">IF(B621="","",IFERROR(_xlfn.XLOOKUP(B621,'Lists &amp; Settings'!A:A,'Lists &amp; Settings'!E:E),""))</f>
        <v/>
      </c>
      <c r="E621" s="40"/>
      <c r="F621" s="40"/>
      <c r="G621" s="95"/>
      <c r="H621" s="95"/>
      <c r="I621" s="51"/>
      <c r="J621" s="54" t="s">
        <v>179</v>
      </c>
      <c r="K621" s="55" t="s">
        <v>179</v>
      </c>
      <c r="L621" s="56" t="s">
        <v>179</v>
      </c>
      <c r="M621" s="56" t="s">
        <v>179</v>
      </c>
      <c r="N621" s="40"/>
      <c r="O621" s="40"/>
      <c r="P621" s="57"/>
      <c r="Q621" s="57"/>
      <c r="R621" s="40"/>
      <c r="S621" s="40" t="str">
        <f t="array" ref="S621">IF(C621="","",IFERROR(_xlfn.XLOOKUP(C621,Volunteers!D:D,Volunteers!A:A),""))</f>
        <v/>
      </c>
      <c r="T621" s="40"/>
    </row>
    <row r="622">
      <c r="A622" s="52"/>
      <c r="B622" s="28"/>
      <c r="C622" s="28"/>
      <c r="D622" s="28" t="str">
        <f t="array" ref="D622">IF(B622="","",IFERROR(_xlfn.XLOOKUP(B622,'Lists &amp; Settings'!A:A,'Lists &amp; Settings'!E:E),""))</f>
        <v/>
      </c>
      <c r="E622" s="28"/>
      <c r="F622" s="28"/>
      <c r="G622" s="98"/>
      <c r="H622" s="98"/>
      <c r="I622" s="31"/>
      <c r="J622" s="54" t="s">
        <v>179</v>
      </c>
      <c r="K622" s="55" t="s">
        <v>179</v>
      </c>
      <c r="L622" s="56" t="s">
        <v>179</v>
      </c>
      <c r="M622" s="56" t="s">
        <v>179</v>
      </c>
      <c r="N622" s="28"/>
      <c r="O622" s="28"/>
      <c r="P622" s="52"/>
      <c r="Q622" s="52"/>
      <c r="R622" s="28"/>
      <c r="S622" s="28" t="str">
        <f t="array" ref="S622">IF(C622="","",IFERROR(_xlfn.XLOOKUP(C622,Volunteers!D:D,Volunteers!A:A),""))</f>
        <v/>
      </c>
      <c r="T622" s="28"/>
    </row>
    <row r="623">
      <c r="A623" s="57"/>
      <c r="B623" s="40"/>
      <c r="C623" s="40"/>
      <c r="D623" s="40" t="str">
        <f t="array" ref="D623">IF(B623="","",IFERROR(_xlfn.XLOOKUP(B623,'Lists &amp; Settings'!A:A,'Lists &amp; Settings'!E:E),""))</f>
        <v/>
      </c>
      <c r="E623" s="40"/>
      <c r="F623" s="40"/>
      <c r="G623" s="95"/>
      <c r="H623" s="95"/>
      <c r="I623" s="51"/>
      <c r="J623" s="54" t="s">
        <v>179</v>
      </c>
      <c r="K623" s="55" t="s">
        <v>179</v>
      </c>
      <c r="L623" s="56" t="s">
        <v>179</v>
      </c>
      <c r="M623" s="56" t="s">
        <v>179</v>
      </c>
      <c r="N623" s="40"/>
      <c r="O623" s="40"/>
      <c r="P623" s="57"/>
      <c r="Q623" s="57"/>
      <c r="R623" s="40"/>
      <c r="S623" s="40" t="str">
        <f t="array" ref="S623">IF(C623="","",IFERROR(_xlfn.XLOOKUP(C623,Volunteers!D:D,Volunteers!A:A),""))</f>
        <v/>
      </c>
      <c r="T623" s="40"/>
    </row>
    <row r="624">
      <c r="A624" s="52"/>
      <c r="B624" s="28"/>
      <c r="C624" s="28"/>
      <c r="D624" s="28" t="str">
        <f t="array" ref="D624">IF(B624="","",IFERROR(_xlfn.XLOOKUP(B624,'Lists &amp; Settings'!A:A,'Lists &amp; Settings'!E:E),""))</f>
        <v/>
      </c>
      <c r="E624" s="28"/>
      <c r="F624" s="28"/>
      <c r="G624" s="98"/>
      <c r="H624" s="98"/>
      <c r="I624" s="31"/>
      <c r="J624" s="54" t="s">
        <v>179</v>
      </c>
      <c r="K624" s="55" t="s">
        <v>179</v>
      </c>
      <c r="L624" s="56" t="s">
        <v>179</v>
      </c>
      <c r="M624" s="56" t="s">
        <v>179</v>
      </c>
      <c r="N624" s="28"/>
      <c r="O624" s="28"/>
      <c r="P624" s="52"/>
      <c r="Q624" s="52"/>
      <c r="R624" s="28"/>
      <c r="S624" s="28" t="str">
        <f t="array" ref="S624">IF(C624="","",IFERROR(_xlfn.XLOOKUP(C624,Volunteers!D:D,Volunteers!A:A),""))</f>
        <v/>
      </c>
      <c r="T624" s="28"/>
    </row>
    <row r="625">
      <c r="A625" s="57"/>
      <c r="B625" s="40"/>
      <c r="C625" s="40"/>
      <c r="D625" s="40" t="str">
        <f t="array" ref="D625">IF(B625="","",IFERROR(_xlfn.XLOOKUP(B625,'Lists &amp; Settings'!A:A,'Lists &amp; Settings'!E:E),""))</f>
        <v/>
      </c>
      <c r="E625" s="40"/>
      <c r="F625" s="40"/>
      <c r="G625" s="95"/>
      <c r="H625" s="95"/>
      <c r="I625" s="51"/>
      <c r="J625" s="54" t="s">
        <v>179</v>
      </c>
      <c r="K625" s="55" t="s">
        <v>179</v>
      </c>
      <c r="L625" s="56" t="s">
        <v>179</v>
      </c>
      <c r="M625" s="56" t="s">
        <v>179</v>
      </c>
      <c r="N625" s="40"/>
      <c r="O625" s="40"/>
      <c r="P625" s="57"/>
      <c r="Q625" s="57"/>
      <c r="R625" s="40"/>
      <c r="S625" s="40" t="str">
        <f t="array" ref="S625">IF(C625="","",IFERROR(_xlfn.XLOOKUP(C625,Volunteers!D:D,Volunteers!A:A),""))</f>
        <v/>
      </c>
      <c r="T625" s="40"/>
    </row>
    <row r="626">
      <c r="A626" s="52"/>
      <c r="B626" s="28"/>
      <c r="C626" s="28"/>
      <c r="D626" s="28" t="str">
        <f t="array" ref="D626">IF(B626="","",IFERROR(_xlfn.XLOOKUP(B626,'Lists &amp; Settings'!A:A,'Lists &amp; Settings'!E:E),""))</f>
        <v/>
      </c>
      <c r="E626" s="28"/>
      <c r="F626" s="28"/>
      <c r="G626" s="98"/>
      <c r="H626" s="98"/>
      <c r="I626" s="31"/>
      <c r="J626" s="54" t="s">
        <v>179</v>
      </c>
      <c r="K626" s="55" t="s">
        <v>179</v>
      </c>
      <c r="L626" s="56" t="s">
        <v>179</v>
      </c>
      <c r="M626" s="56" t="s">
        <v>179</v>
      </c>
      <c r="N626" s="28"/>
      <c r="O626" s="28"/>
      <c r="P626" s="52"/>
      <c r="Q626" s="52"/>
      <c r="R626" s="28"/>
      <c r="S626" s="28" t="str">
        <f t="array" ref="S626">IF(C626="","",IFERROR(_xlfn.XLOOKUP(C626,Volunteers!D:D,Volunteers!A:A),""))</f>
        <v/>
      </c>
      <c r="T626" s="28"/>
    </row>
    <row r="627">
      <c r="A627" s="57"/>
      <c r="B627" s="40"/>
      <c r="C627" s="40"/>
      <c r="D627" s="40" t="str">
        <f t="array" ref="D627">IF(B627="","",IFERROR(_xlfn.XLOOKUP(B627,'Lists &amp; Settings'!A:A,'Lists &amp; Settings'!E:E),""))</f>
        <v/>
      </c>
      <c r="E627" s="40"/>
      <c r="F627" s="40"/>
      <c r="G627" s="95"/>
      <c r="H627" s="95"/>
      <c r="I627" s="51"/>
      <c r="J627" s="54" t="s">
        <v>179</v>
      </c>
      <c r="K627" s="55" t="s">
        <v>179</v>
      </c>
      <c r="L627" s="56" t="s">
        <v>179</v>
      </c>
      <c r="M627" s="56" t="s">
        <v>179</v>
      </c>
      <c r="N627" s="40"/>
      <c r="O627" s="40"/>
      <c r="P627" s="57"/>
      <c r="Q627" s="57"/>
      <c r="R627" s="40"/>
      <c r="S627" s="40" t="str">
        <f t="array" ref="S627">IF(C627="","",IFERROR(_xlfn.XLOOKUP(C627,Volunteers!D:D,Volunteers!A:A),""))</f>
        <v/>
      </c>
      <c r="T627" s="40"/>
    </row>
    <row r="628">
      <c r="A628" s="52"/>
      <c r="B628" s="28"/>
      <c r="C628" s="28"/>
      <c r="D628" s="28" t="str">
        <f t="array" ref="D628">IF(B628="","",IFERROR(_xlfn.XLOOKUP(B628,'Lists &amp; Settings'!A:A,'Lists &amp; Settings'!E:E),""))</f>
        <v/>
      </c>
      <c r="E628" s="28"/>
      <c r="F628" s="28"/>
      <c r="G628" s="98"/>
      <c r="H628" s="98"/>
      <c r="I628" s="31"/>
      <c r="J628" s="54" t="s">
        <v>179</v>
      </c>
      <c r="K628" s="55" t="s">
        <v>179</v>
      </c>
      <c r="L628" s="56" t="s">
        <v>179</v>
      </c>
      <c r="M628" s="56" t="s">
        <v>179</v>
      </c>
      <c r="N628" s="28"/>
      <c r="O628" s="28"/>
      <c r="P628" s="52"/>
      <c r="Q628" s="52"/>
      <c r="R628" s="28"/>
      <c r="S628" s="28" t="str">
        <f t="array" ref="S628">IF(C628="","",IFERROR(_xlfn.XLOOKUP(C628,Volunteers!D:D,Volunteers!A:A),""))</f>
        <v/>
      </c>
      <c r="T628" s="28"/>
    </row>
    <row r="629">
      <c r="A629" s="57"/>
      <c r="B629" s="40"/>
      <c r="C629" s="40"/>
      <c r="D629" s="40" t="str">
        <f t="array" ref="D629">IF(B629="","",IFERROR(_xlfn.XLOOKUP(B629,'Lists &amp; Settings'!A:A,'Lists &amp; Settings'!E:E),""))</f>
        <v/>
      </c>
      <c r="E629" s="40"/>
      <c r="F629" s="40"/>
      <c r="G629" s="95"/>
      <c r="H629" s="95"/>
      <c r="I629" s="51"/>
      <c r="J629" s="54" t="s">
        <v>179</v>
      </c>
      <c r="K629" s="55" t="s">
        <v>179</v>
      </c>
      <c r="L629" s="56" t="s">
        <v>179</v>
      </c>
      <c r="M629" s="56" t="s">
        <v>179</v>
      </c>
      <c r="N629" s="40"/>
      <c r="O629" s="40"/>
      <c r="P629" s="57"/>
      <c r="Q629" s="57"/>
      <c r="R629" s="40"/>
      <c r="S629" s="40" t="str">
        <f t="array" ref="S629">IF(C629="","",IFERROR(_xlfn.XLOOKUP(C629,Volunteers!D:D,Volunteers!A:A),""))</f>
        <v/>
      </c>
      <c r="T629" s="40"/>
    </row>
    <row r="630">
      <c r="A630" s="52"/>
      <c r="B630" s="28"/>
      <c r="C630" s="28"/>
      <c r="D630" s="28" t="str">
        <f t="array" ref="D630">IF(B630="","",IFERROR(_xlfn.XLOOKUP(B630,'Lists &amp; Settings'!A:A,'Lists &amp; Settings'!E:E),""))</f>
        <v/>
      </c>
      <c r="E630" s="28"/>
      <c r="F630" s="28"/>
      <c r="G630" s="98"/>
      <c r="H630" s="98"/>
      <c r="I630" s="31"/>
      <c r="J630" s="54" t="s">
        <v>179</v>
      </c>
      <c r="K630" s="55" t="s">
        <v>179</v>
      </c>
      <c r="L630" s="56" t="s">
        <v>179</v>
      </c>
      <c r="M630" s="56" t="s">
        <v>179</v>
      </c>
      <c r="N630" s="28"/>
      <c r="O630" s="28"/>
      <c r="P630" s="52"/>
      <c r="Q630" s="52"/>
      <c r="R630" s="28"/>
      <c r="S630" s="28" t="str">
        <f t="array" ref="S630">IF(C630="","",IFERROR(_xlfn.XLOOKUP(C630,Volunteers!D:D,Volunteers!A:A),""))</f>
        <v/>
      </c>
      <c r="T630" s="28"/>
    </row>
    <row r="631">
      <c r="A631" s="57"/>
      <c r="B631" s="40"/>
      <c r="C631" s="40"/>
      <c r="D631" s="40" t="str">
        <f t="array" ref="D631">IF(B631="","",IFERROR(_xlfn.XLOOKUP(B631,'Lists &amp; Settings'!A:A,'Lists &amp; Settings'!E:E),""))</f>
        <v/>
      </c>
      <c r="E631" s="40"/>
      <c r="F631" s="40"/>
      <c r="G631" s="95"/>
      <c r="H631" s="95"/>
      <c r="I631" s="51"/>
      <c r="J631" s="54" t="s">
        <v>179</v>
      </c>
      <c r="K631" s="55" t="s">
        <v>179</v>
      </c>
      <c r="L631" s="56" t="s">
        <v>179</v>
      </c>
      <c r="M631" s="56" t="s">
        <v>179</v>
      </c>
      <c r="N631" s="40"/>
      <c r="O631" s="40"/>
      <c r="P631" s="57"/>
      <c r="Q631" s="57"/>
      <c r="R631" s="40"/>
      <c r="S631" s="40" t="str">
        <f t="array" ref="S631">IF(C631="","",IFERROR(_xlfn.XLOOKUP(C631,Volunteers!D:D,Volunteers!A:A),""))</f>
        <v/>
      </c>
      <c r="T631" s="40"/>
    </row>
    <row r="632">
      <c r="A632" s="52"/>
      <c r="B632" s="28"/>
      <c r="C632" s="28"/>
      <c r="D632" s="28" t="str">
        <f t="array" ref="D632">IF(B632="","",IFERROR(_xlfn.XLOOKUP(B632,'Lists &amp; Settings'!A:A,'Lists &amp; Settings'!E:E),""))</f>
        <v/>
      </c>
      <c r="E632" s="28"/>
      <c r="F632" s="28"/>
      <c r="G632" s="98"/>
      <c r="H632" s="98"/>
      <c r="I632" s="31"/>
      <c r="J632" s="54" t="s">
        <v>179</v>
      </c>
      <c r="K632" s="55" t="s">
        <v>179</v>
      </c>
      <c r="L632" s="56" t="s">
        <v>179</v>
      </c>
      <c r="M632" s="56" t="s">
        <v>179</v>
      </c>
      <c r="N632" s="28"/>
      <c r="O632" s="28"/>
      <c r="P632" s="52"/>
      <c r="Q632" s="52"/>
      <c r="R632" s="28"/>
      <c r="S632" s="28" t="str">
        <f t="array" ref="S632">IF(C632="","",IFERROR(_xlfn.XLOOKUP(C632,Volunteers!D:D,Volunteers!A:A),""))</f>
        <v/>
      </c>
      <c r="T632" s="28"/>
    </row>
    <row r="633">
      <c r="A633" s="57"/>
      <c r="B633" s="40"/>
      <c r="C633" s="40"/>
      <c r="D633" s="40" t="str">
        <f t="array" ref="D633">IF(B633="","",IFERROR(_xlfn.XLOOKUP(B633,'Lists &amp; Settings'!A:A,'Lists &amp; Settings'!E:E),""))</f>
        <v/>
      </c>
      <c r="E633" s="40"/>
      <c r="F633" s="40"/>
      <c r="G633" s="95"/>
      <c r="H633" s="95"/>
      <c r="I633" s="51"/>
      <c r="J633" s="54" t="s">
        <v>179</v>
      </c>
      <c r="K633" s="55" t="s">
        <v>179</v>
      </c>
      <c r="L633" s="56" t="s">
        <v>179</v>
      </c>
      <c r="M633" s="56" t="s">
        <v>179</v>
      </c>
      <c r="N633" s="40"/>
      <c r="O633" s="40"/>
      <c r="P633" s="57"/>
      <c r="Q633" s="57"/>
      <c r="R633" s="40"/>
      <c r="S633" s="40" t="str">
        <f t="array" ref="S633">IF(C633="","",IFERROR(_xlfn.XLOOKUP(C633,Volunteers!D:D,Volunteers!A:A),""))</f>
        <v/>
      </c>
      <c r="T633" s="40"/>
    </row>
    <row r="634">
      <c r="A634" s="52"/>
      <c r="B634" s="28"/>
      <c r="C634" s="28"/>
      <c r="D634" s="28" t="str">
        <f t="array" ref="D634">IF(B634="","",IFERROR(_xlfn.XLOOKUP(B634,'Lists &amp; Settings'!A:A,'Lists &amp; Settings'!E:E),""))</f>
        <v/>
      </c>
      <c r="E634" s="28"/>
      <c r="F634" s="28"/>
      <c r="G634" s="98"/>
      <c r="H634" s="98"/>
      <c r="I634" s="31"/>
      <c r="J634" s="54" t="s">
        <v>179</v>
      </c>
      <c r="K634" s="55" t="s">
        <v>179</v>
      </c>
      <c r="L634" s="56" t="s">
        <v>179</v>
      </c>
      <c r="M634" s="56" t="s">
        <v>179</v>
      </c>
      <c r="N634" s="28"/>
      <c r="O634" s="28"/>
      <c r="P634" s="52"/>
      <c r="Q634" s="52"/>
      <c r="R634" s="28"/>
      <c r="S634" s="28" t="str">
        <f t="array" ref="S634">IF(C634="","",IFERROR(_xlfn.XLOOKUP(C634,Volunteers!D:D,Volunteers!A:A),""))</f>
        <v/>
      </c>
      <c r="T634" s="28"/>
    </row>
    <row r="635">
      <c r="A635" s="57"/>
      <c r="B635" s="40"/>
      <c r="C635" s="40"/>
      <c r="D635" s="40" t="str">
        <f t="array" ref="D635">IF(B635="","",IFERROR(_xlfn.XLOOKUP(B635,'Lists &amp; Settings'!A:A,'Lists &amp; Settings'!E:E),""))</f>
        <v/>
      </c>
      <c r="E635" s="40"/>
      <c r="F635" s="40"/>
      <c r="G635" s="95"/>
      <c r="H635" s="95"/>
      <c r="I635" s="51"/>
      <c r="J635" s="54" t="s">
        <v>179</v>
      </c>
      <c r="K635" s="55" t="s">
        <v>179</v>
      </c>
      <c r="L635" s="56" t="s">
        <v>179</v>
      </c>
      <c r="M635" s="56" t="s">
        <v>179</v>
      </c>
      <c r="N635" s="40"/>
      <c r="O635" s="40"/>
      <c r="P635" s="57"/>
      <c r="Q635" s="57"/>
      <c r="R635" s="40"/>
      <c r="S635" s="40" t="str">
        <f t="array" ref="S635">IF(C635="","",IFERROR(_xlfn.XLOOKUP(C635,Volunteers!D:D,Volunteers!A:A),""))</f>
        <v/>
      </c>
      <c r="T635" s="40"/>
    </row>
    <row r="636">
      <c r="A636" s="52"/>
      <c r="B636" s="28"/>
      <c r="C636" s="28"/>
      <c r="D636" s="28" t="str">
        <f t="array" ref="D636">IF(B636="","",IFERROR(_xlfn.XLOOKUP(B636,'Lists &amp; Settings'!A:A,'Lists &amp; Settings'!E:E),""))</f>
        <v/>
      </c>
      <c r="E636" s="28"/>
      <c r="F636" s="28"/>
      <c r="G636" s="98"/>
      <c r="H636" s="98"/>
      <c r="I636" s="31"/>
      <c r="J636" s="54" t="s">
        <v>179</v>
      </c>
      <c r="K636" s="55" t="s">
        <v>179</v>
      </c>
      <c r="L636" s="56" t="s">
        <v>179</v>
      </c>
      <c r="M636" s="56" t="s">
        <v>179</v>
      </c>
      <c r="N636" s="28"/>
      <c r="O636" s="28"/>
      <c r="P636" s="52"/>
      <c r="Q636" s="52"/>
      <c r="R636" s="28"/>
      <c r="S636" s="28" t="str">
        <f t="array" ref="S636">IF(C636="","",IFERROR(_xlfn.XLOOKUP(C636,Volunteers!D:D,Volunteers!A:A),""))</f>
        <v/>
      </c>
      <c r="T636" s="28"/>
    </row>
    <row r="637">
      <c r="A637" s="57"/>
      <c r="B637" s="40"/>
      <c r="C637" s="40"/>
      <c r="D637" s="40" t="str">
        <f t="array" ref="D637">IF(B637="","",IFERROR(_xlfn.XLOOKUP(B637,'Lists &amp; Settings'!A:A,'Lists &amp; Settings'!E:E),""))</f>
        <v/>
      </c>
      <c r="E637" s="40"/>
      <c r="F637" s="40"/>
      <c r="G637" s="95"/>
      <c r="H637" s="95"/>
      <c r="I637" s="51"/>
      <c r="J637" s="54" t="s">
        <v>179</v>
      </c>
      <c r="K637" s="55" t="s">
        <v>179</v>
      </c>
      <c r="L637" s="56" t="s">
        <v>179</v>
      </c>
      <c r="M637" s="56" t="s">
        <v>179</v>
      </c>
      <c r="N637" s="40"/>
      <c r="O637" s="40"/>
      <c r="P637" s="57"/>
      <c r="Q637" s="57"/>
      <c r="R637" s="40"/>
      <c r="S637" s="40" t="str">
        <f t="array" ref="S637">IF(C637="","",IFERROR(_xlfn.XLOOKUP(C637,Volunteers!D:D,Volunteers!A:A),""))</f>
        <v/>
      </c>
      <c r="T637" s="40"/>
    </row>
    <row r="638">
      <c r="A638" s="52"/>
      <c r="B638" s="28"/>
      <c r="C638" s="28"/>
      <c r="D638" s="28" t="str">
        <f t="array" ref="D638">IF(B638="","",IFERROR(_xlfn.XLOOKUP(B638,'Lists &amp; Settings'!A:A,'Lists &amp; Settings'!E:E),""))</f>
        <v/>
      </c>
      <c r="E638" s="28"/>
      <c r="F638" s="28"/>
      <c r="G638" s="98"/>
      <c r="H638" s="98"/>
      <c r="I638" s="31"/>
      <c r="J638" s="54" t="s">
        <v>179</v>
      </c>
      <c r="K638" s="55" t="s">
        <v>179</v>
      </c>
      <c r="L638" s="56" t="s">
        <v>179</v>
      </c>
      <c r="M638" s="56" t="s">
        <v>179</v>
      </c>
      <c r="N638" s="28"/>
      <c r="O638" s="28"/>
      <c r="P638" s="52"/>
      <c r="Q638" s="52"/>
      <c r="R638" s="28"/>
      <c r="S638" s="28" t="str">
        <f t="array" ref="S638">IF(C638="","",IFERROR(_xlfn.XLOOKUP(C638,Volunteers!D:D,Volunteers!A:A),""))</f>
        <v/>
      </c>
      <c r="T638" s="28"/>
    </row>
    <row r="639">
      <c r="A639" s="57"/>
      <c r="B639" s="40"/>
      <c r="C639" s="40"/>
      <c r="D639" s="40" t="str">
        <f t="array" ref="D639">IF(B639="","",IFERROR(_xlfn.XLOOKUP(B639,'Lists &amp; Settings'!A:A,'Lists &amp; Settings'!E:E),""))</f>
        <v/>
      </c>
      <c r="E639" s="40"/>
      <c r="F639" s="40"/>
      <c r="G639" s="95"/>
      <c r="H639" s="95"/>
      <c r="I639" s="51"/>
      <c r="J639" s="54" t="s">
        <v>179</v>
      </c>
      <c r="K639" s="55" t="s">
        <v>179</v>
      </c>
      <c r="L639" s="56" t="s">
        <v>179</v>
      </c>
      <c r="M639" s="56" t="s">
        <v>179</v>
      </c>
      <c r="N639" s="40"/>
      <c r="O639" s="40"/>
      <c r="P639" s="57"/>
      <c r="Q639" s="57"/>
      <c r="R639" s="40"/>
      <c r="S639" s="40" t="str">
        <f t="array" ref="S639">IF(C639="","",IFERROR(_xlfn.XLOOKUP(C639,Volunteers!D:D,Volunteers!A:A),""))</f>
        <v/>
      </c>
      <c r="T639" s="40"/>
    </row>
    <row r="640">
      <c r="A640" s="52"/>
      <c r="B640" s="28"/>
      <c r="C640" s="28"/>
      <c r="D640" s="28" t="str">
        <f t="array" ref="D640">IF(B640="","",IFERROR(_xlfn.XLOOKUP(B640,'Lists &amp; Settings'!A:A,'Lists &amp; Settings'!E:E),""))</f>
        <v/>
      </c>
      <c r="E640" s="28"/>
      <c r="F640" s="28"/>
      <c r="G640" s="98"/>
      <c r="H640" s="98"/>
      <c r="I640" s="31"/>
      <c r="J640" s="54" t="s">
        <v>179</v>
      </c>
      <c r="K640" s="55" t="s">
        <v>179</v>
      </c>
      <c r="L640" s="56" t="s">
        <v>179</v>
      </c>
      <c r="M640" s="56" t="s">
        <v>179</v>
      </c>
      <c r="N640" s="28"/>
      <c r="O640" s="28"/>
      <c r="P640" s="52"/>
      <c r="Q640" s="52"/>
      <c r="R640" s="28"/>
      <c r="S640" s="28" t="str">
        <f t="array" ref="S640">IF(C640="","",IFERROR(_xlfn.XLOOKUP(C640,Volunteers!D:D,Volunteers!A:A),""))</f>
        <v/>
      </c>
      <c r="T640" s="28"/>
    </row>
    <row r="641">
      <c r="A641" s="57"/>
      <c r="B641" s="40"/>
      <c r="C641" s="40"/>
      <c r="D641" s="40" t="str">
        <f t="array" ref="D641">IF(B641="","",IFERROR(_xlfn.XLOOKUP(B641,'Lists &amp; Settings'!A:A,'Lists &amp; Settings'!E:E),""))</f>
        <v/>
      </c>
      <c r="E641" s="40"/>
      <c r="F641" s="40"/>
      <c r="G641" s="95"/>
      <c r="H641" s="95"/>
      <c r="I641" s="51"/>
      <c r="J641" s="54" t="s">
        <v>179</v>
      </c>
      <c r="K641" s="55" t="s">
        <v>179</v>
      </c>
      <c r="L641" s="56" t="s">
        <v>179</v>
      </c>
      <c r="M641" s="56" t="s">
        <v>179</v>
      </c>
      <c r="N641" s="40"/>
      <c r="O641" s="40"/>
      <c r="P641" s="57"/>
      <c r="Q641" s="57"/>
      <c r="R641" s="40"/>
      <c r="S641" s="40" t="str">
        <f t="array" ref="S641">IF(C641="","",IFERROR(_xlfn.XLOOKUP(C641,Volunteers!D:D,Volunteers!A:A),""))</f>
        <v/>
      </c>
      <c r="T641" s="40"/>
    </row>
    <row r="642">
      <c r="A642" s="52"/>
      <c r="B642" s="28"/>
      <c r="C642" s="28"/>
      <c r="D642" s="28" t="str">
        <f t="array" ref="D642">IF(B642="","",IFERROR(_xlfn.XLOOKUP(B642,'Lists &amp; Settings'!A:A,'Lists &amp; Settings'!E:E),""))</f>
        <v/>
      </c>
      <c r="E642" s="28"/>
      <c r="F642" s="28"/>
      <c r="G642" s="98"/>
      <c r="H642" s="98"/>
      <c r="I642" s="31"/>
      <c r="J642" s="54" t="s">
        <v>179</v>
      </c>
      <c r="K642" s="55" t="s">
        <v>179</v>
      </c>
      <c r="L642" s="56" t="s">
        <v>179</v>
      </c>
      <c r="M642" s="56" t="s">
        <v>179</v>
      </c>
      <c r="N642" s="28"/>
      <c r="O642" s="28"/>
      <c r="P642" s="52"/>
      <c r="Q642" s="52"/>
      <c r="R642" s="28"/>
      <c r="S642" s="28" t="str">
        <f t="array" ref="S642">IF(C642="","",IFERROR(_xlfn.XLOOKUP(C642,Volunteers!D:D,Volunteers!A:A),""))</f>
        <v/>
      </c>
      <c r="T642" s="28"/>
    </row>
    <row r="643">
      <c r="A643" s="57"/>
      <c r="B643" s="40"/>
      <c r="C643" s="40"/>
      <c r="D643" s="40" t="str">
        <f t="array" ref="D643">IF(B643="","",IFERROR(_xlfn.XLOOKUP(B643,'Lists &amp; Settings'!A:A,'Lists &amp; Settings'!E:E),""))</f>
        <v/>
      </c>
      <c r="E643" s="40"/>
      <c r="F643" s="40"/>
      <c r="G643" s="95"/>
      <c r="H643" s="95"/>
      <c r="I643" s="51"/>
      <c r="J643" s="54" t="s">
        <v>179</v>
      </c>
      <c r="K643" s="55" t="s">
        <v>179</v>
      </c>
      <c r="L643" s="56" t="s">
        <v>179</v>
      </c>
      <c r="M643" s="56" t="s">
        <v>179</v>
      </c>
      <c r="N643" s="40"/>
      <c r="O643" s="40"/>
      <c r="P643" s="57"/>
      <c r="Q643" s="57"/>
      <c r="R643" s="40"/>
      <c r="S643" s="40" t="str">
        <f t="array" ref="S643">IF(C643="","",IFERROR(_xlfn.XLOOKUP(C643,Volunteers!D:D,Volunteers!A:A),""))</f>
        <v/>
      </c>
      <c r="T643" s="40"/>
    </row>
    <row r="644">
      <c r="A644" s="52"/>
      <c r="B644" s="28"/>
      <c r="C644" s="28"/>
      <c r="D644" s="28" t="str">
        <f t="array" ref="D644">IF(B644="","",IFERROR(_xlfn.XLOOKUP(B644,'Lists &amp; Settings'!A:A,'Lists &amp; Settings'!E:E),""))</f>
        <v/>
      </c>
      <c r="E644" s="28"/>
      <c r="F644" s="28"/>
      <c r="G644" s="98"/>
      <c r="H644" s="98"/>
      <c r="I644" s="31"/>
      <c r="J644" s="54" t="s">
        <v>179</v>
      </c>
      <c r="K644" s="55" t="s">
        <v>179</v>
      </c>
      <c r="L644" s="56" t="s">
        <v>179</v>
      </c>
      <c r="M644" s="56" t="s">
        <v>179</v>
      </c>
      <c r="N644" s="28"/>
      <c r="O644" s="28"/>
      <c r="P644" s="52"/>
      <c r="Q644" s="52"/>
      <c r="R644" s="28"/>
      <c r="S644" s="28" t="str">
        <f t="array" ref="S644">IF(C644="","",IFERROR(_xlfn.XLOOKUP(C644,Volunteers!D:D,Volunteers!A:A),""))</f>
        <v/>
      </c>
      <c r="T644" s="28"/>
    </row>
    <row r="645">
      <c r="A645" s="57"/>
      <c r="B645" s="40"/>
      <c r="C645" s="40"/>
      <c r="D645" s="40" t="str">
        <f t="array" ref="D645">IF(B645="","",IFERROR(_xlfn.XLOOKUP(B645,'Lists &amp; Settings'!A:A,'Lists &amp; Settings'!E:E),""))</f>
        <v/>
      </c>
      <c r="E645" s="40"/>
      <c r="F645" s="40"/>
      <c r="G645" s="95"/>
      <c r="H645" s="95"/>
      <c r="I645" s="51"/>
      <c r="J645" s="54" t="s">
        <v>179</v>
      </c>
      <c r="K645" s="55" t="s">
        <v>179</v>
      </c>
      <c r="L645" s="56" t="s">
        <v>179</v>
      </c>
      <c r="M645" s="56" t="s">
        <v>179</v>
      </c>
      <c r="N645" s="40"/>
      <c r="O645" s="40"/>
      <c r="P645" s="57"/>
      <c r="Q645" s="57"/>
      <c r="R645" s="40"/>
      <c r="S645" s="40" t="str">
        <f t="array" ref="S645">IF(C645="","",IFERROR(_xlfn.XLOOKUP(C645,Volunteers!D:D,Volunteers!A:A),""))</f>
        <v/>
      </c>
      <c r="T645" s="40"/>
    </row>
    <row r="646">
      <c r="A646" s="52"/>
      <c r="B646" s="28"/>
      <c r="C646" s="28"/>
      <c r="D646" s="28" t="str">
        <f t="array" ref="D646">IF(B646="","",IFERROR(_xlfn.XLOOKUP(B646,'Lists &amp; Settings'!A:A,'Lists &amp; Settings'!E:E),""))</f>
        <v/>
      </c>
      <c r="E646" s="28"/>
      <c r="F646" s="28"/>
      <c r="G646" s="98"/>
      <c r="H646" s="98"/>
      <c r="I646" s="31"/>
      <c r="J646" s="54" t="s">
        <v>179</v>
      </c>
      <c r="K646" s="55" t="s">
        <v>179</v>
      </c>
      <c r="L646" s="56" t="s">
        <v>179</v>
      </c>
      <c r="M646" s="56" t="s">
        <v>179</v>
      </c>
      <c r="N646" s="28"/>
      <c r="O646" s="28"/>
      <c r="P646" s="52"/>
      <c r="Q646" s="52"/>
      <c r="R646" s="28"/>
      <c r="S646" s="28" t="str">
        <f t="array" ref="S646">IF(C646="","",IFERROR(_xlfn.XLOOKUP(C646,Volunteers!D:D,Volunteers!A:A),""))</f>
        <v/>
      </c>
      <c r="T646" s="28"/>
    </row>
    <row r="647">
      <c r="A647" s="57"/>
      <c r="B647" s="40"/>
      <c r="C647" s="40"/>
      <c r="D647" s="40" t="str">
        <f t="array" ref="D647">IF(B647="","",IFERROR(_xlfn.XLOOKUP(B647,'Lists &amp; Settings'!A:A,'Lists &amp; Settings'!E:E),""))</f>
        <v/>
      </c>
      <c r="E647" s="40"/>
      <c r="F647" s="40"/>
      <c r="G647" s="95"/>
      <c r="H647" s="95"/>
      <c r="I647" s="51"/>
      <c r="J647" s="54" t="s">
        <v>179</v>
      </c>
      <c r="K647" s="55" t="s">
        <v>179</v>
      </c>
      <c r="L647" s="56" t="s">
        <v>179</v>
      </c>
      <c r="M647" s="56" t="s">
        <v>179</v>
      </c>
      <c r="N647" s="40"/>
      <c r="O647" s="40"/>
      <c r="P647" s="57"/>
      <c r="Q647" s="57"/>
      <c r="R647" s="40"/>
      <c r="S647" s="40" t="str">
        <f t="array" ref="S647">IF(C647="","",IFERROR(_xlfn.XLOOKUP(C647,Volunteers!D:D,Volunteers!A:A),""))</f>
        <v/>
      </c>
      <c r="T647" s="40"/>
    </row>
    <row r="648">
      <c r="A648" s="52"/>
      <c r="B648" s="28"/>
      <c r="C648" s="28"/>
      <c r="D648" s="28" t="str">
        <f t="array" ref="D648">IF(B648="","",IFERROR(_xlfn.XLOOKUP(B648,'Lists &amp; Settings'!A:A,'Lists &amp; Settings'!E:E),""))</f>
        <v/>
      </c>
      <c r="E648" s="28"/>
      <c r="F648" s="28"/>
      <c r="G648" s="98"/>
      <c r="H648" s="98"/>
      <c r="I648" s="31"/>
      <c r="J648" s="54" t="s">
        <v>179</v>
      </c>
      <c r="K648" s="55" t="s">
        <v>179</v>
      </c>
      <c r="L648" s="56" t="s">
        <v>179</v>
      </c>
      <c r="M648" s="56" t="s">
        <v>179</v>
      </c>
      <c r="N648" s="28"/>
      <c r="O648" s="28"/>
      <c r="P648" s="52"/>
      <c r="Q648" s="52"/>
      <c r="R648" s="28"/>
      <c r="S648" s="28" t="str">
        <f t="array" ref="S648">IF(C648="","",IFERROR(_xlfn.XLOOKUP(C648,Volunteers!D:D,Volunteers!A:A),""))</f>
        <v/>
      </c>
      <c r="T648" s="28"/>
    </row>
    <row r="649">
      <c r="A649" s="57"/>
      <c r="B649" s="40"/>
      <c r="C649" s="40"/>
      <c r="D649" s="40" t="str">
        <f t="array" ref="D649">IF(B649="","",IFERROR(_xlfn.XLOOKUP(B649,'Lists &amp; Settings'!A:A,'Lists &amp; Settings'!E:E),""))</f>
        <v/>
      </c>
      <c r="E649" s="40"/>
      <c r="F649" s="40"/>
      <c r="G649" s="95"/>
      <c r="H649" s="95"/>
      <c r="I649" s="51"/>
      <c r="J649" s="54" t="s">
        <v>179</v>
      </c>
      <c r="K649" s="55" t="s">
        <v>179</v>
      </c>
      <c r="L649" s="56" t="s">
        <v>179</v>
      </c>
      <c r="M649" s="56" t="s">
        <v>179</v>
      </c>
      <c r="N649" s="40"/>
      <c r="O649" s="40"/>
      <c r="P649" s="57"/>
      <c r="Q649" s="57"/>
      <c r="R649" s="40"/>
      <c r="S649" s="40" t="str">
        <f t="array" ref="S649">IF(C649="","",IFERROR(_xlfn.XLOOKUP(C649,Volunteers!D:D,Volunteers!A:A),""))</f>
        <v/>
      </c>
      <c r="T649" s="40"/>
    </row>
    <row r="650">
      <c r="A650" s="52"/>
      <c r="B650" s="28"/>
      <c r="C650" s="28"/>
      <c r="D650" s="28" t="str">
        <f t="array" ref="D650">IF(B650="","",IFERROR(_xlfn.XLOOKUP(B650,'Lists &amp; Settings'!A:A,'Lists &amp; Settings'!E:E),""))</f>
        <v/>
      </c>
      <c r="E650" s="28"/>
      <c r="F650" s="28"/>
      <c r="G650" s="98"/>
      <c r="H650" s="98"/>
      <c r="I650" s="31"/>
      <c r="J650" s="54" t="s">
        <v>179</v>
      </c>
      <c r="K650" s="55" t="s">
        <v>179</v>
      </c>
      <c r="L650" s="56" t="s">
        <v>179</v>
      </c>
      <c r="M650" s="56" t="s">
        <v>179</v>
      </c>
      <c r="N650" s="28"/>
      <c r="O650" s="28"/>
      <c r="P650" s="52"/>
      <c r="Q650" s="52"/>
      <c r="R650" s="28"/>
      <c r="S650" s="28" t="str">
        <f t="array" ref="S650">IF(C650="","",IFERROR(_xlfn.XLOOKUP(C650,Volunteers!D:D,Volunteers!A:A),""))</f>
        <v/>
      </c>
      <c r="T650" s="28"/>
    </row>
    <row r="651">
      <c r="A651" s="57"/>
      <c r="B651" s="40"/>
      <c r="C651" s="40"/>
      <c r="D651" s="40" t="str">
        <f t="array" ref="D651">IF(B651="","",IFERROR(_xlfn.XLOOKUP(B651,'Lists &amp; Settings'!A:A,'Lists &amp; Settings'!E:E),""))</f>
        <v/>
      </c>
      <c r="E651" s="40"/>
      <c r="F651" s="40"/>
      <c r="G651" s="95"/>
      <c r="H651" s="95"/>
      <c r="I651" s="51"/>
      <c r="J651" s="54" t="s">
        <v>179</v>
      </c>
      <c r="K651" s="55" t="s">
        <v>179</v>
      </c>
      <c r="L651" s="56" t="s">
        <v>179</v>
      </c>
      <c r="M651" s="56" t="s">
        <v>179</v>
      </c>
      <c r="N651" s="40"/>
      <c r="O651" s="40"/>
      <c r="P651" s="57"/>
      <c r="Q651" s="57"/>
      <c r="R651" s="40"/>
      <c r="S651" s="40" t="str">
        <f t="array" ref="S651">IF(C651="","",IFERROR(_xlfn.XLOOKUP(C651,Volunteers!D:D,Volunteers!A:A),""))</f>
        <v/>
      </c>
      <c r="T651" s="40"/>
    </row>
    <row r="652">
      <c r="A652" s="52"/>
      <c r="B652" s="28"/>
      <c r="C652" s="28"/>
      <c r="D652" s="28" t="str">
        <f t="array" ref="D652">IF(B652="","",IFERROR(_xlfn.XLOOKUP(B652,'Lists &amp; Settings'!A:A,'Lists &amp; Settings'!E:E),""))</f>
        <v/>
      </c>
      <c r="E652" s="28"/>
      <c r="F652" s="28"/>
      <c r="G652" s="98"/>
      <c r="H652" s="98"/>
      <c r="I652" s="31"/>
      <c r="J652" s="54" t="s">
        <v>179</v>
      </c>
      <c r="K652" s="55" t="s">
        <v>179</v>
      </c>
      <c r="L652" s="56" t="s">
        <v>179</v>
      </c>
      <c r="M652" s="56" t="s">
        <v>179</v>
      </c>
      <c r="N652" s="28"/>
      <c r="O652" s="28"/>
      <c r="P652" s="52"/>
      <c r="Q652" s="52"/>
      <c r="R652" s="28"/>
      <c r="S652" s="28" t="str">
        <f t="array" ref="S652">IF(C652="","",IFERROR(_xlfn.XLOOKUP(C652,Volunteers!D:D,Volunteers!A:A),""))</f>
        <v/>
      </c>
      <c r="T652" s="28"/>
    </row>
    <row r="653">
      <c r="A653" s="57"/>
      <c r="B653" s="40"/>
      <c r="C653" s="40"/>
      <c r="D653" s="40" t="str">
        <f t="array" ref="D653">IF(B653="","",IFERROR(_xlfn.XLOOKUP(B653,'Lists &amp; Settings'!A:A,'Lists &amp; Settings'!E:E),""))</f>
        <v/>
      </c>
      <c r="E653" s="40"/>
      <c r="F653" s="40"/>
      <c r="G653" s="95"/>
      <c r="H653" s="95"/>
      <c r="I653" s="51"/>
      <c r="J653" s="54" t="s">
        <v>179</v>
      </c>
      <c r="K653" s="55" t="s">
        <v>179</v>
      </c>
      <c r="L653" s="56" t="s">
        <v>179</v>
      </c>
      <c r="M653" s="56" t="s">
        <v>179</v>
      </c>
      <c r="N653" s="40"/>
      <c r="O653" s="40"/>
      <c r="P653" s="57"/>
      <c r="Q653" s="57"/>
      <c r="R653" s="40"/>
      <c r="S653" s="40" t="str">
        <f t="array" ref="S653">IF(C653="","",IFERROR(_xlfn.XLOOKUP(C653,Volunteers!D:D,Volunteers!A:A),""))</f>
        <v/>
      </c>
      <c r="T653" s="40"/>
    </row>
    <row r="654">
      <c r="A654" s="52"/>
      <c r="B654" s="28"/>
      <c r="C654" s="28"/>
      <c r="D654" s="28" t="str">
        <f t="array" ref="D654">IF(B654="","",IFERROR(_xlfn.XLOOKUP(B654,'Lists &amp; Settings'!A:A,'Lists &amp; Settings'!E:E),""))</f>
        <v/>
      </c>
      <c r="E654" s="28"/>
      <c r="F654" s="28"/>
      <c r="G654" s="98"/>
      <c r="H654" s="98"/>
      <c r="I654" s="31"/>
      <c r="J654" s="54" t="s">
        <v>179</v>
      </c>
      <c r="K654" s="55" t="s">
        <v>179</v>
      </c>
      <c r="L654" s="56" t="s">
        <v>179</v>
      </c>
      <c r="M654" s="56" t="s">
        <v>179</v>
      </c>
      <c r="N654" s="28"/>
      <c r="O654" s="28"/>
      <c r="P654" s="52"/>
      <c r="Q654" s="52"/>
      <c r="R654" s="28"/>
      <c r="S654" s="28" t="str">
        <f t="array" ref="S654">IF(C654="","",IFERROR(_xlfn.XLOOKUP(C654,Volunteers!D:D,Volunteers!A:A),""))</f>
        <v/>
      </c>
      <c r="T654" s="28"/>
    </row>
    <row r="655">
      <c r="A655" s="57"/>
      <c r="B655" s="40"/>
      <c r="C655" s="40"/>
      <c r="D655" s="40" t="str">
        <f t="array" ref="D655">IF(B655="","",IFERROR(_xlfn.XLOOKUP(B655,'Lists &amp; Settings'!A:A,'Lists &amp; Settings'!E:E),""))</f>
        <v/>
      </c>
      <c r="E655" s="40"/>
      <c r="F655" s="40"/>
      <c r="G655" s="95"/>
      <c r="H655" s="95"/>
      <c r="I655" s="51"/>
      <c r="J655" s="54" t="s">
        <v>179</v>
      </c>
      <c r="K655" s="55" t="s">
        <v>179</v>
      </c>
      <c r="L655" s="56" t="s">
        <v>179</v>
      </c>
      <c r="M655" s="56" t="s">
        <v>179</v>
      </c>
      <c r="N655" s="40"/>
      <c r="O655" s="40"/>
      <c r="P655" s="57"/>
      <c r="Q655" s="57"/>
      <c r="R655" s="40"/>
      <c r="S655" s="40" t="str">
        <f t="array" ref="S655">IF(C655="","",IFERROR(_xlfn.XLOOKUP(C655,Volunteers!D:D,Volunteers!A:A),""))</f>
        <v/>
      </c>
      <c r="T655" s="40"/>
    </row>
    <row r="656">
      <c r="A656" s="52"/>
      <c r="B656" s="28"/>
      <c r="C656" s="28"/>
      <c r="D656" s="28" t="str">
        <f t="array" ref="D656">IF(B656="","",IFERROR(_xlfn.XLOOKUP(B656,'Lists &amp; Settings'!A:A,'Lists &amp; Settings'!E:E),""))</f>
        <v/>
      </c>
      <c r="E656" s="28"/>
      <c r="F656" s="28"/>
      <c r="G656" s="98"/>
      <c r="H656" s="98"/>
      <c r="I656" s="31"/>
      <c r="J656" s="54" t="s">
        <v>179</v>
      </c>
      <c r="K656" s="55" t="s">
        <v>179</v>
      </c>
      <c r="L656" s="56" t="s">
        <v>179</v>
      </c>
      <c r="M656" s="56" t="s">
        <v>179</v>
      </c>
      <c r="N656" s="28"/>
      <c r="O656" s="28"/>
      <c r="P656" s="52"/>
      <c r="Q656" s="52"/>
      <c r="R656" s="28"/>
      <c r="S656" s="28" t="str">
        <f t="array" ref="S656">IF(C656="","",IFERROR(_xlfn.XLOOKUP(C656,Volunteers!D:D,Volunteers!A:A),""))</f>
        <v/>
      </c>
      <c r="T656" s="28"/>
    </row>
    <row r="657">
      <c r="A657" s="57"/>
      <c r="B657" s="40"/>
      <c r="C657" s="40"/>
      <c r="D657" s="40" t="str">
        <f t="array" ref="D657">IF(B657="","",IFERROR(_xlfn.XLOOKUP(B657,'Lists &amp; Settings'!A:A,'Lists &amp; Settings'!E:E),""))</f>
        <v/>
      </c>
      <c r="E657" s="40"/>
      <c r="F657" s="40"/>
      <c r="G657" s="95"/>
      <c r="H657" s="95"/>
      <c r="I657" s="51"/>
      <c r="J657" s="54" t="s">
        <v>179</v>
      </c>
      <c r="K657" s="55" t="s">
        <v>179</v>
      </c>
      <c r="L657" s="56" t="s">
        <v>179</v>
      </c>
      <c r="M657" s="56" t="s">
        <v>179</v>
      </c>
      <c r="N657" s="40"/>
      <c r="O657" s="40"/>
      <c r="P657" s="57"/>
      <c r="Q657" s="57"/>
      <c r="R657" s="40"/>
      <c r="S657" s="40" t="str">
        <f t="array" ref="S657">IF(C657="","",IFERROR(_xlfn.XLOOKUP(C657,Volunteers!D:D,Volunteers!A:A),""))</f>
        <v/>
      </c>
      <c r="T657" s="40"/>
    </row>
    <row r="658">
      <c r="A658" s="52"/>
      <c r="B658" s="28"/>
      <c r="C658" s="28"/>
      <c r="D658" s="28" t="str">
        <f t="array" ref="D658">IF(B658="","",IFERROR(_xlfn.XLOOKUP(B658,'Lists &amp; Settings'!A:A,'Lists &amp; Settings'!E:E),""))</f>
        <v/>
      </c>
      <c r="E658" s="28"/>
      <c r="F658" s="28"/>
      <c r="G658" s="98"/>
      <c r="H658" s="98"/>
      <c r="I658" s="31"/>
      <c r="J658" s="54" t="s">
        <v>179</v>
      </c>
      <c r="K658" s="55" t="s">
        <v>179</v>
      </c>
      <c r="L658" s="56" t="s">
        <v>179</v>
      </c>
      <c r="M658" s="56" t="s">
        <v>179</v>
      </c>
      <c r="N658" s="28"/>
      <c r="O658" s="28"/>
      <c r="P658" s="52"/>
      <c r="Q658" s="52"/>
      <c r="R658" s="28"/>
      <c r="S658" s="28" t="str">
        <f t="array" ref="S658">IF(C658="","",IFERROR(_xlfn.XLOOKUP(C658,Volunteers!D:D,Volunteers!A:A),""))</f>
        <v/>
      </c>
      <c r="T658" s="28"/>
    </row>
    <row r="659">
      <c r="A659" s="57"/>
      <c r="B659" s="40"/>
      <c r="C659" s="40"/>
      <c r="D659" s="40" t="str">
        <f t="array" ref="D659">IF(B659="","",IFERROR(_xlfn.XLOOKUP(B659,'Lists &amp; Settings'!A:A,'Lists &amp; Settings'!E:E),""))</f>
        <v/>
      </c>
      <c r="E659" s="40"/>
      <c r="F659" s="40"/>
      <c r="G659" s="95"/>
      <c r="H659" s="95"/>
      <c r="I659" s="51"/>
      <c r="J659" s="54" t="s">
        <v>179</v>
      </c>
      <c r="K659" s="55" t="s">
        <v>179</v>
      </c>
      <c r="L659" s="56" t="s">
        <v>179</v>
      </c>
      <c r="M659" s="56" t="s">
        <v>179</v>
      </c>
      <c r="N659" s="40"/>
      <c r="O659" s="40"/>
      <c r="P659" s="57"/>
      <c r="Q659" s="57"/>
      <c r="R659" s="40"/>
      <c r="S659" s="40" t="str">
        <f t="array" ref="S659">IF(C659="","",IFERROR(_xlfn.XLOOKUP(C659,Volunteers!D:D,Volunteers!A:A),""))</f>
        <v/>
      </c>
      <c r="T659" s="40"/>
    </row>
    <row r="660">
      <c r="A660" s="52"/>
      <c r="B660" s="28"/>
      <c r="C660" s="28"/>
      <c r="D660" s="28" t="str">
        <f t="array" ref="D660">IF(B660="","",IFERROR(_xlfn.XLOOKUP(B660,'Lists &amp; Settings'!A:A,'Lists &amp; Settings'!E:E),""))</f>
        <v/>
      </c>
      <c r="E660" s="28"/>
      <c r="F660" s="28"/>
      <c r="G660" s="98"/>
      <c r="H660" s="98"/>
      <c r="I660" s="31"/>
      <c r="J660" s="54" t="s">
        <v>179</v>
      </c>
      <c r="K660" s="55" t="s">
        <v>179</v>
      </c>
      <c r="L660" s="56" t="s">
        <v>179</v>
      </c>
      <c r="M660" s="56" t="s">
        <v>179</v>
      </c>
      <c r="N660" s="28"/>
      <c r="O660" s="28"/>
      <c r="P660" s="52"/>
      <c r="Q660" s="52"/>
      <c r="R660" s="28"/>
      <c r="S660" s="28" t="str">
        <f t="array" ref="S660">IF(C660="","",IFERROR(_xlfn.XLOOKUP(C660,Volunteers!D:D,Volunteers!A:A),""))</f>
        <v/>
      </c>
      <c r="T660" s="28"/>
    </row>
    <row r="661">
      <c r="A661" s="57"/>
      <c r="B661" s="40"/>
      <c r="C661" s="40"/>
      <c r="D661" s="40" t="str">
        <f t="array" ref="D661">IF(B661="","",IFERROR(_xlfn.XLOOKUP(B661,'Lists &amp; Settings'!A:A,'Lists &amp; Settings'!E:E),""))</f>
        <v/>
      </c>
      <c r="E661" s="40"/>
      <c r="F661" s="40"/>
      <c r="G661" s="95"/>
      <c r="H661" s="95"/>
      <c r="I661" s="51"/>
      <c r="J661" s="54" t="s">
        <v>179</v>
      </c>
      <c r="K661" s="55" t="s">
        <v>179</v>
      </c>
      <c r="L661" s="56" t="s">
        <v>179</v>
      </c>
      <c r="M661" s="56" t="s">
        <v>179</v>
      </c>
      <c r="N661" s="40"/>
      <c r="O661" s="40"/>
      <c r="P661" s="57"/>
      <c r="Q661" s="57"/>
      <c r="R661" s="40"/>
      <c r="S661" s="40" t="str">
        <f t="array" ref="S661">IF(C661="","",IFERROR(_xlfn.XLOOKUP(C661,Volunteers!D:D,Volunteers!A:A),""))</f>
        <v/>
      </c>
      <c r="T661" s="40"/>
    </row>
    <row r="662">
      <c r="A662" s="52"/>
      <c r="B662" s="28"/>
      <c r="C662" s="28"/>
      <c r="D662" s="28" t="str">
        <f t="array" ref="D662">IF(B662="","",IFERROR(_xlfn.XLOOKUP(B662,'Lists &amp; Settings'!A:A,'Lists &amp; Settings'!E:E),""))</f>
        <v/>
      </c>
      <c r="E662" s="28"/>
      <c r="F662" s="28"/>
      <c r="G662" s="98"/>
      <c r="H662" s="98"/>
      <c r="I662" s="31"/>
      <c r="J662" s="54" t="s">
        <v>179</v>
      </c>
      <c r="K662" s="55" t="s">
        <v>179</v>
      </c>
      <c r="L662" s="56" t="s">
        <v>179</v>
      </c>
      <c r="M662" s="56" t="s">
        <v>179</v>
      </c>
      <c r="N662" s="28"/>
      <c r="O662" s="28"/>
      <c r="P662" s="52"/>
      <c r="Q662" s="52"/>
      <c r="R662" s="28"/>
      <c r="S662" s="28" t="str">
        <f t="array" ref="S662">IF(C662="","",IFERROR(_xlfn.XLOOKUP(C662,Volunteers!D:D,Volunteers!A:A),""))</f>
        <v/>
      </c>
      <c r="T662" s="28"/>
    </row>
    <row r="663">
      <c r="A663" s="57"/>
      <c r="B663" s="40"/>
      <c r="C663" s="40"/>
      <c r="D663" s="40" t="str">
        <f t="array" ref="D663">IF(B663="","",IFERROR(_xlfn.XLOOKUP(B663,'Lists &amp; Settings'!A:A,'Lists &amp; Settings'!E:E),""))</f>
        <v/>
      </c>
      <c r="E663" s="40"/>
      <c r="F663" s="40"/>
      <c r="G663" s="95"/>
      <c r="H663" s="95"/>
      <c r="I663" s="51"/>
      <c r="J663" s="54" t="s">
        <v>179</v>
      </c>
      <c r="K663" s="55" t="s">
        <v>179</v>
      </c>
      <c r="L663" s="56" t="s">
        <v>179</v>
      </c>
      <c r="M663" s="56" t="s">
        <v>179</v>
      </c>
      <c r="N663" s="40"/>
      <c r="O663" s="40"/>
      <c r="P663" s="57"/>
      <c r="Q663" s="57"/>
      <c r="R663" s="40"/>
      <c r="S663" s="40" t="str">
        <f t="array" ref="S663">IF(C663="","",IFERROR(_xlfn.XLOOKUP(C663,Volunteers!D:D,Volunteers!A:A),""))</f>
        <v/>
      </c>
      <c r="T663" s="40"/>
    </row>
    <row r="664">
      <c r="A664" s="52"/>
      <c r="B664" s="28"/>
      <c r="C664" s="28"/>
      <c r="D664" s="28" t="str">
        <f t="array" ref="D664">IF(B664="","",IFERROR(_xlfn.XLOOKUP(B664,'Lists &amp; Settings'!A:A,'Lists &amp; Settings'!E:E),""))</f>
        <v/>
      </c>
      <c r="E664" s="28"/>
      <c r="F664" s="28"/>
      <c r="G664" s="98"/>
      <c r="H664" s="98"/>
      <c r="I664" s="31"/>
      <c r="J664" s="54" t="s">
        <v>179</v>
      </c>
      <c r="K664" s="55" t="s">
        <v>179</v>
      </c>
      <c r="L664" s="56" t="s">
        <v>179</v>
      </c>
      <c r="M664" s="56" t="s">
        <v>179</v>
      </c>
      <c r="N664" s="28"/>
      <c r="O664" s="28"/>
      <c r="P664" s="52"/>
      <c r="Q664" s="52"/>
      <c r="R664" s="28"/>
      <c r="S664" s="28" t="str">
        <f t="array" ref="S664">IF(C664="","",IFERROR(_xlfn.XLOOKUP(C664,Volunteers!D:D,Volunteers!A:A),""))</f>
        <v/>
      </c>
      <c r="T664" s="28"/>
    </row>
    <row r="665">
      <c r="A665" s="57"/>
      <c r="B665" s="40"/>
      <c r="C665" s="40"/>
      <c r="D665" s="40" t="str">
        <f t="array" ref="D665">IF(B665="","",IFERROR(_xlfn.XLOOKUP(B665,'Lists &amp; Settings'!A:A,'Lists &amp; Settings'!E:E),""))</f>
        <v/>
      </c>
      <c r="E665" s="40"/>
      <c r="F665" s="40"/>
      <c r="G665" s="95"/>
      <c r="H665" s="95"/>
      <c r="I665" s="51"/>
      <c r="J665" s="54" t="s">
        <v>179</v>
      </c>
      <c r="K665" s="55" t="s">
        <v>179</v>
      </c>
      <c r="L665" s="56" t="s">
        <v>179</v>
      </c>
      <c r="M665" s="56" t="s">
        <v>179</v>
      </c>
      <c r="N665" s="40"/>
      <c r="O665" s="40"/>
      <c r="P665" s="57"/>
      <c r="Q665" s="57"/>
      <c r="R665" s="40"/>
      <c r="S665" s="40" t="str">
        <f t="array" ref="S665">IF(C665="","",IFERROR(_xlfn.XLOOKUP(C665,Volunteers!D:D,Volunteers!A:A),""))</f>
        <v/>
      </c>
      <c r="T665" s="40"/>
    </row>
    <row r="666">
      <c r="A666" s="52"/>
      <c r="B666" s="28"/>
      <c r="C666" s="28"/>
      <c r="D666" s="28" t="str">
        <f t="array" ref="D666">IF(B666="","",IFERROR(_xlfn.XLOOKUP(B666,'Lists &amp; Settings'!A:A,'Lists &amp; Settings'!E:E),""))</f>
        <v/>
      </c>
      <c r="E666" s="28"/>
      <c r="F666" s="28"/>
      <c r="G666" s="98"/>
      <c r="H666" s="98"/>
      <c r="I666" s="31"/>
      <c r="J666" s="54" t="s">
        <v>179</v>
      </c>
      <c r="K666" s="55" t="s">
        <v>179</v>
      </c>
      <c r="L666" s="56" t="s">
        <v>179</v>
      </c>
      <c r="M666" s="56" t="s">
        <v>179</v>
      </c>
      <c r="N666" s="28"/>
      <c r="O666" s="28"/>
      <c r="P666" s="52"/>
      <c r="Q666" s="52"/>
      <c r="R666" s="28"/>
      <c r="S666" s="28" t="str">
        <f t="array" ref="S666">IF(C666="","",IFERROR(_xlfn.XLOOKUP(C666,Volunteers!D:D,Volunteers!A:A),""))</f>
        <v/>
      </c>
      <c r="T666" s="28"/>
    </row>
    <row r="667">
      <c r="A667" s="57"/>
      <c r="B667" s="40"/>
      <c r="C667" s="40"/>
      <c r="D667" s="40" t="str">
        <f t="array" ref="D667">IF(B667="","",IFERROR(_xlfn.XLOOKUP(B667,'Lists &amp; Settings'!A:A,'Lists &amp; Settings'!E:E),""))</f>
        <v/>
      </c>
      <c r="E667" s="40"/>
      <c r="F667" s="40"/>
      <c r="G667" s="95"/>
      <c r="H667" s="95"/>
      <c r="I667" s="51"/>
      <c r="J667" s="54" t="s">
        <v>179</v>
      </c>
      <c r="K667" s="55" t="s">
        <v>179</v>
      </c>
      <c r="L667" s="56" t="s">
        <v>179</v>
      </c>
      <c r="M667" s="56" t="s">
        <v>179</v>
      </c>
      <c r="N667" s="40"/>
      <c r="O667" s="40"/>
      <c r="P667" s="57"/>
      <c r="Q667" s="57"/>
      <c r="R667" s="40"/>
      <c r="S667" s="40" t="str">
        <f t="array" ref="S667">IF(C667="","",IFERROR(_xlfn.XLOOKUP(C667,Volunteers!D:D,Volunteers!A:A),""))</f>
        <v/>
      </c>
      <c r="T667" s="40"/>
    </row>
    <row r="668">
      <c r="A668" s="52"/>
      <c r="B668" s="28"/>
      <c r="C668" s="28"/>
      <c r="D668" s="28" t="str">
        <f t="array" ref="D668">IF(B668="","",IFERROR(_xlfn.XLOOKUP(B668,'Lists &amp; Settings'!A:A,'Lists &amp; Settings'!E:E),""))</f>
        <v/>
      </c>
      <c r="E668" s="28"/>
      <c r="F668" s="28"/>
      <c r="G668" s="98"/>
      <c r="H668" s="98"/>
      <c r="I668" s="31"/>
      <c r="J668" s="54" t="s">
        <v>179</v>
      </c>
      <c r="K668" s="55" t="s">
        <v>179</v>
      </c>
      <c r="L668" s="56" t="s">
        <v>179</v>
      </c>
      <c r="M668" s="56" t="s">
        <v>179</v>
      </c>
      <c r="N668" s="28"/>
      <c r="O668" s="28"/>
      <c r="P668" s="52"/>
      <c r="Q668" s="52"/>
      <c r="R668" s="28"/>
      <c r="S668" s="28" t="str">
        <f t="array" ref="S668">IF(C668="","",IFERROR(_xlfn.XLOOKUP(C668,Volunteers!D:D,Volunteers!A:A),""))</f>
        <v/>
      </c>
      <c r="T668" s="28"/>
    </row>
    <row r="669">
      <c r="A669" s="57"/>
      <c r="B669" s="40"/>
      <c r="C669" s="40"/>
      <c r="D669" s="40" t="str">
        <f t="array" ref="D669">IF(B669="","",IFERROR(_xlfn.XLOOKUP(B669,'Lists &amp; Settings'!A:A,'Lists &amp; Settings'!E:E),""))</f>
        <v/>
      </c>
      <c r="E669" s="40"/>
      <c r="F669" s="40"/>
      <c r="G669" s="95"/>
      <c r="H669" s="95"/>
      <c r="I669" s="51"/>
      <c r="J669" s="54" t="s">
        <v>179</v>
      </c>
      <c r="K669" s="55" t="s">
        <v>179</v>
      </c>
      <c r="L669" s="56" t="s">
        <v>179</v>
      </c>
      <c r="M669" s="56" t="s">
        <v>179</v>
      </c>
      <c r="N669" s="40"/>
      <c r="O669" s="40"/>
      <c r="P669" s="57"/>
      <c r="Q669" s="57"/>
      <c r="R669" s="40"/>
      <c r="S669" s="40" t="str">
        <f t="array" ref="S669">IF(C669="","",IFERROR(_xlfn.XLOOKUP(C669,Volunteers!D:D,Volunteers!A:A),""))</f>
        <v/>
      </c>
      <c r="T669" s="40"/>
    </row>
    <row r="670">
      <c r="A670" s="52"/>
      <c r="B670" s="28"/>
      <c r="C670" s="28"/>
      <c r="D670" s="28" t="str">
        <f t="array" ref="D670">IF(B670="","",IFERROR(_xlfn.XLOOKUP(B670,'Lists &amp; Settings'!A:A,'Lists &amp; Settings'!E:E),""))</f>
        <v/>
      </c>
      <c r="E670" s="28"/>
      <c r="F670" s="28"/>
      <c r="G670" s="98"/>
      <c r="H670" s="98"/>
      <c r="I670" s="31"/>
      <c r="J670" s="54" t="s">
        <v>179</v>
      </c>
      <c r="K670" s="55" t="s">
        <v>179</v>
      </c>
      <c r="L670" s="56" t="s">
        <v>179</v>
      </c>
      <c r="M670" s="56" t="s">
        <v>179</v>
      </c>
      <c r="N670" s="28"/>
      <c r="O670" s="28"/>
      <c r="P670" s="52"/>
      <c r="Q670" s="52"/>
      <c r="R670" s="28"/>
      <c r="S670" s="28" t="str">
        <f t="array" ref="S670">IF(C670="","",IFERROR(_xlfn.XLOOKUP(C670,Volunteers!D:D,Volunteers!A:A),""))</f>
        <v/>
      </c>
      <c r="T670" s="28"/>
    </row>
    <row r="671">
      <c r="A671" s="57"/>
      <c r="B671" s="40"/>
      <c r="C671" s="40"/>
      <c r="D671" s="40" t="str">
        <f t="array" ref="D671">IF(B671="","",IFERROR(_xlfn.XLOOKUP(B671,'Lists &amp; Settings'!A:A,'Lists &amp; Settings'!E:E),""))</f>
        <v/>
      </c>
      <c r="E671" s="40"/>
      <c r="F671" s="40"/>
      <c r="G671" s="95"/>
      <c r="H671" s="95"/>
      <c r="I671" s="51"/>
      <c r="J671" s="54" t="s">
        <v>179</v>
      </c>
      <c r="K671" s="55" t="s">
        <v>179</v>
      </c>
      <c r="L671" s="56" t="s">
        <v>179</v>
      </c>
      <c r="M671" s="56" t="s">
        <v>179</v>
      </c>
      <c r="N671" s="40"/>
      <c r="O671" s="40"/>
      <c r="P671" s="57"/>
      <c r="Q671" s="57"/>
      <c r="R671" s="40"/>
      <c r="S671" s="40" t="str">
        <f t="array" ref="S671">IF(C671="","",IFERROR(_xlfn.XLOOKUP(C671,Volunteers!D:D,Volunteers!A:A),""))</f>
        <v/>
      </c>
      <c r="T671" s="40"/>
    </row>
    <row r="672">
      <c r="A672" s="52"/>
      <c r="B672" s="28"/>
      <c r="C672" s="28"/>
      <c r="D672" s="28" t="str">
        <f t="array" ref="D672">IF(B672="","",IFERROR(_xlfn.XLOOKUP(B672,'Lists &amp; Settings'!A:A,'Lists &amp; Settings'!E:E),""))</f>
        <v/>
      </c>
      <c r="E672" s="28"/>
      <c r="F672" s="28"/>
      <c r="G672" s="98"/>
      <c r="H672" s="98"/>
      <c r="I672" s="31"/>
      <c r="J672" s="54" t="s">
        <v>179</v>
      </c>
      <c r="K672" s="55" t="s">
        <v>179</v>
      </c>
      <c r="L672" s="56" t="s">
        <v>179</v>
      </c>
      <c r="M672" s="56" t="s">
        <v>179</v>
      </c>
      <c r="N672" s="28"/>
      <c r="O672" s="28"/>
      <c r="P672" s="52"/>
      <c r="Q672" s="52"/>
      <c r="R672" s="28"/>
      <c r="S672" s="28" t="str">
        <f t="array" ref="S672">IF(C672="","",IFERROR(_xlfn.XLOOKUP(C672,Volunteers!D:D,Volunteers!A:A),""))</f>
        <v/>
      </c>
      <c r="T672" s="28"/>
    </row>
    <row r="673">
      <c r="A673" s="57"/>
      <c r="B673" s="40"/>
      <c r="C673" s="40"/>
      <c r="D673" s="40" t="str">
        <f t="array" ref="D673">IF(B673="","",IFERROR(_xlfn.XLOOKUP(B673,'Lists &amp; Settings'!A:A,'Lists &amp; Settings'!E:E),""))</f>
        <v/>
      </c>
      <c r="E673" s="40"/>
      <c r="F673" s="40"/>
      <c r="G673" s="95"/>
      <c r="H673" s="95"/>
      <c r="I673" s="51"/>
      <c r="J673" s="54" t="s">
        <v>179</v>
      </c>
      <c r="K673" s="55" t="s">
        <v>179</v>
      </c>
      <c r="L673" s="56" t="s">
        <v>179</v>
      </c>
      <c r="M673" s="56" t="s">
        <v>179</v>
      </c>
      <c r="N673" s="40"/>
      <c r="O673" s="40"/>
      <c r="P673" s="57"/>
      <c r="Q673" s="57"/>
      <c r="R673" s="40"/>
      <c r="S673" s="40" t="str">
        <f t="array" ref="S673">IF(C673="","",IFERROR(_xlfn.XLOOKUP(C673,Volunteers!D:D,Volunteers!A:A),""))</f>
        <v/>
      </c>
      <c r="T673" s="40"/>
    </row>
    <row r="674">
      <c r="A674" s="52"/>
      <c r="B674" s="28"/>
      <c r="C674" s="28"/>
      <c r="D674" s="28" t="str">
        <f t="array" ref="D674">IF(B674="","",IFERROR(_xlfn.XLOOKUP(B674,'Lists &amp; Settings'!A:A,'Lists &amp; Settings'!E:E),""))</f>
        <v/>
      </c>
      <c r="E674" s="28"/>
      <c r="F674" s="28"/>
      <c r="G674" s="98"/>
      <c r="H674" s="98"/>
      <c r="I674" s="31"/>
      <c r="J674" s="54" t="s">
        <v>179</v>
      </c>
      <c r="K674" s="55" t="s">
        <v>179</v>
      </c>
      <c r="L674" s="56" t="s">
        <v>179</v>
      </c>
      <c r="M674" s="56" t="s">
        <v>179</v>
      </c>
      <c r="N674" s="28"/>
      <c r="O674" s="28"/>
      <c r="P674" s="52"/>
      <c r="Q674" s="52"/>
      <c r="R674" s="28"/>
      <c r="S674" s="28" t="str">
        <f t="array" ref="S674">IF(C674="","",IFERROR(_xlfn.XLOOKUP(C674,Volunteers!D:D,Volunteers!A:A),""))</f>
        <v/>
      </c>
      <c r="T674" s="28"/>
    </row>
    <row r="675">
      <c r="A675" s="57"/>
      <c r="B675" s="40"/>
      <c r="C675" s="40"/>
      <c r="D675" s="40" t="str">
        <f t="array" ref="D675">IF(B675="","",IFERROR(_xlfn.XLOOKUP(B675,'Lists &amp; Settings'!A:A,'Lists &amp; Settings'!E:E),""))</f>
        <v/>
      </c>
      <c r="E675" s="40"/>
      <c r="F675" s="40"/>
      <c r="G675" s="95"/>
      <c r="H675" s="95"/>
      <c r="I675" s="51"/>
      <c r="J675" s="54" t="s">
        <v>179</v>
      </c>
      <c r="K675" s="55" t="s">
        <v>179</v>
      </c>
      <c r="L675" s="56" t="s">
        <v>179</v>
      </c>
      <c r="M675" s="56" t="s">
        <v>179</v>
      </c>
      <c r="N675" s="40"/>
      <c r="O675" s="40"/>
      <c r="P675" s="57"/>
      <c r="Q675" s="57"/>
      <c r="R675" s="40"/>
      <c r="S675" s="40" t="str">
        <f t="array" ref="S675">IF(C675="","",IFERROR(_xlfn.XLOOKUP(C675,Volunteers!D:D,Volunteers!A:A),""))</f>
        <v/>
      </c>
      <c r="T675" s="40"/>
    </row>
    <row r="676">
      <c r="A676" s="52"/>
      <c r="B676" s="28"/>
      <c r="C676" s="28"/>
      <c r="D676" s="28" t="str">
        <f t="array" ref="D676">IF(B676="","",IFERROR(_xlfn.XLOOKUP(B676,'Lists &amp; Settings'!A:A,'Lists &amp; Settings'!E:E),""))</f>
        <v/>
      </c>
      <c r="E676" s="28"/>
      <c r="F676" s="28"/>
      <c r="G676" s="98"/>
      <c r="H676" s="98"/>
      <c r="I676" s="31"/>
      <c r="J676" s="54" t="s">
        <v>179</v>
      </c>
      <c r="K676" s="55" t="s">
        <v>179</v>
      </c>
      <c r="L676" s="56" t="s">
        <v>179</v>
      </c>
      <c r="M676" s="56" t="s">
        <v>179</v>
      </c>
      <c r="N676" s="28"/>
      <c r="O676" s="28"/>
      <c r="P676" s="52"/>
      <c r="Q676" s="52"/>
      <c r="R676" s="28"/>
      <c r="S676" s="28" t="str">
        <f t="array" ref="S676">IF(C676="","",IFERROR(_xlfn.XLOOKUP(C676,Volunteers!D:D,Volunteers!A:A),""))</f>
        <v/>
      </c>
      <c r="T676" s="28"/>
    </row>
    <row r="677">
      <c r="A677" s="57"/>
      <c r="B677" s="40"/>
      <c r="C677" s="40"/>
      <c r="D677" s="40" t="str">
        <f t="array" ref="D677">IF(B677="","",IFERROR(_xlfn.XLOOKUP(B677,'Lists &amp; Settings'!A:A,'Lists &amp; Settings'!E:E),""))</f>
        <v/>
      </c>
      <c r="E677" s="40"/>
      <c r="F677" s="40"/>
      <c r="G677" s="95"/>
      <c r="H677" s="95"/>
      <c r="I677" s="51"/>
      <c r="J677" s="54" t="s">
        <v>179</v>
      </c>
      <c r="K677" s="55" t="s">
        <v>179</v>
      </c>
      <c r="L677" s="56" t="s">
        <v>179</v>
      </c>
      <c r="M677" s="56" t="s">
        <v>179</v>
      </c>
      <c r="N677" s="40"/>
      <c r="O677" s="40"/>
      <c r="P677" s="57"/>
      <c r="Q677" s="57"/>
      <c r="R677" s="40"/>
      <c r="S677" s="40" t="str">
        <f t="array" ref="S677">IF(C677="","",IFERROR(_xlfn.XLOOKUP(C677,Volunteers!D:D,Volunteers!A:A),""))</f>
        <v/>
      </c>
      <c r="T677" s="40"/>
    </row>
    <row r="678">
      <c r="A678" s="52"/>
      <c r="B678" s="28"/>
      <c r="C678" s="28"/>
      <c r="D678" s="28" t="str">
        <f t="array" ref="D678">IF(B678="","",IFERROR(_xlfn.XLOOKUP(B678,'Lists &amp; Settings'!A:A,'Lists &amp; Settings'!E:E),""))</f>
        <v/>
      </c>
      <c r="E678" s="28"/>
      <c r="F678" s="28"/>
      <c r="G678" s="98"/>
      <c r="H678" s="98"/>
      <c r="I678" s="31"/>
      <c r="J678" s="54" t="s">
        <v>179</v>
      </c>
      <c r="K678" s="55" t="s">
        <v>179</v>
      </c>
      <c r="L678" s="56" t="s">
        <v>179</v>
      </c>
      <c r="M678" s="56" t="s">
        <v>179</v>
      </c>
      <c r="N678" s="28"/>
      <c r="O678" s="28"/>
      <c r="P678" s="52"/>
      <c r="Q678" s="52"/>
      <c r="R678" s="28"/>
      <c r="S678" s="28" t="str">
        <f t="array" ref="S678">IF(C678="","",IFERROR(_xlfn.XLOOKUP(C678,Volunteers!D:D,Volunteers!A:A),""))</f>
        <v/>
      </c>
      <c r="T678" s="28"/>
    </row>
    <row r="679">
      <c r="A679" s="57"/>
      <c r="B679" s="40"/>
      <c r="C679" s="40"/>
      <c r="D679" s="40" t="str">
        <f t="array" ref="D679">IF(B679="","",IFERROR(_xlfn.XLOOKUP(B679,'Lists &amp; Settings'!A:A,'Lists &amp; Settings'!E:E),""))</f>
        <v/>
      </c>
      <c r="E679" s="40"/>
      <c r="F679" s="40"/>
      <c r="G679" s="95"/>
      <c r="H679" s="95"/>
      <c r="I679" s="51"/>
      <c r="J679" s="54" t="s">
        <v>179</v>
      </c>
      <c r="K679" s="55" t="s">
        <v>179</v>
      </c>
      <c r="L679" s="56" t="s">
        <v>179</v>
      </c>
      <c r="M679" s="56" t="s">
        <v>179</v>
      </c>
      <c r="N679" s="40"/>
      <c r="O679" s="40"/>
      <c r="P679" s="57"/>
      <c r="Q679" s="57"/>
      <c r="R679" s="40"/>
      <c r="S679" s="40" t="str">
        <f t="array" ref="S679">IF(C679="","",IFERROR(_xlfn.XLOOKUP(C679,Volunteers!D:D,Volunteers!A:A),""))</f>
        <v/>
      </c>
      <c r="T679" s="40"/>
    </row>
    <row r="680">
      <c r="A680" s="52"/>
      <c r="B680" s="28"/>
      <c r="C680" s="28"/>
      <c r="D680" s="28" t="str">
        <f t="array" ref="D680">IF(B680="","",IFERROR(_xlfn.XLOOKUP(B680,'Lists &amp; Settings'!A:A,'Lists &amp; Settings'!E:E),""))</f>
        <v/>
      </c>
      <c r="E680" s="28"/>
      <c r="F680" s="28"/>
      <c r="G680" s="98"/>
      <c r="H680" s="98"/>
      <c r="I680" s="31"/>
      <c r="J680" s="54" t="s">
        <v>179</v>
      </c>
      <c r="K680" s="55" t="s">
        <v>179</v>
      </c>
      <c r="L680" s="56" t="s">
        <v>179</v>
      </c>
      <c r="M680" s="56" t="s">
        <v>179</v>
      </c>
      <c r="N680" s="28"/>
      <c r="O680" s="28"/>
      <c r="P680" s="52"/>
      <c r="Q680" s="52"/>
      <c r="R680" s="28"/>
      <c r="S680" s="28" t="str">
        <f t="array" ref="S680">IF(C680="","",IFERROR(_xlfn.XLOOKUP(C680,Volunteers!D:D,Volunteers!A:A),""))</f>
        <v/>
      </c>
      <c r="T680" s="28"/>
    </row>
    <row r="681">
      <c r="A681" s="57"/>
      <c r="B681" s="40"/>
      <c r="C681" s="40"/>
      <c r="D681" s="40" t="str">
        <f t="array" ref="D681">IF(B681="","",IFERROR(_xlfn.XLOOKUP(B681,'Lists &amp; Settings'!A:A,'Lists &amp; Settings'!E:E),""))</f>
        <v/>
      </c>
      <c r="E681" s="40"/>
      <c r="F681" s="40"/>
      <c r="G681" s="95"/>
      <c r="H681" s="95"/>
      <c r="I681" s="51"/>
      <c r="J681" s="54" t="s">
        <v>179</v>
      </c>
      <c r="K681" s="55" t="s">
        <v>179</v>
      </c>
      <c r="L681" s="56" t="s">
        <v>179</v>
      </c>
      <c r="M681" s="56" t="s">
        <v>179</v>
      </c>
      <c r="N681" s="40"/>
      <c r="O681" s="40"/>
      <c r="P681" s="57"/>
      <c r="Q681" s="57"/>
      <c r="R681" s="40"/>
      <c r="S681" s="40" t="str">
        <f t="array" ref="S681">IF(C681="","",IFERROR(_xlfn.XLOOKUP(C681,Volunteers!D:D,Volunteers!A:A),""))</f>
        <v/>
      </c>
      <c r="T681" s="40"/>
    </row>
    <row r="682">
      <c r="A682" s="52"/>
      <c r="B682" s="28"/>
      <c r="C682" s="28"/>
      <c r="D682" s="28" t="str">
        <f t="array" ref="D682">IF(B682="","",IFERROR(_xlfn.XLOOKUP(B682,'Lists &amp; Settings'!A:A,'Lists &amp; Settings'!E:E),""))</f>
        <v/>
      </c>
      <c r="E682" s="28"/>
      <c r="F682" s="28"/>
      <c r="G682" s="98"/>
      <c r="H682" s="98"/>
      <c r="I682" s="31"/>
      <c r="J682" s="54" t="s">
        <v>179</v>
      </c>
      <c r="K682" s="55" t="s">
        <v>179</v>
      </c>
      <c r="L682" s="56" t="s">
        <v>179</v>
      </c>
      <c r="M682" s="56" t="s">
        <v>179</v>
      </c>
      <c r="N682" s="28"/>
      <c r="O682" s="28"/>
      <c r="P682" s="52"/>
      <c r="Q682" s="52"/>
      <c r="R682" s="28"/>
      <c r="S682" s="28" t="str">
        <f t="array" ref="S682">IF(C682="","",IFERROR(_xlfn.XLOOKUP(C682,Volunteers!D:D,Volunteers!A:A),""))</f>
        <v/>
      </c>
      <c r="T682" s="28"/>
    </row>
    <row r="683">
      <c r="A683" s="57"/>
      <c r="B683" s="40"/>
      <c r="C683" s="40"/>
      <c r="D683" s="40" t="str">
        <f t="array" ref="D683">IF(B683="","",IFERROR(_xlfn.XLOOKUP(B683,'Lists &amp; Settings'!A:A,'Lists &amp; Settings'!E:E),""))</f>
        <v/>
      </c>
      <c r="E683" s="40"/>
      <c r="F683" s="40"/>
      <c r="G683" s="95"/>
      <c r="H683" s="95"/>
      <c r="I683" s="51"/>
      <c r="J683" s="54" t="s">
        <v>179</v>
      </c>
      <c r="K683" s="55" t="s">
        <v>179</v>
      </c>
      <c r="L683" s="56" t="s">
        <v>179</v>
      </c>
      <c r="M683" s="56" t="s">
        <v>179</v>
      </c>
      <c r="N683" s="40"/>
      <c r="O683" s="40"/>
      <c r="P683" s="57"/>
      <c r="Q683" s="57"/>
      <c r="R683" s="40"/>
      <c r="S683" s="40" t="str">
        <f t="array" ref="S683">IF(C683="","",IFERROR(_xlfn.XLOOKUP(C683,Volunteers!D:D,Volunteers!A:A),""))</f>
        <v/>
      </c>
      <c r="T683" s="40"/>
    </row>
    <row r="684">
      <c r="A684" s="52"/>
      <c r="B684" s="28"/>
      <c r="C684" s="28"/>
      <c r="D684" s="28" t="str">
        <f t="array" ref="D684">IF(B684="","",IFERROR(_xlfn.XLOOKUP(B684,'Lists &amp; Settings'!A:A,'Lists &amp; Settings'!E:E),""))</f>
        <v/>
      </c>
      <c r="E684" s="28"/>
      <c r="F684" s="28"/>
      <c r="G684" s="98"/>
      <c r="H684" s="98"/>
      <c r="I684" s="31"/>
      <c r="J684" s="54" t="s">
        <v>179</v>
      </c>
      <c r="K684" s="55" t="s">
        <v>179</v>
      </c>
      <c r="L684" s="56" t="s">
        <v>179</v>
      </c>
      <c r="M684" s="56" t="s">
        <v>179</v>
      </c>
      <c r="N684" s="28"/>
      <c r="O684" s="28"/>
      <c r="P684" s="52"/>
      <c r="Q684" s="52"/>
      <c r="R684" s="28"/>
      <c r="S684" s="28" t="str">
        <f t="array" ref="S684">IF(C684="","",IFERROR(_xlfn.XLOOKUP(C684,Volunteers!D:D,Volunteers!A:A),""))</f>
        <v/>
      </c>
      <c r="T684" s="28"/>
    </row>
    <row r="685">
      <c r="A685" s="57"/>
      <c r="B685" s="40"/>
      <c r="C685" s="40"/>
      <c r="D685" s="40" t="str">
        <f t="array" ref="D685">IF(B685="","",IFERROR(_xlfn.XLOOKUP(B685,'Lists &amp; Settings'!A:A,'Lists &amp; Settings'!E:E),""))</f>
        <v/>
      </c>
      <c r="E685" s="40"/>
      <c r="F685" s="40"/>
      <c r="G685" s="95"/>
      <c r="H685" s="95"/>
      <c r="I685" s="51"/>
      <c r="J685" s="54" t="s">
        <v>179</v>
      </c>
      <c r="K685" s="55" t="s">
        <v>179</v>
      </c>
      <c r="L685" s="56" t="s">
        <v>179</v>
      </c>
      <c r="M685" s="56" t="s">
        <v>179</v>
      </c>
      <c r="N685" s="40"/>
      <c r="O685" s="40"/>
      <c r="P685" s="57"/>
      <c r="Q685" s="57"/>
      <c r="R685" s="40"/>
      <c r="S685" s="40" t="str">
        <f t="array" ref="S685">IF(C685="","",IFERROR(_xlfn.XLOOKUP(C685,Volunteers!D:D,Volunteers!A:A),""))</f>
        <v/>
      </c>
      <c r="T685" s="40"/>
    </row>
    <row r="686">
      <c r="A686" s="52"/>
      <c r="B686" s="28"/>
      <c r="C686" s="28"/>
      <c r="D686" s="28" t="str">
        <f t="array" ref="D686">IF(B686="","",IFERROR(_xlfn.XLOOKUP(B686,'Lists &amp; Settings'!A:A,'Lists &amp; Settings'!E:E),""))</f>
        <v/>
      </c>
      <c r="E686" s="28"/>
      <c r="F686" s="28"/>
      <c r="G686" s="98"/>
      <c r="H686" s="98"/>
      <c r="I686" s="31"/>
      <c r="J686" s="54" t="s">
        <v>179</v>
      </c>
      <c r="K686" s="55" t="s">
        <v>179</v>
      </c>
      <c r="L686" s="56" t="s">
        <v>179</v>
      </c>
      <c r="M686" s="56" t="s">
        <v>179</v>
      </c>
      <c r="N686" s="28"/>
      <c r="O686" s="28"/>
      <c r="P686" s="52"/>
      <c r="Q686" s="52"/>
      <c r="R686" s="28"/>
      <c r="S686" s="28" t="str">
        <f t="array" ref="S686">IF(C686="","",IFERROR(_xlfn.XLOOKUP(C686,Volunteers!D:D,Volunteers!A:A),""))</f>
        <v/>
      </c>
      <c r="T686" s="28"/>
    </row>
    <row r="687">
      <c r="A687" s="57"/>
      <c r="B687" s="40"/>
      <c r="C687" s="40"/>
      <c r="D687" s="40" t="str">
        <f t="array" ref="D687">IF(B687="","",IFERROR(_xlfn.XLOOKUP(B687,'Lists &amp; Settings'!A:A,'Lists &amp; Settings'!E:E),""))</f>
        <v/>
      </c>
      <c r="E687" s="40"/>
      <c r="F687" s="40"/>
      <c r="G687" s="95"/>
      <c r="H687" s="95"/>
      <c r="I687" s="51"/>
      <c r="J687" s="54" t="s">
        <v>179</v>
      </c>
      <c r="K687" s="55" t="s">
        <v>179</v>
      </c>
      <c r="L687" s="56" t="s">
        <v>179</v>
      </c>
      <c r="M687" s="56" t="s">
        <v>179</v>
      </c>
      <c r="N687" s="40"/>
      <c r="O687" s="40"/>
      <c r="P687" s="57"/>
      <c r="Q687" s="57"/>
      <c r="R687" s="40"/>
      <c r="S687" s="40" t="str">
        <f t="array" ref="S687">IF(C687="","",IFERROR(_xlfn.XLOOKUP(C687,Volunteers!D:D,Volunteers!A:A),""))</f>
        <v/>
      </c>
      <c r="T687" s="40"/>
    </row>
    <row r="688">
      <c r="A688" s="52"/>
      <c r="B688" s="28"/>
      <c r="C688" s="28"/>
      <c r="D688" s="28" t="str">
        <f t="array" ref="D688">IF(B688="","",IFERROR(_xlfn.XLOOKUP(B688,'Lists &amp; Settings'!A:A,'Lists &amp; Settings'!E:E),""))</f>
        <v/>
      </c>
      <c r="E688" s="28"/>
      <c r="F688" s="28"/>
      <c r="G688" s="98"/>
      <c r="H688" s="98"/>
      <c r="I688" s="31"/>
      <c r="J688" s="54" t="s">
        <v>179</v>
      </c>
      <c r="K688" s="55" t="s">
        <v>179</v>
      </c>
      <c r="L688" s="56" t="s">
        <v>179</v>
      </c>
      <c r="M688" s="56" t="s">
        <v>179</v>
      </c>
      <c r="N688" s="28"/>
      <c r="O688" s="28"/>
      <c r="P688" s="52"/>
      <c r="Q688" s="52"/>
      <c r="R688" s="28"/>
      <c r="S688" s="28" t="str">
        <f t="array" ref="S688">IF(C688="","",IFERROR(_xlfn.XLOOKUP(C688,Volunteers!D:D,Volunteers!A:A),""))</f>
        <v/>
      </c>
      <c r="T688" s="28"/>
    </row>
    <row r="689">
      <c r="A689" s="57"/>
      <c r="B689" s="40"/>
      <c r="C689" s="40"/>
      <c r="D689" s="40" t="str">
        <f t="array" ref="D689">IF(B689="","",IFERROR(_xlfn.XLOOKUP(B689,'Lists &amp; Settings'!A:A,'Lists &amp; Settings'!E:E),""))</f>
        <v/>
      </c>
      <c r="E689" s="40"/>
      <c r="F689" s="40"/>
      <c r="G689" s="95"/>
      <c r="H689" s="95"/>
      <c r="I689" s="51"/>
      <c r="J689" s="54" t="s">
        <v>179</v>
      </c>
      <c r="K689" s="55" t="s">
        <v>179</v>
      </c>
      <c r="L689" s="56" t="s">
        <v>179</v>
      </c>
      <c r="M689" s="56" t="s">
        <v>179</v>
      </c>
      <c r="N689" s="40"/>
      <c r="O689" s="40"/>
      <c r="P689" s="57"/>
      <c r="Q689" s="57"/>
      <c r="R689" s="40"/>
      <c r="S689" s="40" t="str">
        <f t="array" ref="S689">IF(C689="","",IFERROR(_xlfn.XLOOKUP(C689,Volunteers!D:D,Volunteers!A:A),""))</f>
        <v/>
      </c>
      <c r="T689" s="40"/>
    </row>
    <row r="690">
      <c r="A690" s="52"/>
      <c r="B690" s="28"/>
      <c r="C690" s="28"/>
      <c r="D690" s="28" t="str">
        <f t="array" ref="D690">IF(B690="","",IFERROR(_xlfn.XLOOKUP(B690,'Lists &amp; Settings'!A:A,'Lists &amp; Settings'!E:E),""))</f>
        <v/>
      </c>
      <c r="E690" s="28"/>
      <c r="F690" s="28"/>
      <c r="G690" s="98"/>
      <c r="H690" s="98"/>
      <c r="I690" s="31"/>
      <c r="J690" s="54" t="s">
        <v>179</v>
      </c>
      <c r="K690" s="55" t="s">
        <v>179</v>
      </c>
      <c r="L690" s="56" t="s">
        <v>179</v>
      </c>
      <c r="M690" s="56" t="s">
        <v>179</v>
      </c>
      <c r="N690" s="28"/>
      <c r="O690" s="28"/>
      <c r="P690" s="52"/>
      <c r="Q690" s="52"/>
      <c r="R690" s="28"/>
      <c r="S690" s="28" t="str">
        <f t="array" ref="S690">IF(C690="","",IFERROR(_xlfn.XLOOKUP(C690,Volunteers!D:D,Volunteers!A:A),""))</f>
        <v/>
      </c>
      <c r="T690" s="28"/>
    </row>
    <row r="691">
      <c r="A691" s="57"/>
      <c r="B691" s="40"/>
      <c r="C691" s="40"/>
      <c r="D691" s="40" t="str">
        <f t="array" ref="D691">IF(B691="","",IFERROR(_xlfn.XLOOKUP(B691,'Lists &amp; Settings'!A:A,'Lists &amp; Settings'!E:E),""))</f>
        <v/>
      </c>
      <c r="E691" s="40"/>
      <c r="F691" s="40"/>
      <c r="G691" s="95"/>
      <c r="H691" s="95"/>
      <c r="I691" s="51"/>
      <c r="J691" s="54" t="s">
        <v>179</v>
      </c>
      <c r="K691" s="55" t="s">
        <v>179</v>
      </c>
      <c r="L691" s="56" t="s">
        <v>179</v>
      </c>
      <c r="M691" s="56" t="s">
        <v>179</v>
      </c>
      <c r="N691" s="40"/>
      <c r="O691" s="40"/>
      <c r="P691" s="57"/>
      <c r="Q691" s="57"/>
      <c r="R691" s="40"/>
      <c r="S691" s="40" t="str">
        <f t="array" ref="S691">IF(C691="","",IFERROR(_xlfn.XLOOKUP(C691,Volunteers!D:D,Volunteers!A:A),""))</f>
        <v/>
      </c>
      <c r="T691" s="40"/>
    </row>
    <row r="692">
      <c r="A692" s="52"/>
      <c r="B692" s="28"/>
      <c r="C692" s="28"/>
      <c r="D692" s="28" t="str">
        <f t="array" ref="D692">IF(B692="","",IFERROR(_xlfn.XLOOKUP(B692,'Lists &amp; Settings'!A:A,'Lists &amp; Settings'!E:E),""))</f>
        <v/>
      </c>
      <c r="E692" s="28"/>
      <c r="F692" s="28"/>
      <c r="G692" s="98"/>
      <c r="H692" s="98"/>
      <c r="I692" s="31"/>
      <c r="J692" s="54" t="s">
        <v>179</v>
      </c>
      <c r="K692" s="55" t="s">
        <v>179</v>
      </c>
      <c r="L692" s="56" t="s">
        <v>179</v>
      </c>
      <c r="M692" s="56" t="s">
        <v>179</v>
      </c>
      <c r="N692" s="28"/>
      <c r="O692" s="28"/>
      <c r="P692" s="52"/>
      <c r="Q692" s="52"/>
      <c r="R692" s="28"/>
      <c r="S692" s="28" t="str">
        <f t="array" ref="S692">IF(C692="","",IFERROR(_xlfn.XLOOKUP(C692,Volunteers!D:D,Volunteers!A:A),""))</f>
        <v/>
      </c>
      <c r="T692" s="28"/>
    </row>
    <row r="693">
      <c r="A693" s="57"/>
      <c r="B693" s="40"/>
      <c r="C693" s="40"/>
      <c r="D693" s="40" t="str">
        <f t="array" ref="D693">IF(B693="","",IFERROR(_xlfn.XLOOKUP(B693,'Lists &amp; Settings'!A:A,'Lists &amp; Settings'!E:E),""))</f>
        <v/>
      </c>
      <c r="E693" s="40"/>
      <c r="F693" s="40"/>
      <c r="G693" s="95"/>
      <c r="H693" s="95"/>
      <c r="I693" s="51"/>
      <c r="J693" s="54" t="s">
        <v>179</v>
      </c>
      <c r="K693" s="55" t="s">
        <v>179</v>
      </c>
      <c r="L693" s="56" t="s">
        <v>179</v>
      </c>
      <c r="M693" s="56" t="s">
        <v>179</v>
      </c>
      <c r="N693" s="40"/>
      <c r="O693" s="40"/>
      <c r="P693" s="57"/>
      <c r="Q693" s="57"/>
      <c r="R693" s="40"/>
      <c r="S693" s="40" t="str">
        <f t="array" ref="S693">IF(C693="","",IFERROR(_xlfn.XLOOKUP(C693,Volunteers!D:D,Volunteers!A:A),""))</f>
        <v/>
      </c>
      <c r="T693" s="40"/>
    </row>
    <row r="694">
      <c r="A694" s="52"/>
      <c r="B694" s="28"/>
      <c r="C694" s="28"/>
      <c r="D694" s="28" t="str">
        <f t="array" ref="D694">IF(B694="","",IFERROR(_xlfn.XLOOKUP(B694,'Lists &amp; Settings'!A:A,'Lists &amp; Settings'!E:E),""))</f>
        <v/>
      </c>
      <c r="E694" s="28"/>
      <c r="F694" s="28"/>
      <c r="G694" s="98"/>
      <c r="H694" s="98"/>
      <c r="I694" s="31"/>
      <c r="J694" s="54" t="s">
        <v>179</v>
      </c>
      <c r="K694" s="55" t="s">
        <v>179</v>
      </c>
      <c r="L694" s="56" t="s">
        <v>179</v>
      </c>
      <c r="M694" s="56" t="s">
        <v>179</v>
      </c>
      <c r="N694" s="28"/>
      <c r="O694" s="28"/>
      <c r="P694" s="52"/>
      <c r="Q694" s="52"/>
      <c r="R694" s="28"/>
      <c r="S694" s="28" t="str">
        <f t="array" ref="S694">IF(C694="","",IFERROR(_xlfn.XLOOKUP(C694,Volunteers!D:D,Volunteers!A:A),""))</f>
        <v/>
      </c>
      <c r="T694" s="28"/>
    </row>
    <row r="695">
      <c r="A695" s="57"/>
      <c r="B695" s="40"/>
      <c r="C695" s="40"/>
      <c r="D695" s="40" t="str">
        <f t="array" ref="D695">IF(B695="","",IFERROR(_xlfn.XLOOKUP(B695,'Lists &amp; Settings'!A:A,'Lists &amp; Settings'!E:E),""))</f>
        <v/>
      </c>
      <c r="E695" s="40"/>
      <c r="F695" s="40"/>
      <c r="G695" s="95"/>
      <c r="H695" s="95"/>
      <c r="I695" s="51"/>
      <c r="J695" s="54" t="s">
        <v>179</v>
      </c>
      <c r="K695" s="55" t="s">
        <v>179</v>
      </c>
      <c r="L695" s="56" t="s">
        <v>179</v>
      </c>
      <c r="M695" s="56" t="s">
        <v>179</v>
      </c>
      <c r="N695" s="40"/>
      <c r="O695" s="40"/>
      <c r="P695" s="57"/>
      <c r="Q695" s="57"/>
      <c r="R695" s="40"/>
      <c r="S695" s="40" t="str">
        <f t="array" ref="S695">IF(C695="","",IFERROR(_xlfn.XLOOKUP(C695,Volunteers!D:D,Volunteers!A:A),""))</f>
        <v/>
      </c>
      <c r="T695" s="40"/>
    </row>
    <row r="696">
      <c r="A696" s="52"/>
      <c r="B696" s="28"/>
      <c r="C696" s="28"/>
      <c r="D696" s="28" t="str">
        <f t="array" ref="D696">IF(B696="","",IFERROR(_xlfn.XLOOKUP(B696,'Lists &amp; Settings'!A:A,'Lists &amp; Settings'!E:E),""))</f>
        <v/>
      </c>
      <c r="E696" s="28"/>
      <c r="F696" s="28"/>
      <c r="G696" s="98"/>
      <c r="H696" s="98"/>
      <c r="I696" s="31"/>
      <c r="J696" s="54" t="s">
        <v>179</v>
      </c>
      <c r="K696" s="55" t="s">
        <v>179</v>
      </c>
      <c r="L696" s="56" t="s">
        <v>179</v>
      </c>
      <c r="M696" s="56" t="s">
        <v>179</v>
      </c>
      <c r="N696" s="28"/>
      <c r="O696" s="28"/>
      <c r="P696" s="52"/>
      <c r="Q696" s="52"/>
      <c r="R696" s="28"/>
      <c r="S696" s="28" t="str">
        <f t="array" ref="S696">IF(C696="","",IFERROR(_xlfn.XLOOKUP(C696,Volunteers!D:D,Volunteers!A:A),""))</f>
        <v/>
      </c>
      <c r="T696" s="28"/>
    </row>
    <row r="697">
      <c r="A697" s="57"/>
      <c r="B697" s="40"/>
      <c r="C697" s="40"/>
      <c r="D697" s="40" t="str">
        <f t="array" ref="D697">IF(B697="","",IFERROR(_xlfn.XLOOKUP(B697,'Lists &amp; Settings'!A:A,'Lists &amp; Settings'!E:E),""))</f>
        <v/>
      </c>
      <c r="E697" s="40"/>
      <c r="F697" s="40"/>
      <c r="G697" s="95"/>
      <c r="H697" s="95"/>
      <c r="I697" s="51"/>
      <c r="J697" s="54" t="s">
        <v>179</v>
      </c>
      <c r="K697" s="55" t="s">
        <v>179</v>
      </c>
      <c r="L697" s="56" t="s">
        <v>179</v>
      </c>
      <c r="M697" s="56" t="s">
        <v>179</v>
      </c>
      <c r="N697" s="40"/>
      <c r="O697" s="40"/>
      <c r="P697" s="57"/>
      <c r="Q697" s="57"/>
      <c r="R697" s="40"/>
      <c r="S697" s="40" t="str">
        <f t="array" ref="S697">IF(C697="","",IFERROR(_xlfn.XLOOKUP(C697,Volunteers!D:D,Volunteers!A:A),""))</f>
        <v/>
      </c>
      <c r="T697" s="40"/>
    </row>
    <row r="698">
      <c r="A698" s="52"/>
      <c r="B698" s="28"/>
      <c r="C698" s="28"/>
      <c r="D698" s="28" t="str">
        <f t="array" ref="D698">IF(B698="","",IFERROR(_xlfn.XLOOKUP(B698,'Lists &amp; Settings'!A:A,'Lists &amp; Settings'!E:E),""))</f>
        <v/>
      </c>
      <c r="E698" s="28"/>
      <c r="F698" s="28"/>
      <c r="G698" s="98"/>
      <c r="H698" s="98"/>
      <c r="I698" s="31"/>
      <c r="J698" s="54" t="s">
        <v>179</v>
      </c>
      <c r="K698" s="55" t="s">
        <v>179</v>
      </c>
      <c r="L698" s="56" t="s">
        <v>179</v>
      </c>
      <c r="M698" s="56" t="s">
        <v>179</v>
      </c>
      <c r="N698" s="28"/>
      <c r="O698" s="28"/>
      <c r="P698" s="52"/>
      <c r="Q698" s="52"/>
      <c r="R698" s="28"/>
      <c r="S698" s="28" t="str">
        <f t="array" ref="S698">IF(C698="","",IFERROR(_xlfn.XLOOKUP(C698,Volunteers!D:D,Volunteers!A:A),""))</f>
        <v/>
      </c>
      <c r="T698" s="28"/>
    </row>
    <row r="699">
      <c r="A699" s="57"/>
      <c r="B699" s="40"/>
      <c r="C699" s="40"/>
      <c r="D699" s="40" t="str">
        <f t="array" ref="D699">IF(B699="","",IFERROR(_xlfn.XLOOKUP(B699,'Lists &amp; Settings'!A:A,'Lists &amp; Settings'!E:E),""))</f>
        <v/>
      </c>
      <c r="E699" s="40"/>
      <c r="F699" s="40"/>
      <c r="G699" s="95"/>
      <c r="H699" s="95"/>
      <c r="I699" s="51"/>
      <c r="J699" s="54" t="s">
        <v>179</v>
      </c>
      <c r="K699" s="55" t="s">
        <v>179</v>
      </c>
      <c r="L699" s="56" t="s">
        <v>179</v>
      </c>
      <c r="M699" s="56" t="s">
        <v>179</v>
      </c>
      <c r="N699" s="40"/>
      <c r="O699" s="40"/>
      <c r="P699" s="57"/>
      <c r="Q699" s="57"/>
      <c r="R699" s="40"/>
      <c r="S699" s="40" t="str">
        <f t="array" ref="S699">IF(C699="","",IFERROR(_xlfn.XLOOKUP(C699,Volunteers!D:D,Volunteers!A:A),""))</f>
        <v/>
      </c>
      <c r="T699" s="40"/>
    </row>
    <row r="700">
      <c r="A700" s="52"/>
      <c r="B700" s="28"/>
      <c r="C700" s="28"/>
      <c r="D700" s="28" t="str">
        <f t="array" ref="D700">IF(B700="","",IFERROR(_xlfn.XLOOKUP(B700,'Lists &amp; Settings'!A:A,'Lists &amp; Settings'!E:E),""))</f>
        <v/>
      </c>
      <c r="E700" s="28"/>
      <c r="F700" s="28"/>
      <c r="G700" s="98"/>
      <c r="H700" s="98"/>
      <c r="I700" s="31"/>
      <c r="J700" s="54" t="s">
        <v>179</v>
      </c>
      <c r="K700" s="55" t="s">
        <v>179</v>
      </c>
      <c r="L700" s="56" t="s">
        <v>179</v>
      </c>
      <c r="M700" s="56" t="s">
        <v>179</v>
      </c>
      <c r="N700" s="28"/>
      <c r="O700" s="28"/>
      <c r="P700" s="52"/>
      <c r="Q700" s="52"/>
      <c r="R700" s="28"/>
      <c r="S700" s="28" t="str">
        <f t="array" ref="S700">IF(C700="","",IFERROR(_xlfn.XLOOKUP(C700,Volunteers!D:D,Volunteers!A:A),""))</f>
        <v/>
      </c>
      <c r="T700" s="28"/>
    </row>
    <row r="701">
      <c r="A701" s="57"/>
      <c r="B701" s="40"/>
      <c r="C701" s="40"/>
      <c r="D701" s="40" t="str">
        <f t="array" ref="D701">IF(B701="","",IFERROR(_xlfn.XLOOKUP(B701,'Lists &amp; Settings'!A:A,'Lists &amp; Settings'!E:E),""))</f>
        <v/>
      </c>
      <c r="E701" s="40"/>
      <c r="F701" s="40"/>
      <c r="G701" s="95"/>
      <c r="H701" s="95"/>
      <c r="I701" s="51"/>
      <c r="J701" s="54" t="s">
        <v>179</v>
      </c>
      <c r="K701" s="55" t="s">
        <v>179</v>
      </c>
      <c r="L701" s="56" t="s">
        <v>179</v>
      </c>
      <c r="M701" s="56" t="s">
        <v>179</v>
      </c>
      <c r="N701" s="40"/>
      <c r="O701" s="40"/>
      <c r="P701" s="57"/>
      <c r="Q701" s="57"/>
      <c r="R701" s="40"/>
      <c r="S701" s="40" t="str">
        <f t="array" ref="S701">IF(C701="","",IFERROR(_xlfn.XLOOKUP(C701,Volunteers!D:D,Volunteers!A:A),""))</f>
        <v/>
      </c>
      <c r="T701" s="40"/>
    </row>
    <row r="702">
      <c r="A702" s="52"/>
      <c r="B702" s="28"/>
      <c r="C702" s="28"/>
      <c r="D702" s="28" t="str">
        <f t="array" ref="D702">IF(B702="","",IFERROR(_xlfn.XLOOKUP(B702,'Lists &amp; Settings'!A:A,'Lists &amp; Settings'!E:E),""))</f>
        <v/>
      </c>
      <c r="E702" s="28"/>
      <c r="F702" s="28"/>
      <c r="G702" s="98"/>
      <c r="H702" s="98"/>
      <c r="I702" s="31"/>
      <c r="J702" s="54" t="s">
        <v>179</v>
      </c>
      <c r="K702" s="55" t="s">
        <v>179</v>
      </c>
      <c r="L702" s="56" t="s">
        <v>179</v>
      </c>
      <c r="M702" s="56" t="s">
        <v>179</v>
      </c>
      <c r="N702" s="28"/>
      <c r="O702" s="28"/>
      <c r="P702" s="52"/>
      <c r="Q702" s="52"/>
      <c r="R702" s="28"/>
      <c r="S702" s="28" t="str">
        <f t="array" ref="S702">IF(C702="","",IFERROR(_xlfn.XLOOKUP(C702,Volunteers!D:D,Volunteers!A:A),""))</f>
        <v/>
      </c>
      <c r="T702" s="28"/>
    </row>
    <row r="703">
      <c r="A703" s="57"/>
      <c r="B703" s="40"/>
      <c r="C703" s="40"/>
      <c r="D703" s="40" t="str">
        <f t="array" ref="D703">IF(B703="","",IFERROR(_xlfn.XLOOKUP(B703,'Lists &amp; Settings'!A:A,'Lists &amp; Settings'!E:E),""))</f>
        <v/>
      </c>
      <c r="E703" s="40"/>
      <c r="F703" s="40"/>
      <c r="G703" s="95"/>
      <c r="H703" s="95"/>
      <c r="I703" s="51"/>
      <c r="J703" s="54" t="s">
        <v>179</v>
      </c>
      <c r="K703" s="55" t="s">
        <v>179</v>
      </c>
      <c r="L703" s="56" t="s">
        <v>179</v>
      </c>
      <c r="M703" s="56" t="s">
        <v>179</v>
      </c>
      <c r="N703" s="40"/>
      <c r="O703" s="40"/>
      <c r="P703" s="57"/>
      <c r="Q703" s="57"/>
      <c r="R703" s="40"/>
      <c r="S703" s="40" t="str">
        <f t="array" ref="S703">IF(C703="","",IFERROR(_xlfn.XLOOKUP(C703,Volunteers!D:D,Volunteers!A:A),""))</f>
        <v/>
      </c>
      <c r="T703" s="40"/>
    </row>
    <row r="704">
      <c r="A704" s="52"/>
      <c r="B704" s="28"/>
      <c r="C704" s="28"/>
      <c r="D704" s="28" t="str">
        <f t="array" ref="D704">IF(B704="","",IFERROR(_xlfn.XLOOKUP(B704,'Lists &amp; Settings'!A:A,'Lists &amp; Settings'!E:E),""))</f>
        <v/>
      </c>
      <c r="E704" s="28"/>
      <c r="F704" s="28"/>
      <c r="G704" s="98"/>
      <c r="H704" s="98"/>
      <c r="I704" s="31"/>
      <c r="J704" s="54" t="s">
        <v>179</v>
      </c>
      <c r="K704" s="55" t="s">
        <v>179</v>
      </c>
      <c r="L704" s="56" t="s">
        <v>179</v>
      </c>
      <c r="M704" s="56" t="s">
        <v>179</v>
      </c>
      <c r="N704" s="28"/>
      <c r="O704" s="28"/>
      <c r="P704" s="52"/>
      <c r="Q704" s="52"/>
      <c r="R704" s="28"/>
      <c r="S704" s="28" t="str">
        <f t="array" ref="S704">IF(C704="","",IFERROR(_xlfn.XLOOKUP(C704,Volunteers!D:D,Volunteers!A:A),""))</f>
        <v/>
      </c>
      <c r="T704" s="28"/>
    </row>
    <row r="705">
      <c r="A705" s="57"/>
      <c r="B705" s="40"/>
      <c r="C705" s="40"/>
      <c r="D705" s="40" t="str">
        <f t="array" ref="D705">IF(B705="","",IFERROR(_xlfn.XLOOKUP(B705,'Lists &amp; Settings'!A:A,'Lists &amp; Settings'!E:E),""))</f>
        <v/>
      </c>
      <c r="E705" s="40"/>
      <c r="F705" s="40"/>
      <c r="G705" s="95"/>
      <c r="H705" s="95"/>
      <c r="I705" s="51"/>
      <c r="J705" s="54" t="s">
        <v>179</v>
      </c>
      <c r="K705" s="55" t="s">
        <v>179</v>
      </c>
      <c r="L705" s="56" t="s">
        <v>179</v>
      </c>
      <c r="M705" s="56" t="s">
        <v>179</v>
      </c>
      <c r="N705" s="40"/>
      <c r="O705" s="40"/>
      <c r="P705" s="57"/>
      <c r="Q705" s="57"/>
      <c r="R705" s="40"/>
      <c r="S705" s="40" t="str">
        <f t="array" ref="S705">IF(C705="","",IFERROR(_xlfn.XLOOKUP(C705,Volunteers!D:D,Volunteers!A:A),""))</f>
        <v/>
      </c>
      <c r="T705" s="40"/>
    </row>
    <row r="706">
      <c r="A706" s="52"/>
      <c r="B706" s="28"/>
      <c r="C706" s="28"/>
      <c r="D706" s="28" t="str">
        <f t="array" ref="D706">IF(B706="","",IFERROR(_xlfn.XLOOKUP(B706,'Lists &amp; Settings'!A:A,'Lists &amp; Settings'!E:E),""))</f>
        <v/>
      </c>
      <c r="E706" s="28"/>
      <c r="F706" s="28"/>
      <c r="G706" s="98"/>
      <c r="H706" s="98"/>
      <c r="I706" s="31"/>
      <c r="J706" s="54" t="s">
        <v>179</v>
      </c>
      <c r="K706" s="55" t="s">
        <v>179</v>
      </c>
      <c r="L706" s="56" t="s">
        <v>179</v>
      </c>
      <c r="M706" s="56" t="s">
        <v>179</v>
      </c>
      <c r="N706" s="28"/>
      <c r="O706" s="28"/>
      <c r="P706" s="52"/>
      <c r="Q706" s="52"/>
      <c r="R706" s="28"/>
      <c r="S706" s="28" t="str">
        <f t="array" ref="S706">IF(C706="","",IFERROR(_xlfn.XLOOKUP(C706,Volunteers!D:D,Volunteers!A:A),""))</f>
        <v/>
      </c>
      <c r="T706" s="28"/>
    </row>
    <row r="707">
      <c r="A707" s="57"/>
      <c r="B707" s="40"/>
      <c r="C707" s="40"/>
      <c r="D707" s="40" t="str">
        <f t="array" ref="D707">IF(B707="","",IFERROR(_xlfn.XLOOKUP(B707,'Lists &amp; Settings'!A:A,'Lists &amp; Settings'!E:E),""))</f>
        <v/>
      </c>
      <c r="E707" s="40"/>
      <c r="F707" s="40"/>
      <c r="G707" s="95"/>
      <c r="H707" s="95"/>
      <c r="I707" s="51"/>
      <c r="J707" s="54" t="s">
        <v>179</v>
      </c>
      <c r="K707" s="55" t="s">
        <v>179</v>
      </c>
      <c r="L707" s="56" t="s">
        <v>179</v>
      </c>
      <c r="M707" s="56" t="s">
        <v>179</v>
      </c>
      <c r="N707" s="40"/>
      <c r="O707" s="40"/>
      <c r="P707" s="57"/>
      <c r="Q707" s="57"/>
      <c r="R707" s="40"/>
      <c r="S707" s="40" t="str">
        <f t="array" ref="S707">IF(C707="","",IFERROR(_xlfn.XLOOKUP(C707,Volunteers!D:D,Volunteers!A:A),""))</f>
        <v/>
      </c>
      <c r="T707" s="40"/>
    </row>
    <row r="708">
      <c r="A708" s="52"/>
      <c r="B708" s="28"/>
      <c r="C708" s="28"/>
      <c r="D708" s="28" t="str">
        <f t="array" ref="D708">IF(B708="","",IFERROR(_xlfn.XLOOKUP(B708,'Lists &amp; Settings'!A:A,'Lists &amp; Settings'!E:E),""))</f>
        <v/>
      </c>
      <c r="E708" s="28"/>
      <c r="F708" s="28"/>
      <c r="G708" s="98"/>
      <c r="H708" s="98"/>
      <c r="I708" s="31"/>
      <c r="J708" s="54" t="s">
        <v>179</v>
      </c>
      <c r="K708" s="55" t="s">
        <v>179</v>
      </c>
      <c r="L708" s="56" t="s">
        <v>179</v>
      </c>
      <c r="M708" s="56" t="s">
        <v>179</v>
      </c>
      <c r="N708" s="28"/>
      <c r="O708" s="28"/>
      <c r="P708" s="52"/>
      <c r="Q708" s="52"/>
      <c r="R708" s="28"/>
      <c r="S708" s="28" t="str">
        <f t="array" ref="S708">IF(C708="","",IFERROR(_xlfn.XLOOKUP(C708,Volunteers!D:D,Volunteers!A:A),""))</f>
        <v/>
      </c>
      <c r="T708" s="28"/>
    </row>
    <row r="709">
      <c r="A709" s="57"/>
      <c r="B709" s="40"/>
      <c r="C709" s="40"/>
      <c r="D709" s="40" t="str">
        <f t="array" ref="D709">IF(B709="","",IFERROR(_xlfn.XLOOKUP(B709,'Lists &amp; Settings'!A:A,'Lists &amp; Settings'!E:E),""))</f>
        <v/>
      </c>
      <c r="E709" s="40"/>
      <c r="F709" s="40"/>
      <c r="G709" s="95"/>
      <c r="H709" s="95"/>
      <c r="I709" s="51"/>
      <c r="J709" s="54" t="s">
        <v>179</v>
      </c>
      <c r="K709" s="55" t="s">
        <v>179</v>
      </c>
      <c r="L709" s="56" t="s">
        <v>179</v>
      </c>
      <c r="M709" s="56" t="s">
        <v>179</v>
      </c>
      <c r="N709" s="40"/>
      <c r="O709" s="40"/>
      <c r="P709" s="57"/>
      <c r="Q709" s="57"/>
      <c r="R709" s="40"/>
      <c r="S709" s="40" t="str">
        <f t="array" ref="S709">IF(C709="","",IFERROR(_xlfn.XLOOKUP(C709,Volunteers!D:D,Volunteers!A:A),""))</f>
        <v/>
      </c>
      <c r="T709" s="40"/>
    </row>
    <row r="710">
      <c r="A710" s="52"/>
      <c r="B710" s="28"/>
      <c r="C710" s="28"/>
      <c r="D710" s="28" t="str">
        <f t="array" ref="D710">IF(B710="","",IFERROR(_xlfn.XLOOKUP(B710,'Lists &amp; Settings'!A:A,'Lists &amp; Settings'!E:E),""))</f>
        <v/>
      </c>
      <c r="E710" s="28"/>
      <c r="F710" s="28"/>
      <c r="G710" s="98"/>
      <c r="H710" s="98"/>
      <c r="I710" s="31"/>
      <c r="J710" s="54" t="s">
        <v>179</v>
      </c>
      <c r="K710" s="55" t="s">
        <v>179</v>
      </c>
      <c r="L710" s="56" t="s">
        <v>179</v>
      </c>
      <c r="M710" s="56" t="s">
        <v>179</v>
      </c>
      <c r="N710" s="28"/>
      <c r="O710" s="28"/>
      <c r="P710" s="52"/>
      <c r="Q710" s="52"/>
      <c r="R710" s="28"/>
      <c r="S710" s="28" t="str">
        <f t="array" ref="S710">IF(C710="","",IFERROR(_xlfn.XLOOKUP(C710,Volunteers!D:D,Volunteers!A:A),""))</f>
        <v/>
      </c>
      <c r="T710" s="28"/>
    </row>
    <row r="711">
      <c r="A711" s="57"/>
      <c r="B711" s="40"/>
      <c r="C711" s="40"/>
      <c r="D711" s="40" t="str">
        <f t="array" ref="D711">IF(B711="","",IFERROR(_xlfn.XLOOKUP(B711,'Lists &amp; Settings'!A:A,'Lists &amp; Settings'!E:E),""))</f>
        <v/>
      </c>
      <c r="E711" s="40"/>
      <c r="F711" s="40"/>
      <c r="G711" s="95"/>
      <c r="H711" s="95"/>
      <c r="I711" s="51"/>
      <c r="J711" s="54" t="s">
        <v>179</v>
      </c>
      <c r="K711" s="55" t="s">
        <v>179</v>
      </c>
      <c r="L711" s="56" t="s">
        <v>179</v>
      </c>
      <c r="M711" s="56" t="s">
        <v>179</v>
      </c>
      <c r="N711" s="40"/>
      <c r="O711" s="40"/>
      <c r="P711" s="57"/>
      <c r="Q711" s="57"/>
      <c r="R711" s="40"/>
      <c r="S711" s="40" t="str">
        <f t="array" ref="S711">IF(C711="","",IFERROR(_xlfn.XLOOKUP(C711,Volunteers!D:D,Volunteers!A:A),""))</f>
        <v/>
      </c>
      <c r="T711" s="40"/>
    </row>
    <row r="712">
      <c r="A712" s="52"/>
      <c r="B712" s="28"/>
      <c r="C712" s="28"/>
      <c r="D712" s="28" t="str">
        <f t="array" ref="D712">IF(B712="","",IFERROR(_xlfn.XLOOKUP(B712,'Lists &amp; Settings'!A:A,'Lists &amp; Settings'!E:E),""))</f>
        <v/>
      </c>
      <c r="E712" s="28"/>
      <c r="F712" s="28"/>
      <c r="G712" s="98"/>
      <c r="H712" s="98"/>
      <c r="I712" s="31"/>
      <c r="J712" s="54" t="s">
        <v>179</v>
      </c>
      <c r="K712" s="55" t="s">
        <v>179</v>
      </c>
      <c r="L712" s="56" t="s">
        <v>179</v>
      </c>
      <c r="M712" s="56" t="s">
        <v>179</v>
      </c>
      <c r="N712" s="28"/>
      <c r="O712" s="28"/>
      <c r="P712" s="52"/>
      <c r="Q712" s="52"/>
      <c r="R712" s="28"/>
      <c r="S712" s="28" t="str">
        <f t="array" ref="S712">IF(C712="","",IFERROR(_xlfn.XLOOKUP(C712,Volunteers!D:D,Volunteers!A:A),""))</f>
        <v/>
      </c>
      <c r="T712" s="28"/>
    </row>
    <row r="713">
      <c r="A713" s="57"/>
      <c r="B713" s="40"/>
      <c r="C713" s="40"/>
      <c r="D713" s="40" t="str">
        <f t="array" ref="D713">IF(B713="","",IFERROR(_xlfn.XLOOKUP(B713,'Lists &amp; Settings'!A:A,'Lists &amp; Settings'!E:E),""))</f>
        <v/>
      </c>
      <c r="E713" s="40"/>
      <c r="F713" s="40"/>
      <c r="G713" s="95"/>
      <c r="H713" s="95"/>
      <c r="I713" s="51"/>
      <c r="J713" s="54" t="s">
        <v>179</v>
      </c>
      <c r="K713" s="55" t="s">
        <v>179</v>
      </c>
      <c r="L713" s="56" t="s">
        <v>179</v>
      </c>
      <c r="M713" s="56" t="s">
        <v>179</v>
      </c>
      <c r="N713" s="40"/>
      <c r="O713" s="40"/>
      <c r="P713" s="57"/>
      <c r="Q713" s="57"/>
      <c r="R713" s="40"/>
      <c r="S713" s="40" t="str">
        <f t="array" ref="S713">IF(C713="","",IFERROR(_xlfn.XLOOKUP(C713,Volunteers!D:D,Volunteers!A:A),""))</f>
        <v/>
      </c>
      <c r="T713" s="40"/>
    </row>
    <row r="714">
      <c r="A714" s="52"/>
      <c r="B714" s="28"/>
      <c r="C714" s="28"/>
      <c r="D714" s="28" t="str">
        <f t="array" ref="D714">IF(B714="","",IFERROR(_xlfn.XLOOKUP(B714,'Lists &amp; Settings'!A:A,'Lists &amp; Settings'!E:E),""))</f>
        <v/>
      </c>
      <c r="E714" s="28"/>
      <c r="F714" s="28"/>
      <c r="G714" s="98"/>
      <c r="H714" s="98"/>
      <c r="I714" s="31"/>
      <c r="J714" s="54" t="s">
        <v>179</v>
      </c>
      <c r="K714" s="55" t="s">
        <v>179</v>
      </c>
      <c r="L714" s="56" t="s">
        <v>179</v>
      </c>
      <c r="M714" s="56" t="s">
        <v>179</v>
      </c>
      <c r="N714" s="28"/>
      <c r="O714" s="28"/>
      <c r="P714" s="52"/>
      <c r="Q714" s="52"/>
      <c r="R714" s="28"/>
      <c r="S714" s="28" t="str">
        <f t="array" ref="S714">IF(C714="","",IFERROR(_xlfn.XLOOKUP(C714,Volunteers!D:D,Volunteers!A:A),""))</f>
        <v/>
      </c>
      <c r="T714" s="28"/>
    </row>
    <row r="715">
      <c r="A715" s="57"/>
      <c r="B715" s="40"/>
      <c r="C715" s="40"/>
      <c r="D715" s="40" t="str">
        <f t="array" ref="D715">IF(B715="","",IFERROR(_xlfn.XLOOKUP(B715,'Lists &amp; Settings'!A:A,'Lists &amp; Settings'!E:E),""))</f>
        <v/>
      </c>
      <c r="E715" s="40"/>
      <c r="F715" s="40"/>
      <c r="G715" s="95"/>
      <c r="H715" s="95"/>
      <c r="I715" s="51"/>
      <c r="J715" s="54" t="s">
        <v>179</v>
      </c>
      <c r="K715" s="55" t="s">
        <v>179</v>
      </c>
      <c r="L715" s="56" t="s">
        <v>179</v>
      </c>
      <c r="M715" s="56" t="s">
        <v>179</v>
      </c>
      <c r="N715" s="40"/>
      <c r="O715" s="40"/>
      <c r="P715" s="57"/>
      <c r="Q715" s="57"/>
      <c r="R715" s="40"/>
      <c r="S715" s="40" t="str">
        <f t="array" ref="S715">IF(C715="","",IFERROR(_xlfn.XLOOKUP(C715,Volunteers!D:D,Volunteers!A:A),""))</f>
        <v/>
      </c>
      <c r="T715" s="40"/>
    </row>
    <row r="716">
      <c r="A716" s="52"/>
      <c r="B716" s="28"/>
      <c r="C716" s="28"/>
      <c r="D716" s="28" t="str">
        <f t="array" ref="D716">IF(B716="","",IFERROR(_xlfn.XLOOKUP(B716,'Lists &amp; Settings'!A:A,'Lists &amp; Settings'!E:E),""))</f>
        <v/>
      </c>
      <c r="E716" s="28"/>
      <c r="F716" s="28"/>
      <c r="G716" s="98"/>
      <c r="H716" s="98"/>
      <c r="I716" s="31"/>
      <c r="J716" s="54" t="s">
        <v>179</v>
      </c>
      <c r="K716" s="55" t="s">
        <v>179</v>
      </c>
      <c r="L716" s="56" t="s">
        <v>179</v>
      </c>
      <c r="M716" s="56" t="s">
        <v>179</v>
      </c>
      <c r="N716" s="28"/>
      <c r="O716" s="28"/>
      <c r="P716" s="52"/>
      <c r="Q716" s="52"/>
      <c r="R716" s="28"/>
      <c r="S716" s="28" t="str">
        <f t="array" ref="S716">IF(C716="","",IFERROR(_xlfn.XLOOKUP(C716,Volunteers!D:D,Volunteers!A:A),""))</f>
        <v/>
      </c>
      <c r="T716" s="28"/>
    </row>
    <row r="717">
      <c r="A717" s="57"/>
      <c r="B717" s="40"/>
      <c r="C717" s="40"/>
      <c r="D717" s="40" t="str">
        <f t="array" ref="D717">IF(B717="","",IFERROR(_xlfn.XLOOKUP(B717,'Lists &amp; Settings'!A:A,'Lists &amp; Settings'!E:E),""))</f>
        <v/>
      </c>
      <c r="E717" s="40"/>
      <c r="F717" s="40"/>
      <c r="G717" s="95"/>
      <c r="H717" s="95"/>
      <c r="I717" s="51"/>
      <c r="J717" s="54" t="s">
        <v>179</v>
      </c>
      <c r="K717" s="55" t="s">
        <v>179</v>
      </c>
      <c r="L717" s="56" t="s">
        <v>179</v>
      </c>
      <c r="M717" s="56" t="s">
        <v>179</v>
      </c>
      <c r="N717" s="40"/>
      <c r="O717" s="40"/>
      <c r="P717" s="57"/>
      <c r="Q717" s="57"/>
      <c r="R717" s="40"/>
      <c r="S717" s="40" t="str">
        <f t="array" ref="S717">IF(C717="","",IFERROR(_xlfn.XLOOKUP(C717,Volunteers!D:D,Volunteers!A:A),""))</f>
        <v/>
      </c>
      <c r="T717" s="40"/>
    </row>
    <row r="718">
      <c r="A718" s="52"/>
      <c r="B718" s="28"/>
      <c r="C718" s="28"/>
      <c r="D718" s="28" t="str">
        <f t="array" ref="D718">IF(B718="","",IFERROR(_xlfn.XLOOKUP(B718,'Lists &amp; Settings'!A:A,'Lists &amp; Settings'!E:E),""))</f>
        <v/>
      </c>
      <c r="E718" s="28"/>
      <c r="F718" s="28"/>
      <c r="G718" s="98"/>
      <c r="H718" s="98"/>
      <c r="I718" s="31"/>
      <c r="J718" s="54" t="s">
        <v>179</v>
      </c>
      <c r="K718" s="55" t="s">
        <v>179</v>
      </c>
      <c r="L718" s="56" t="s">
        <v>179</v>
      </c>
      <c r="M718" s="56" t="s">
        <v>179</v>
      </c>
      <c r="N718" s="28"/>
      <c r="O718" s="28"/>
      <c r="P718" s="52"/>
      <c r="Q718" s="52"/>
      <c r="R718" s="28"/>
      <c r="S718" s="28" t="str">
        <f t="array" ref="S718">IF(C718="","",IFERROR(_xlfn.XLOOKUP(C718,Volunteers!D:D,Volunteers!A:A),""))</f>
        <v/>
      </c>
      <c r="T718" s="28"/>
    </row>
    <row r="719">
      <c r="A719" s="57"/>
      <c r="B719" s="40"/>
      <c r="C719" s="40"/>
      <c r="D719" s="40" t="str">
        <f t="array" ref="D719">IF(B719="","",IFERROR(_xlfn.XLOOKUP(B719,'Lists &amp; Settings'!A:A,'Lists &amp; Settings'!E:E),""))</f>
        <v/>
      </c>
      <c r="E719" s="40"/>
      <c r="F719" s="40"/>
      <c r="G719" s="95"/>
      <c r="H719" s="95"/>
      <c r="I719" s="51"/>
      <c r="J719" s="54" t="s">
        <v>179</v>
      </c>
      <c r="K719" s="55" t="s">
        <v>179</v>
      </c>
      <c r="L719" s="56" t="s">
        <v>179</v>
      </c>
      <c r="M719" s="56" t="s">
        <v>179</v>
      </c>
      <c r="N719" s="40"/>
      <c r="O719" s="40"/>
      <c r="P719" s="57"/>
      <c r="Q719" s="57"/>
      <c r="R719" s="40"/>
      <c r="S719" s="40" t="str">
        <f t="array" ref="S719">IF(C719="","",IFERROR(_xlfn.XLOOKUP(C719,Volunteers!D:D,Volunteers!A:A),""))</f>
        <v/>
      </c>
      <c r="T719" s="40"/>
    </row>
    <row r="720">
      <c r="A720" s="52"/>
      <c r="B720" s="28"/>
      <c r="C720" s="28"/>
      <c r="D720" s="28" t="str">
        <f t="array" ref="D720">IF(B720="","",IFERROR(_xlfn.XLOOKUP(B720,'Lists &amp; Settings'!A:A,'Lists &amp; Settings'!E:E),""))</f>
        <v/>
      </c>
      <c r="E720" s="28"/>
      <c r="F720" s="28"/>
      <c r="G720" s="98"/>
      <c r="H720" s="98"/>
      <c r="I720" s="31"/>
      <c r="J720" s="54" t="s">
        <v>179</v>
      </c>
      <c r="K720" s="55" t="s">
        <v>179</v>
      </c>
      <c r="L720" s="56" t="s">
        <v>179</v>
      </c>
      <c r="M720" s="56" t="s">
        <v>179</v>
      </c>
      <c r="N720" s="28"/>
      <c r="O720" s="28"/>
      <c r="P720" s="52"/>
      <c r="Q720" s="52"/>
      <c r="R720" s="28"/>
      <c r="S720" s="28" t="str">
        <f t="array" ref="S720">IF(C720="","",IFERROR(_xlfn.XLOOKUP(C720,Volunteers!D:D,Volunteers!A:A),""))</f>
        <v/>
      </c>
      <c r="T720" s="28"/>
    </row>
    <row r="721">
      <c r="A721" s="57"/>
      <c r="B721" s="40"/>
      <c r="C721" s="40"/>
      <c r="D721" s="40" t="str">
        <f t="array" ref="D721">IF(B721="","",IFERROR(_xlfn.XLOOKUP(B721,'Lists &amp; Settings'!A:A,'Lists &amp; Settings'!E:E),""))</f>
        <v/>
      </c>
      <c r="E721" s="40"/>
      <c r="F721" s="40"/>
      <c r="G721" s="95"/>
      <c r="H721" s="95"/>
      <c r="I721" s="51"/>
      <c r="J721" s="54" t="s">
        <v>179</v>
      </c>
      <c r="K721" s="55" t="s">
        <v>179</v>
      </c>
      <c r="L721" s="56" t="s">
        <v>179</v>
      </c>
      <c r="M721" s="56" t="s">
        <v>179</v>
      </c>
      <c r="N721" s="40"/>
      <c r="O721" s="40"/>
      <c r="P721" s="57"/>
      <c r="Q721" s="57"/>
      <c r="R721" s="40"/>
      <c r="S721" s="40" t="str">
        <f t="array" ref="S721">IF(C721="","",IFERROR(_xlfn.XLOOKUP(C721,Volunteers!D:D,Volunteers!A:A),""))</f>
        <v/>
      </c>
      <c r="T721" s="40"/>
    </row>
    <row r="722">
      <c r="A722" s="52"/>
      <c r="B722" s="28"/>
      <c r="C722" s="28"/>
      <c r="D722" s="28" t="str">
        <f t="array" ref="D722">IF(B722="","",IFERROR(_xlfn.XLOOKUP(B722,'Lists &amp; Settings'!A:A,'Lists &amp; Settings'!E:E),""))</f>
        <v/>
      </c>
      <c r="E722" s="28"/>
      <c r="F722" s="28"/>
      <c r="G722" s="98"/>
      <c r="H722" s="98"/>
      <c r="I722" s="31"/>
      <c r="J722" s="54" t="s">
        <v>179</v>
      </c>
      <c r="K722" s="55" t="s">
        <v>179</v>
      </c>
      <c r="L722" s="56" t="s">
        <v>179</v>
      </c>
      <c r="M722" s="56" t="s">
        <v>179</v>
      </c>
      <c r="N722" s="28"/>
      <c r="O722" s="28"/>
      <c r="P722" s="52"/>
      <c r="Q722" s="52"/>
      <c r="R722" s="28"/>
      <c r="S722" s="28" t="str">
        <f t="array" ref="S722">IF(C722="","",IFERROR(_xlfn.XLOOKUP(C722,Volunteers!D:D,Volunteers!A:A),""))</f>
        <v/>
      </c>
      <c r="T722" s="28"/>
    </row>
    <row r="723">
      <c r="A723" s="57"/>
      <c r="B723" s="40"/>
      <c r="C723" s="40"/>
      <c r="D723" s="40" t="str">
        <f t="array" ref="D723">IF(B723="","",IFERROR(_xlfn.XLOOKUP(B723,'Lists &amp; Settings'!A:A,'Lists &amp; Settings'!E:E),""))</f>
        <v/>
      </c>
      <c r="E723" s="40"/>
      <c r="F723" s="40"/>
      <c r="G723" s="95"/>
      <c r="H723" s="95"/>
      <c r="I723" s="51"/>
      <c r="J723" s="54" t="s">
        <v>179</v>
      </c>
      <c r="K723" s="55" t="s">
        <v>179</v>
      </c>
      <c r="L723" s="56" t="s">
        <v>179</v>
      </c>
      <c r="M723" s="56" t="s">
        <v>179</v>
      </c>
      <c r="N723" s="40"/>
      <c r="O723" s="40"/>
      <c r="P723" s="57"/>
      <c r="Q723" s="57"/>
      <c r="R723" s="40"/>
      <c r="S723" s="40" t="str">
        <f t="array" ref="S723">IF(C723="","",IFERROR(_xlfn.XLOOKUP(C723,Volunteers!D:D,Volunteers!A:A),""))</f>
        <v/>
      </c>
      <c r="T723" s="40"/>
    </row>
    <row r="724">
      <c r="A724" s="52"/>
      <c r="B724" s="28"/>
      <c r="C724" s="28"/>
      <c r="D724" s="28" t="str">
        <f t="array" ref="D724">IF(B724="","",IFERROR(_xlfn.XLOOKUP(B724,'Lists &amp; Settings'!A:A,'Lists &amp; Settings'!E:E),""))</f>
        <v/>
      </c>
      <c r="E724" s="28"/>
      <c r="F724" s="28"/>
      <c r="G724" s="98"/>
      <c r="H724" s="98"/>
      <c r="I724" s="31"/>
      <c r="J724" s="54" t="s">
        <v>179</v>
      </c>
      <c r="K724" s="55" t="s">
        <v>179</v>
      </c>
      <c r="L724" s="56" t="s">
        <v>179</v>
      </c>
      <c r="M724" s="56" t="s">
        <v>179</v>
      </c>
      <c r="N724" s="28"/>
      <c r="O724" s="28"/>
      <c r="P724" s="52"/>
      <c r="Q724" s="52"/>
      <c r="R724" s="28"/>
      <c r="S724" s="28" t="str">
        <f t="array" ref="S724">IF(C724="","",IFERROR(_xlfn.XLOOKUP(C724,Volunteers!D:D,Volunteers!A:A),""))</f>
        <v/>
      </c>
      <c r="T724" s="28"/>
    </row>
    <row r="725">
      <c r="A725" s="57"/>
      <c r="B725" s="40"/>
      <c r="C725" s="40"/>
      <c r="D725" s="40" t="str">
        <f t="array" ref="D725">IF(B725="","",IFERROR(_xlfn.XLOOKUP(B725,'Lists &amp; Settings'!A:A,'Lists &amp; Settings'!E:E),""))</f>
        <v/>
      </c>
      <c r="E725" s="40"/>
      <c r="F725" s="40"/>
      <c r="G725" s="95"/>
      <c r="H725" s="95"/>
      <c r="I725" s="51"/>
      <c r="J725" s="54" t="s">
        <v>179</v>
      </c>
      <c r="K725" s="55" t="s">
        <v>179</v>
      </c>
      <c r="L725" s="56" t="s">
        <v>179</v>
      </c>
      <c r="M725" s="56" t="s">
        <v>179</v>
      </c>
      <c r="N725" s="40"/>
      <c r="O725" s="40"/>
      <c r="P725" s="57"/>
      <c r="Q725" s="57"/>
      <c r="R725" s="40"/>
      <c r="S725" s="40" t="str">
        <f t="array" ref="S725">IF(C725="","",IFERROR(_xlfn.XLOOKUP(C725,Volunteers!D:D,Volunteers!A:A),""))</f>
        <v/>
      </c>
      <c r="T725" s="40"/>
    </row>
    <row r="726">
      <c r="A726" s="52"/>
      <c r="B726" s="28"/>
      <c r="C726" s="28"/>
      <c r="D726" s="28" t="str">
        <f t="array" ref="D726">IF(B726="","",IFERROR(_xlfn.XLOOKUP(B726,'Lists &amp; Settings'!A:A,'Lists &amp; Settings'!E:E),""))</f>
        <v/>
      </c>
      <c r="E726" s="28"/>
      <c r="F726" s="28"/>
      <c r="G726" s="98"/>
      <c r="H726" s="98"/>
      <c r="I726" s="31"/>
      <c r="J726" s="54" t="s">
        <v>179</v>
      </c>
      <c r="K726" s="55" t="s">
        <v>179</v>
      </c>
      <c r="L726" s="56" t="s">
        <v>179</v>
      </c>
      <c r="M726" s="56" t="s">
        <v>179</v>
      </c>
      <c r="N726" s="28"/>
      <c r="O726" s="28"/>
      <c r="P726" s="52"/>
      <c r="Q726" s="52"/>
      <c r="R726" s="28"/>
      <c r="S726" s="28" t="str">
        <f t="array" ref="S726">IF(C726="","",IFERROR(_xlfn.XLOOKUP(C726,Volunteers!D:D,Volunteers!A:A),""))</f>
        <v/>
      </c>
      <c r="T726" s="28"/>
    </row>
    <row r="727">
      <c r="A727" s="57"/>
      <c r="B727" s="40"/>
      <c r="C727" s="40"/>
      <c r="D727" s="40" t="str">
        <f t="array" ref="D727">IF(B727="","",IFERROR(_xlfn.XLOOKUP(B727,'Lists &amp; Settings'!A:A,'Lists &amp; Settings'!E:E),""))</f>
        <v/>
      </c>
      <c r="E727" s="40"/>
      <c r="F727" s="40"/>
      <c r="G727" s="95"/>
      <c r="H727" s="95"/>
      <c r="I727" s="51"/>
      <c r="J727" s="54" t="s">
        <v>179</v>
      </c>
      <c r="K727" s="55" t="s">
        <v>179</v>
      </c>
      <c r="L727" s="56" t="s">
        <v>179</v>
      </c>
      <c r="M727" s="56" t="s">
        <v>179</v>
      </c>
      <c r="N727" s="40"/>
      <c r="O727" s="40"/>
      <c r="P727" s="57"/>
      <c r="Q727" s="57"/>
      <c r="R727" s="40"/>
      <c r="S727" s="40" t="str">
        <f t="array" ref="S727">IF(C727="","",IFERROR(_xlfn.XLOOKUP(C727,Volunteers!D:D,Volunteers!A:A),""))</f>
        <v/>
      </c>
      <c r="T727" s="40"/>
    </row>
    <row r="728">
      <c r="A728" s="52"/>
      <c r="B728" s="28"/>
      <c r="C728" s="28"/>
      <c r="D728" s="28" t="str">
        <f t="array" ref="D728">IF(B728="","",IFERROR(_xlfn.XLOOKUP(B728,'Lists &amp; Settings'!A:A,'Lists &amp; Settings'!E:E),""))</f>
        <v/>
      </c>
      <c r="E728" s="28"/>
      <c r="F728" s="28"/>
      <c r="G728" s="98"/>
      <c r="H728" s="98"/>
      <c r="I728" s="31"/>
      <c r="J728" s="54" t="s">
        <v>179</v>
      </c>
      <c r="K728" s="55" t="s">
        <v>179</v>
      </c>
      <c r="L728" s="56" t="s">
        <v>179</v>
      </c>
      <c r="M728" s="56" t="s">
        <v>179</v>
      </c>
      <c r="N728" s="28"/>
      <c r="O728" s="28"/>
      <c r="P728" s="52"/>
      <c r="Q728" s="52"/>
      <c r="R728" s="28"/>
      <c r="S728" s="28" t="str">
        <f t="array" ref="S728">IF(C728="","",IFERROR(_xlfn.XLOOKUP(C728,Volunteers!D:D,Volunteers!A:A),""))</f>
        <v/>
      </c>
      <c r="T728" s="28"/>
    </row>
    <row r="729">
      <c r="A729" s="57"/>
      <c r="B729" s="40"/>
      <c r="C729" s="40"/>
      <c r="D729" s="40" t="str">
        <f t="array" ref="D729">IF(B729="","",IFERROR(_xlfn.XLOOKUP(B729,'Lists &amp; Settings'!A:A,'Lists &amp; Settings'!E:E),""))</f>
        <v/>
      </c>
      <c r="E729" s="40"/>
      <c r="F729" s="40"/>
      <c r="G729" s="95"/>
      <c r="H729" s="95"/>
      <c r="I729" s="51"/>
      <c r="J729" s="54" t="s">
        <v>179</v>
      </c>
      <c r="K729" s="55" t="s">
        <v>179</v>
      </c>
      <c r="L729" s="56" t="s">
        <v>179</v>
      </c>
      <c r="M729" s="56" t="s">
        <v>179</v>
      </c>
      <c r="N729" s="40"/>
      <c r="O729" s="40"/>
      <c r="P729" s="57"/>
      <c r="Q729" s="57"/>
      <c r="R729" s="40"/>
      <c r="S729" s="40" t="str">
        <f t="array" ref="S729">IF(C729="","",IFERROR(_xlfn.XLOOKUP(C729,Volunteers!D:D,Volunteers!A:A),""))</f>
        <v/>
      </c>
      <c r="T729" s="40"/>
    </row>
    <row r="730">
      <c r="A730" s="52"/>
      <c r="B730" s="28"/>
      <c r="C730" s="28"/>
      <c r="D730" s="28" t="str">
        <f t="array" ref="D730">IF(B730="","",IFERROR(_xlfn.XLOOKUP(B730,'Lists &amp; Settings'!A:A,'Lists &amp; Settings'!E:E),""))</f>
        <v/>
      </c>
      <c r="E730" s="28"/>
      <c r="F730" s="28"/>
      <c r="G730" s="98"/>
      <c r="H730" s="98"/>
      <c r="I730" s="31"/>
      <c r="J730" s="54" t="s">
        <v>179</v>
      </c>
      <c r="K730" s="55" t="s">
        <v>179</v>
      </c>
      <c r="L730" s="56" t="s">
        <v>179</v>
      </c>
      <c r="M730" s="56" t="s">
        <v>179</v>
      </c>
      <c r="N730" s="28"/>
      <c r="O730" s="28"/>
      <c r="P730" s="52"/>
      <c r="Q730" s="52"/>
      <c r="R730" s="28"/>
      <c r="S730" s="28" t="str">
        <f t="array" ref="S730">IF(C730="","",IFERROR(_xlfn.XLOOKUP(C730,Volunteers!D:D,Volunteers!A:A),""))</f>
        <v/>
      </c>
      <c r="T730" s="28"/>
    </row>
    <row r="731">
      <c r="A731" s="57"/>
      <c r="B731" s="40"/>
      <c r="C731" s="40"/>
      <c r="D731" s="40" t="str">
        <f t="array" ref="D731">IF(B731="","",IFERROR(_xlfn.XLOOKUP(B731,'Lists &amp; Settings'!A:A,'Lists &amp; Settings'!E:E),""))</f>
        <v/>
      </c>
      <c r="E731" s="40"/>
      <c r="F731" s="40"/>
      <c r="G731" s="95"/>
      <c r="H731" s="95"/>
      <c r="I731" s="51"/>
      <c r="J731" s="54" t="s">
        <v>179</v>
      </c>
      <c r="K731" s="55" t="s">
        <v>179</v>
      </c>
      <c r="L731" s="56" t="s">
        <v>179</v>
      </c>
      <c r="M731" s="56" t="s">
        <v>179</v>
      </c>
      <c r="N731" s="40"/>
      <c r="O731" s="40"/>
      <c r="P731" s="57"/>
      <c r="Q731" s="57"/>
      <c r="R731" s="40"/>
      <c r="S731" s="40" t="str">
        <f t="array" ref="S731">IF(C731="","",IFERROR(_xlfn.XLOOKUP(C731,Volunteers!D:D,Volunteers!A:A),""))</f>
        <v/>
      </c>
      <c r="T731" s="40"/>
    </row>
    <row r="732">
      <c r="A732" s="52"/>
      <c r="B732" s="28"/>
      <c r="C732" s="28"/>
      <c r="D732" s="28" t="str">
        <f t="array" ref="D732">IF(B732="","",IFERROR(_xlfn.XLOOKUP(B732,'Lists &amp; Settings'!A:A,'Lists &amp; Settings'!E:E),""))</f>
        <v/>
      </c>
      <c r="E732" s="28"/>
      <c r="F732" s="28"/>
      <c r="G732" s="98"/>
      <c r="H732" s="98"/>
      <c r="I732" s="31"/>
      <c r="J732" s="54" t="s">
        <v>179</v>
      </c>
      <c r="K732" s="55" t="s">
        <v>179</v>
      </c>
      <c r="L732" s="56" t="s">
        <v>179</v>
      </c>
      <c r="M732" s="56" t="s">
        <v>179</v>
      </c>
      <c r="N732" s="28"/>
      <c r="O732" s="28"/>
      <c r="P732" s="52"/>
      <c r="Q732" s="52"/>
      <c r="R732" s="28"/>
      <c r="S732" s="28" t="str">
        <f t="array" ref="S732">IF(C732="","",IFERROR(_xlfn.XLOOKUP(C732,Volunteers!D:D,Volunteers!A:A),""))</f>
        <v/>
      </c>
      <c r="T732" s="28"/>
    </row>
    <row r="733">
      <c r="A733" s="57"/>
      <c r="B733" s="40"/>
      <c r="C733" s="40"/>
      <c r="D733" s="40" t="str">
        <f t="array" ref="D733">IF(B733="","",IFERROR(_xlfn.XLOOKUP(B733,'Lists &amp; Settings'!A:A,'Lists &amp; Settings'!E:E),""))</f>
        <v/>
      </c>
      <c r="E733" s="40"/>
      <c r="F733" s="40"/>
      <c r="G733" s="95"/>
      <c r="H733" s="95"/>
      <c r="I733" s="51"/>
      <c r="J733" s="54" t="s">
        <v>179</v>
      </c>
      <c r="K733" s="55" t="s">
        <v>179</v>
      </c>
      <c r="L733" s="56" t="s">
        <v>179</v>
      </c>
      <c r="M733" s="56" t="s">
        <v>179</v>
      </c>
      <c r="N733" s="40"/>
      <c r="O733" s="40"/>
      <c r="P733" s="57"/>
      <c r="Q733" s="57"/>
      <c r="R733" s="40"/>
      <c r="S733" s="40" t="str">
        <f t="array" ref="S733">IF(C733="","",IFERROR(_xlfn.XLOOKUP(C733,Volunteers!D:D,Volunteers!A:A),""))</f>
        <v/>
      </c>
      <c r="T733" s="40"/>
    </row>
    <row r="734">
      <c r="A734" s="52"/>
      <c r="B734" s="28"/>
      <c r="C734" s="28"/>
      <c r="D734" s="28" t="str">
        <f t="array" ref="D734">IF(B734="","",IFERROR(_xlfn.XLOOKUP(B734,'Lists &amp; Settings'!A:A,'Lists &amp; Settings'!E:E),""))</f>
        <v/>
      </c>
      <c r="E734" s="28"/>
      <c r="F734" s="28"/>
      <c r="G734" s="98"/>
      <c r="H734" s="98"/>
      <c r="I734" s="31"/>
      <c r="J734" s="54" t="s">
        <v>179</v>
      </c>
      <c r="K734" s="55" t="s">
        <v>179</v>
      </c>
      <c r="L734" s="56" t="s">
        <v>179</v>
      </c>
      <c r="M734" s="56" t="s">
        <v>179</v>
      </c>
      <c r="N734" s="28"/>
      <c r="O734" s="28"/>
      <c r="P734" s="52"/>
      <c r="Q734" s="52"/>
      <c r="R734" s="28"/>
      <c r="S734" s="28" t="str">
        <f t="array" ref="S734">IF(C734="","",IFERROR(_xlfn.XLOOKUP(C734,Volunteers!D:D,Volunteers!A:A),""))</f>
        <v/>
      </c>
      <c r="T734" s="28"/>
    </row>
    <row r="735">
      <c r="A735" s="57"/>
      <c r="B735" s="40"/>
      <c r="C735" s="40"/>
      <c r="D735" s="40" t="str">
        <f t="array" ref="D735">IF(B735="","",IFERROR(_xlfn.XLOOKUP(B735,'Lists &amp; Settings'!A:A,'Lists &amp; Settings'!E:E),""))</f>
        <v/>
      </c>
      <c r="E735" s="40"/>
      <c r="F735" s="40"/>
      <c r="G735" s="95"/>
      <c r="H735" s="95"/>
      <c r="I735" s="51"/>
      <c r="J735" s="54" t="s">
        <v>179</v>
      </c>
      <c r="K735" s="55" t="s">
        <v>179</v>
      </c>
      <c r="L735" s="56" t="s">
        <v>179</v>
      </c>
      <c r="M735" s="56" t="s">
        <v>179</v>
      </c>
      <c r="N735" s="40"/>
      <c r="O735" s="40"/>
      <c r="P735" s="57"/>
      <c r="Q735" s="57"/>
      <c r="R735" s="40"/>
      <c r="S735" s="40" t="str">
        <f t="array" ref="S735">IF(C735="","",IFERROR(_xlfn.XLOOKUP(C735,Volunteers!D:D,Volunteers!A:A),""))</f>
        <v/>
      </c>
      <c r="T735" s="40"/>
    </row>
    <row r="736">
      <c r="A736" s="52"/>
      <c r="B736" s="28"/>
      <c r="C736" s="28"/>
      <c r="D736" s="28" t="str">
        <f t="array" ref="D736">IF(B736="","",IFERROR(_xlfn.XLOOKUP(B736,'Lists &amp; Settings'!A:A,'Lists &amp; Settings'!E:E),""))</f>
        <v/>
      </c>
      <c r="E736" s="28"/>
      <c r="F736" s="28"/>
      <c r="G736" s="98"/>
      <c r="H736" s="98"/>
      <c r="I736" s="31"/>
      <c r="J736" s="54" t="s">
        <v>179</v>
      </c>
      <c r="K736" s="55" t="s">
        <v>179</v>
      </c>
      <c r="L736" s="56" t="s">
        <v>179</v>
      </c>
      <c r="M736" s="56" t="s">
        <v>179</v>
      </c>
      <c r="N736" s="28"/>
      <c r="O736" s="28"/>
      <c r="P736" s="52"/>
      <c r="Q736" s="52"/>
      <c r="R736" s="28"/>
      <c r="S736" s="28" t="str">
        <f t="array" ref="S736">IF(C736="","",IFERROR(_xlfn.XLOOKUP(C736,Volunteers!D:D,Volunteers!A:A),""))</f>
        <v/>
      </c>
      <c r="T736" s="28"/>
    </row>
    <row r="737">
      <c r="A737" s="57"/>
      <c r="B737" s="40"/>
      <c r="C737" s="40"/>
      <c r="D737" s="40" t="str">
        <f t="array" ref="D737">IF(B737="","",IFERROR(_xlfn.XLOOKUP(B737,'Lists &amp; Settings'!A:A,'Lists &amp; Settings'!E:E),""))</f>
        <v/>
      </c>
      <c r="E737" s="40"/>
      <c r="F737" s="40"/>
      <c r="G737" s="95"/>
      <c r="H737" s="95"/>
      <c r="I737" s="51"/>
      <c r="J737" s="54" t="s">
        <v>179</v>
      </c>
      <c r="K737" s="55" t="s">
        <v>179</v>
      </c>
      <c r="L737" s="56" t="s">
        <v>179</v>
      </c>
      <c r="M737" s="56" t="s">
        <v>179</v>
      </c>
      <c r="N737" s="40"/>
      <c r="O737" s="40"/>
      <c r="P737" s="57"/>
      <c r="Q737" s="57"/>
      <c r="R737" s="40"/>
      <c r="S737" s="40" t="str">
        <f t="array" ref="S737">IF(C737="","",IFERROR(_xlfn.XLOOKUP(C737,Volunteers!D:D,Volunteers!A:A),""))</f>
        <v/>
      </c>
      <c r="T737" s="40"/>
    </row>
    <row r="738">
      <c r="A738" s="52"/>
      <c r="B738" s="28"/>
      <c r="C738" s="28"/>
      <c r="D738" s="28" t="str">
        <f t="array" ref="D738">IF(B738="","",IFERROR(_xlfn.XLOOKUP(B738,'Lists &amp; Settings'!A:A,'Lists &amp; Settings'!E:E),""))</f>
        <v/>
      </c>
      <c r="E738" s="28"/>
      <c r="F738" s="28"/>
      <c r="G738" s="98"/>
      <c r="H738" s="98"/>
      <c r="I738" s="31"/>
      <c r="J738" s="54" t="s">
        <v>179</v>
      </c>
      <c r="K738" s="55" t="s">
        <v>179</v>
      </c>
      <c r="L738" s="56" t="s">
        <v>179</v>
      </c>
      <c r="M738" s="56" t="s">
        <v>179</v>
      </c>
      <c r="N738" s="28"/>
      <c r="O738" s="28"/>
      <c r="P738" s="52"/>
      <c r="Q738" s="52"/>
      <c r="R738" s="28"/>
      <c r="S738" s="28" t="str">
        <f t="array" ref="S738">IF(C738="","",IFERROR(_xlfn.XLOOKUP(C738,Volunteers!D:D,Volunteers!A:A),""))</f>
        <v/>
      </c>
      <c r="T738" s="28"/>
    </row>
    <row r="739">
      <c r="A739" s="57"/>
      <c r="B739" s="40"/>
      <c r="C739" s="40"/>
      <c r="D739" s="40" t="str">
        <f t="array" ref="D739">IF(B739="","",IFERROR(_xlfn.XLOOKUP(B739,'Lists &amp; Settings'!A:A,'Lists &amp; Settings'!E:E),""))</f>
        <v/>
      </c>
      <c r="E739" s="40"/>
      <c r="F739" s="40"/>
      <c r="G739" s="95"/>
      <c r="H739" s="95"/>
      <c r="I739" s="51"/>
      <c r="J739" s="54" t="s">
        <v>179</v>
      </c>
      <c r="K739" s="55" t="s">
        <v>179</v>
      </c>
      <c r="L739" s="56" t="s">
        <v>179</v>
      </c>
      <c r="M739" s="56" t="s">
        <v>179</v>
      </c>
      <c r="N739" s="40"/>
      <c r="O739" s="40"/>
      <c r="P739" s="57"/>
      <c r="Q739" s="57"/>
      <c r="R739" s="40"/>
      <c r="S739" s="40" t="str">
        <f t="array" ref="S739">IF(C739="","",IFERROR(_xlfn.XLOOKUP(C739,Volunteers!D:D,Volunteers!A:A),""))</f>
        <v/>
      </c>
      <c r="T739" s="40"/>
    </row>
    <row r="740">
      <c r="A740" s="52"/>
      <c r="B740" s="28"/>
      <c r="C740" s="28"/>
      <c r="D740" s="28" t="str">
        <f t="array" ref="D740">IF(B740="","",IFERROR(_xlfn.XLOOKUP(B740,'Lists &amp; Settings'!A:A,'Lists &amp; Settings'!E:E),""))</f>
        <v/>
      </c>
      <c r="E740" s="28"/>
      <c r="F740" s="28"/>
      <c r="G740" s="98"/>
      <c r="H740" s="98"/>
      <c r="I740" s="31"/>
      <c r="J740" s="54" t="s">
        <v>179</v>
      </c>
      <c r="K740" s="55" t="s">
        <v>179</v>
      </c>
      <c r="L740" s="56" t="s">
        <v>179</v>
      </c>
      <c r="M740" s="56" t="s">
        <v>179</v>
      </c>
      <c r="N740" s="28"/>
      <c r="O740" s="28"/>
      <c r="P740" s="52"/>
      <c r="Q740" s="52"/>
      <c r="R740" s="28"/>
      <c r="S740" s="28" t="str">
        <f t="array" ref="S740">IF(C740="","",IFERROR(_xlfn.XLOOKUP(C740,Volunteers!D:D,Volunteers!A:A),""))</f>
        <v/>
      </c>
      <c r="T740" s="28"/>
    </row>
    <row r="741">
      <c r="A741" s="57"/>
      <c r="B741" s="40"/>
      <c r="C741" s="40"/>
      <c r="D741" s="40" t="str">
        <f t="array" ref="D741">IF(B741="","",IFERROR(_xlfn.XLOOKUP(B741,'Lists &amp; Settings'!A:A,'Lists &amp; Settings'!E:E),""))</f>
        <v/>
      </c>
      <c r="E741" s="40"/>
      <c r="F741" s="40"/>
      <c r="G741" s="95"/>
      <c r="H741" s="95"/>
      <c r="I741" s="51"/>
      <c r="J741" s="54" t="s">
        <v>179</v>
      </c>
      <c r="K741" s="55" t="s">
        <v>179</v>
      </c>
      <c r="L741" s="56" t="s">
        <v>179</v>
      </c>
      <c r="M741" s="56" t="s">
        <v>179</v>
      </c>
      <c r="N741" s="40"/>
      <c r="O741" s="40"/>
      <c r="P741" s="57"/>
      <c r="Q741" s="57"/>
      <c r="R741" s="40"/>
      <c r="S741" s="40" t="str">
        <f t="array" ref="S741">IF(C741="","",IFERROR(_xlfn.XLOOKUP(C741,Volunteers!D:D,Volunteers!A:A),""))</f>
        <v/>
      </c>
      <c r="T741" s="40"/>
    </row>
    <row r="742">
      <c r="A742" s="52"/>
      <c r="B742" s="28"/>
      <c r="C742" s="28"/>
      <c r="D742" s="28" t="str">
        <f t="array" ref="D742">IF(B742="","",IFERROR(_xlfn.XLOOKUP(B742,'Lists &amp; Settings'!A:A,'Lists &amp; Settings'!E:E),""))</f>
        <v/>
      </c>
      <c r="E742" s="28"/>
      <c r="F742" s="28"/>
      <c r="G742" s="98"/>
      <c r="H742" s="98"/>
      <c r="I742" s="31"/>
      <c r="J742" s="54" t="s">
        <v>179</v>
      </c>
      <c r="K742" s="55" t="s">
        <v>179</v>
      </c>
      <c r="L742" s="56" t="s">
        <v>179</v>
      </c>
      <c r="M742" s="56" t="s">
        <v>179</v>
      </c>
      <c r="N742" s="28"/>
      <c r="O742" s="28"/>
      <c r="P742" s="52"/>
      <c r="Q742" s="52"/>
      <c r="R742" s="28"/>
      <c r="S742" s="28" t="str">
        <f t="array" ref="S742">IF(C742="","",IFERROR(_xlfn.XLOOKUP(C742,Volunteers!D:D,Volunteers!A:A),""))</f>
        <v/>
      </c>
      <c r="T742" s="28"/>
    </row>
    <row r="743">
      <c r="A743" s="57"/>
      <c r="B743" s="40"/>
      <c r="C743" s="40"/>
      <c r="D743" s="40" t="str">
        <f t="array" ref="D743">IF(B743="","",IFERROR(_xlfn.XLOOKUP(B743,'Lists &amp; Settings'!A:A,'Lists &amp; Settings'!E:E),""))</f>
        <v/>
      </c>
      <c r="E743" s="40"/>
      <c r="F743" s="40"/>
      <c r="G743" s="95"/>
      <c r="H743" s="95"/>
      <c r="I743" s="51"/>
      <c r="J743" s="54" t="s">
        <v>179</v>
      </c>
      <c r="K743" s="55" t="s">
        <v>179</v>
      </c>
      <c r="L743" s="56" t="s">
        <v>179</v>
      </c>
      <c r="M743" s="56" t="s">
        <v>179</v>
      </c>
      <c r="N743" s="40"/>
      <c r="O743" s="40"/>
      <c r="P743" s="57"/>
      <c r="Q743" s="57"/>
      <c r="R743" s="40"/>
      <c r="S743" s="40" t="str">
        <f t="array" ref="S743">IF(C743="","",IFERROR(_xlfn.XLOOKUP(C743,Volunteers!D:D,Volunteers!A:A),""))</f>
        <v/>
      </c>
      <c r="T743" s="40"/>
    </row>
    <row r="744">
      <c r="A744" s="52"/>
      <c r="B744" s="28"/>
      <c r="C744" s="28"/>
      <c r="D744" s="28" t="str">
        <f t="array" ref="D744">IF(B744="","",IFERROR(_xlfn.XLOOKUP(B744,'Lists &amp; Settings'!A:A,'Lists &amp; Settings'!E:E),""))</f>
        <v/>
      </c>
      <c r="E744" s="28"/>
      <c r="F744" s="28"/>
      <c r="G744" s="98"/>
      <c r="H744" s="98"/>
      <c r="I744" s="31"/>
      <c r="J744" s="54" t="s">
        <v>179</v>
      </c>
      <c r="K744" s="55" t="s">
        <v>179</v>
      </c>
      <c r="L744" s="56" t="s">
        <v>179</v>
      </c>
      <c r="M744" s="56" t="s">
        <v>179</v>
      </c>
      <c r="N744" s="28"/>
      <c r="O744" s="28"/>
      <c r="P744" s="52"/>
      <c r="Q744" s="52"/>
      <c r="R744" s="28"/>
      <c r="S744" s="28" t="str">
        <f t="array" ref="S744">IF(C744="","",IFERROR(_xlfn.XLOOKUP(C744,Volunteers!D:D,Volunteers!A:A),""))</f>
        <v/>
      </c>
      <c r="T744" s="28"/>
    </row>
    <row r="745">
      <c r="A745" s="57"/>
      <c r="B745" s="40"/>
      <c r="C745" s="40"/>
      <c r="D745" s="40" t="str">
        <f t="array" ref="D745">IF(B745="","",IFERROR(_xlfn.XLOOKUP(B745,'Lists &amp; Settings'!A:A,'Lists &amp; Settings'!E:E),""))</f>
        <v/>
      </c>
      <c r="E745" s="40"/>
      <c r="F745" s="40"/>
      <c r="G745" s="95"/>
      <c r="H745" s="95"/>
      <c r="I745" s="51"/>
      <c r="J745" s="54" t="s">
        <v>179</v>
      </c>
      <c r="K745" s="55" t="s">
        <v>179</v>
      </c>
      <c r="L745" s="56" t="s">
        <v>179</v>
      </c>
      <c r="M745" s="56" t="s">
        <v>179</v>
      </c>
      <c r="N745" s="40"/>
      <c r="O745" s="40"/>
      <c r="P745" s="57"/>
      <c r="Q745" s="57"/>
      <c r="R745" s="40"/>
      <c r="S745" s="40" t="str">
        <f t="array" ref="S745">IF(C745="","",IFERROR(_xlfn.XLOOKUP(C745,Volunteers!D:D,Volunteers!A:A),""))</f>
        <v/>
      </c>
      <c r="T745" s="40"/>
    </row>
    <row r="746">
      <c r="A746" s="52"/>
      <c r="B746" s="28"/>
      <c r="C746" s="28"/>
      <c r="D746" s="28" t="str">
        <f t="array" ref="D746">IF(B746="","",IFERROR(_xlfn.XLOOKUP(B746,'Lists &amp; Settings'!A:A,'Lists &amp; Settings'!E:E),""))</f>
        <v/>
      </c>
      <c r="E746" s="28"/>
      <c r="F746" s="28"/>
      <c r="G746" s="98"/>
      <c r="H746" s="98"/>
      <c r="I746" s="31"/>
      <c r="J746" s="54" t="s">
        <v>179</v>
      </c>
      <c r="K746" s="55" t="s">
        <v>179</v>
      </c>
      <c r="L746" s="56" t="s">
        <v>179</v>
      </c>
      <c r="M746" s="56" t="s">
        <v>179</v>
      </c>
      <c r="N746" s="28"/>
      <c r="O746" s="28"/>
      <c r="P746" s="52"/>
      <c r="Q746" s="52"/>
      <c r="R746" s="28"/>
      <c r="S746" s="28" t="str">
        <f t="array" ref="S746">IF(C746="","",IFERROR(_xlfn.XLOOKUP(C746,Volunteers!D:D,Volunteers!A:A),""))</f>
        <v/>
      </c>
      <c r="T746" s="28"/>
    </row>
    <row r="747">
      <c r="A747" s="57"/>
      <c r="B747" s="40"/>
      <c r="C747" s="40"/>
      <c r="D747" s="40" t="str">
        <f t="array" ref="D747">IF(B747="","",IFERROR(_xlfn.XLOOKUP(B747,'Lists &amp; Settings'!A:A,'Lists &amp; Settings'!E:E),""))</f>
        <v/>
      </c>
      <c r="E747" s="40"/>
      <c r="F747" s="40"/>
      <c r="G747" s="95"/>
      <c r="H747" s="95"/>
      <c r="I747" s="51"/>
      <c r="J747" s="54" t="s">
        <v>179</v>
      </c>
      <c r="K747" s="55" t="s">
        <v>179</v>
      </c>
      <c r="L747" s="56" t="s">
        <v>179</v>
      </c>
      <c r="M747" s="56" t="s">
        <v>179</v>
      </c>
      <c r="N747" s="40"/>
      <c r="O747" s="40"/>
      <c r="P747" s="57"/>
      <c r="Q747" s="57"/>
      <c r="R747" s="40"/>
      <c r="S747" s="40" t="str">
        <f t="array" ref="S747">IF(C747="","",IFERROR(_xlfn.XLOOKUP(C747,Volunteers!D:D,Volunteers!A:A),""))</f>
        <v/>
      </c>
      <c r="T747" s="40"/>
    </row>
    <row r="748">
      <c r="A748" s="52"/>
      <c r="B748" s="28"/>
      <c r="C748" s="28"/>
      <c r="D748" s="28" t="str">
        <f t="array" ref="D748">IF(B748="","",IFERROR(_xlfn.XLOOKUP(B748,'Lists &amp; Settings'!A:A,'Lists &amp; Settings'!E:E),""))</f>
        <v/>
      </c>
      <c r="E748" s="28"/>
      <c r="F748" s="28"/>
      <c r="G748" s="98"/>
      <c r="H748" s="98"/>
      <c r="I748" s="31"/>
      <c r="J748" s="54" t="s">
        <v>179</v>
      </c>
      <c r="K748" s="55" t="s">
        <v>179</v>
      </c>
      <c r="L748" s="56" t="s">
        <v>179</v>
      </c>
      <c r="M748" s="56" t="s">
        <v>179</v>
      </c>
      <c r="N748" s="28"/>
      <c r="O748" s="28"/>
      <c r="P748" s="52"/>
      <c r="Q748" s="52"/>
      <c r="R748" s="28"/>
      <c r="S748" s="28" t="str">
        <f t="array" ref="S748">IF(C748="","",IFERROR(_xlfn.XLOOKUP(C748,Volunteers!D:D,Volunteers!A:A),""))</f>
        <v/>
      </c>
      <c r="T748" s="28"/>
    </row>
    <row r="749">
      <c r="A749" s="57"/>
      <c r="B749" s="40"/>
      <c r="C749" s="40"/>
      <c r="D749" s="40" t="str">
        <f t="array" ref="D749">IF(B749="","",IFERROR(_xlfn.XLOOKUP(B749,'Lists &amp; Settings'!A:A,'Lists &amp; Settings'!E:E),""))</f>
        <v/>
      </c>
      <c r="E749" s="40"/>
      <c r="F749" s="40"/>
      <c r="G749" s="95"/>
      <c r="H749" s="95"/>
      <c r="I749" s="51"/>
      <c r="J749" s="54" t="s">
        <v>179</v>
      </c>
      <c r="K749" s="55" t="s">
        <v>179</v>
      </c>
      <c r="L749" s="56" t="s">
        <v>179</v>
      </c>
      <c r="M749" s="56" t="s">
        <v>179</v>
      </c>
      <c r="N749" s="40"/>
      <c r="O749" s="40"/>
      <c r="P749" s="57"/>
      <c r="Q749" s="57"/>
      <c r="R749" s="40"/>
      <c r="S749" s="40" t="str">
        <f t="array" ref="S749">IF(C749="","",IFERROR(_xlfn.XLOOKUP(C749,Volunteers!D:D,Volunteers!A:A),""))</f>
        <v/>
      </c>
      <c r="T749" s="40"/>
    </row>
    <row r="750">
      <c r="A750" s="52"/>
      <c r="B750" s="28"/>
      <c r="C750" s="28"/>
      <c r="D750" s="28" t="str">
        <f t="array" ref="D750">IF(B750="","",IFERROR(_xlfn.XLOOKUP(B750,'Lists &amp; Settings'!A:A,'Lists &amp; Settings'!E:E),""))</f>
        <v/>
      </c>
      <c r="E750" s="28"/>
      <c r="F750" s="28"/>
      <c r="G750" s="98"/>
      <c r="H750" s="98"/>
      <c r="I750" s="31"/>
      <c r="J750" s="54" t="s">
        <v>179</v>
      </c>
      <c r="K750" s="55" t="s">
        <v>179</v>
      </c>
      <c r="L750" s="56" t="s">
        <v>179</v>
      </c>
      <c r="M750" s="56" t="s">
        <v>179</v>
      </c>
      <c r="N750" s="28"/>
      <c r="O750" s="28"/>
      <c r="P750" s="52"/>
      <c r="Q750" s="52"/>
      <c r="R750" s="28"/>
      <c r="S750" s="28" t="str">
        <f t="array" ref="S750">IF(C750="","",IFERROR(_xlfn.XLOOKUP(C750,Volunteers!D:D,Volunteers!A:A),""))</f>
        <v/>
      </c>
      <c r="T750" s="28"/>
    </row>
    <row r="751">
      <c r="A751" s="57"/>
      <c r="B751" s="40"/>
      <c r="C751" s="40"/>
      <c r="D751" s="40" t="str">
        <f t="array" ref="D751">IF(B751="","",IFERROR(_xlfn.XLOOKUP(B751,'Lists &amp; Settings'!A:A,'Lists &amp; Settings'!E:E),""))</f>
        <v/>
      </c>
      <c r="E751" s="40"/>
      <c r="F751" s="40"/>
      <c r="G751" s="95"/>
      <c r="H751" s="95"/>
      <c r="I751" s="51"/>
      <c r="J751" s="54" t="s">
        <v>179</v>
      </c>
      <c r="K751" s="55" t="s">
        <v>179</v>
      </c>
      <c r="L751" s="56" t="s">
        <v>179</v>
      </c>
      <c r="M751" s="56" t="s">
        <v>179</v>
      </c>
      <c r="N751" s="40"/>
      <c r="O751" s="40"/>
      <c r="P751" s="57"/>
      <c r="Q751" s="57"/>
      <c r="R751" s="40"/>
      <c r="S751" s="40" t="str">
        <f t="array" ref="S751">IF(C751="","",IFERROR(_xlfn.XLOOKUP(C751,Volunteers!D:D,Volunteers!A:A),""))</f>
        <v/>
      </c>
      <c r="T751" s="40"/>
    </row>
    <row r="752">
      <c r="A752" s="52"/>
      <c r="B752" s="28"/>
      <c r="C752" s="28"/>
      <c r="D752" s="28" t="str">
        <f t="array" ref="D752">IF(B752="","",IFERROR(_xlfn.XLOOKUP(B752,'Lists &amp; Settings'!A:A,'Lists &amp; Settings'!E:E),""))</f>
        <v/>
      </c>
      <c r="E752" s="28"/>
      <c r="F752" s="28"/>
      <c r="G752" s="98"/>
      <c r="H752" s="98"/>
      <c r="I752" s="31"/>
      <c r="J752" s="54" t="s">
        <v>179</v>
      </c>
      <c r="K752" s="55" t="s">
        <v>179</v>
      </c>
      <c r="L752" s="56" t="s">
        <v>179</v>
      </c>
      <c r="M752" s="56" t="s">
        <v>179</v>
      </c>
      <c r="N752" s="28"/>
      <c r="O752" s="28"/>
      <c r="P752" s="52"/>
      <c r="Q752" s="52"/>
      <c r="R752" s="28"/>
      <c r="S752" s="28" t="str">
        <f t="array" ref="S752">IF(C752="","",IFERROR(_xlfn.XLOOKUP(C752,Volunteers!D:D,Volunteers!A:A),""))</f>
        <v/>
      </c>
      <c r="T752" s="28"/>
    </row>
    <row r="753">
      <c r="A753" s="57"/>
      <c r="B753" s="40"/>
      <c r="C753" s="40"/>
      <c r="D753" s="40" t="str">
        <f t="array" ref="D753">IF(B753="","",IFERROR(_xlfn.XLOOKUP(B753,'Lists &amp; Settings'!A:A,'Lists &amp; Settings'!E:E),""))</f>
        <v/>
      </c>
      <c r="E753" s="40"/>
      <c r="F753" s="40"/>
      <c r="G753" s="95"/>
      <c r="H753" s="95"/>
      <c r="I753" s="51"/>
      <c r="J753" s="54" t="s">
        <v>179</v>
      </c>
      <c r="K753" s="55" t="s">
        <v>179</v>
      </c>
      <c r="L753" s="56" t="s">
        <v>179</v>
      </c>
      <c r="M753" s="56" t="s">
        <v>179</v>
      </c>
      <c r="N753" s="40"/>
      <c r="O753" s="40"/>
      <c r="P753" s="57"/>
      <c r="Q753" s="57"/>
      <c r="R753" s="40"/>
      <c r="S753" s="40" t="str">
        <f t="array" ref="S753">IF(C753="","",IFERROR(_xlfn.XLOOKUP(C753,Volunteers!D:D,Volunteers!A:A),""))</f>
        <v/>
      </c>
      <c r="T753" s="40"/>
    </row>
    <row r="754">
      <c r="A754" s="52"/>
      <c r="B754" s="28"/>
      <c r="C754" s="28"/>
      <c r="D754" s="28" t="str">
        <f t="array" ref="D754">IF(B754="","",IFERROR(_xlfn.XLOOKUP(B754,'Lists &amp; Settings'!A:A,'Lists &amp; Settings'!E:E),""))</f>
        <v/>
      </c>
      <c r="E754" s="28"/>
      <c r="F754" s="28"/>
      <c r="G754" s="98"/>
      <c r="H754" s="98"/>
      <c r="I754" s="31"/>
      <c r="J754" s="54" t="s">
        <v>179</v>
      </c>
      <c r="K754" s="55" t="s">
        <v>179</v>
      </c>
      <c r="L754" s="56" t="s">
        <v>179</v>
      </c>
      <c r="M754" s="56" t="s">
        <v>179</v>
      </c>
      <c r="N754" s="28"/>
      <c r="O754" s="28"/>
      <c r="P754" s="52"/>
      <c r="Q754" s="52"/>
      <c r="R754" s="28"/>
      <c r="S754" s="28" t="str">
        <f t="array" ref="S754">IF(C754="","",IFERROR(_xlfn.XLOOKUP(C754,Volunteers!D:D,Volunteers!A:A),""))</f>
        <v/>
      </c>
      <c r="T754" s="28"/>
    </row>
    <row r="755">
      <c r="A755" s="57"/>
      <c r="B755" s="40"/>
      <c r="C755" s="40"/>
      <c r="D755" s="40" t="str">
        <f t="array" ref="D755">IF(B755="","",IFERROR(_xlfn.XLOOKUP(B755,'Lists &amp; Settings'!A:A,'Lists &amp; Settings'!E:E),""))</f>
        <v/>
      </c>
      <c r="E755" s="40"/>
      <c r="F755" s="40"/>
      <c r="G755" s="95"/>
      <c r="H755" s="95"/>
      <c r="I755" s="51"/>
      <c r="J755" s="54" t="s">
        <v>179</v>
      </c>
      <c r="K755" s="55" t="s">
        <v>179</v>
      </c>
      <c r="L755" s="56" t="s">
        <v>179</v>
      </c>
      <c r="M755" s="56" t="s">
        <v>179</v>
      </c>
      <c r="N755" s="40"/>
      <c r="O755" s="40"/>
      <c r="P755" s="57"/>
      <c r="Q755" s="57"/>
      <c r="R755" s="40"/>
      <c r="S755" s="40" t="str">
        <f t="array" ref="S755">IF(C755="","",IFERROR(_xlfn.XLOOKUP(C755,Volunteers!D:D,Volunteers!A:A),""))</f>
        <v/>
      </c>
      <c r="T755" s="40"/>
    </row>
    <row r="756">
      <c r="A756" s="52"/>
      <c r="B756" s="28"/>
      <c r="C756" s="28"/>
      <c r="D756" s="28" t="str">
        <f t="array" ref="D756">IF(B756="","",IFERROR(_xlfn.XLOOKUP(B756,'Lists &amp; Settings'!A:A,'Lists &amp; Settings'!E:E),""))</f>
        <v/>
      </c>
      <c r="E756" s="28"/>
      <c r="F756" s="28"/>
      <c r="G756" s="98"/>
      <c r="H756" s="98"/>
      <c r="I756" s="31"/>
      <c r="J756" s="54" t="s">
        <v>179</v>
      </c>
      <c r="K756" s="55" t="s">
        <v>179</v>
      </c>
      <c r="L756" s="56" t="s">
        <v>179</v>
      </c>
      <c r="M756" s="56" t="s">
        <v>179</v>
      </c>
      <c r="N756" s="28"/>
      <c r="O756" s="28"/>
      <c r="P756" s="52"/>
      <c r="Q756" s="52"/>
      <c r="R756" s="28"/>
      <c r="S756" s="28" t="str">
        <f t="array" ref="S756">IF(C756="","",IFERROR(_xlfn.XLOOKUP(C756,Volunteers!D:D,Volunteers!A:A),""))</f>
        <v/>
      </c>
      <c r="T756" s="28"/>
    </row>
    <row r="757">
      <c r="A757" s="57"/>
      <c r="B757" s="40"/>
      <c r="C757" s="40"/>
      <c r="D757" s="40" t="str">
        <f t="array" ref="D757">IF(B757="","",IFERROR(_xlfn.XLOOKUP(B757,'Lists &amp; Settings'!A:A,'Lists &amp; Settings'!E:E),""))</f>
        <v/>
      </c>
      <c r="E757" s="40"/>
      <c r="F757" s="40"/>
      <c r="G757" s="95"/>
      <c r="H757" s="95"/>
      <c r="I757" s="51"/>
      <c r="J757" s="54" t="s">
        <v>179</v>
      </c>
      <c r="K757" s="55" t="s">
        <v>179</v>
      </c>
      <c r="L757" s="56" t="s">
        <v>179</v>
      </c>
      <c r="M757" s="56" t="s">
        <v>179</v>
      </c>
      <c r="N757" s="40"/>
      <c r="O757" s="40"/>
      <c r="P757" s="57"/>
      <c r="Q757" s="57"/>
      <c r="R757" s="40"/>
      <c r="S757" s="40" t="str">
        <f t="array" ref="S757">IF(C757="","",IFERROR(_xlfn.XLOOKUP(C757,Volunteers!D:D,Volunteers!A:A),""))</f>
        <v/>
      </c>
      <c r="T757" s="40"/>
    </row>
    <row r="758">
      <c r="A758" s="52"/>
      <c r="B758" s="28"/>
      <c r="C758" s="28"/>
      <c r="D758" s="28" t="str">
        <f t="array" ref="D758">IF(B758="","",IFERROR(_xlfn.XLOOKUP(B758,'Lists &amp; Settings'!A:A,'Lists &amp; Settings'!E:E),""))</f>
        <v/>
      </c>
      <c r="E758" s="28"/>
      <c r="F758" s="28"/>
      <c r="G758" s="98"/>
      <c r="H758" s="98"/>
      <c r="I758" s="31"/>
      <c r="J758" s="54" t="s">
        <v>179</v>
      </c>
      <c r="K758" s="55" t="s">
        <v>179</v>
      </c>
      <c r="L758" s="56" t="s">
        <v>179</v>
      </c>
      <c r="M758" s="56" t="s">
        <v>179</v>
      </c>
      <c r="N758" s="28"/>
      <c r="O758" s="28"/>
      <c r="P758" s="52"/>
      <c r="Q758" s="52"/>
      <c r="R758" s="28"/>
      <c r="S758" s="28" t="str">
        <f t="array" ref="S758">IF(C758="","",IFERROR(_xlfn.XLOOKUP(C758,Volunteers!D:D,Volunteers!A:A),""))</f>
        <v/>
      </c>
      <c r="T758" s="28"/>
    </row>
    <row r="759">
      <c r="A759" s="57"/>
      <c r="B759" s="40"/>
      <c r="C759" s="40"/>
      <c r="D759" s="40" t="str">
        <f t="array" ref="D759">IF(B759="","",IFERROR(_xlfn.XLOOKUP(B759,'Lists &amp; Settings'!A:A,'Lists &amp; Settings'!E:E),""))</f>
        <v/>
      </c>
      <c r="E759" s="40"/>
      <c r="F759" s="40"/>
      <c r="G759" s="95"/>
      <c r="H759" s="95"/>
      <c r="I759" s="51"/>
      <c r="J759" s="54" t="s">
        <v>179</v>
      </c>
      <c r="K759" s="55" t="s">
        <v>179</v>
      </c>
      <c r="L759" s="56" t="s">
        <v>179</v>
      </c>
      <c r="M759" s="56" t="s">
        <v>179</v>
      </c>
      <c r="N759" s="40"/>
      <c r="O759" s="40"/>
      <c r="P759" s="57"/>
      <c r="Q759" s="57"/>
      <c r="R759" s="40"/>
      <c r="S759" s="40" t="str">
        <f t="array" ref="S759">IF(C759="","",IFERROR(_xlfn.XLOOKUP(C759,Volunteers!D:D,Volunteers!A:A),""))</f>
        <v/>
      </c>
      <c r="T759" s="40"/>
    </row>
    <row r="760">
      <c r="A760" s="52"/>
      <c r="B760" s="28"/>
      <c r="C760" s="28"/>
      <c r="D760" s="28" t="str">
        <f t="array" ref="D760">IF(B760="","",IFERROR(_xlfn.XLOOKUP(B760,'Lists &amp; Settings'!A:A,'Lists &amp; Settings'!E:E),""))</f>
        <v/>
      </c>
      <c r="E760" s="28"/>
      <c r="F760" s="28"/>
      <c r="G760" s="98"/>
      <c r="H760" s="98"/>
      <c r="I760" s="31"/>
      <c r="J760" s="54" t="s">
        <v>179</v>
      </c>
      <c r="K760" s="55" t="s">
        <v>179</v>
      </c>
      <c r="L760" s="56" t="s">
        <v>179</v>
      </c>
      <c r="M760" s="56" t="s">
        <v>179</v>
      </c>
      <c r="N760" s="28"/>
      <c r="O760" s="28"/>
      <c r="P760" s="52"/>
      <c r="Q760" s="52"/>
      <c r="R760" s="28"/>
      <c r="S760" s="28" t="str">
        <f t="array" ref="S760">IF(C760="","",IFERROR(_xlfn.XLOOKUP(C760,Volunteers!D:D,Volunteers!A:A),""))</f>
        <v/>
      </c>
      <c r="T760" s="28"/>
    </row>
    <row r="761">
      <c r="A761" s="57"/>
      <c r="B761" s="40"/>
      <c r="C761" s="40"/>
      <c r="D761" s="40" t="str">
        <f t="array" ref="D761">IF(B761="","",IFERROR(_xlfn.XLOOKUP(B761,'Lists &amp; Settings'!A:A,'Lists &amp; Settings'!E:E),""))</f>
        <v/>
      </c>
      <c r="E761" s="40"/>
      <c r="F761" s="40"/>
      <c r="G761" s="95"/>
      <c r="H761" s="95"/>
      <c r="I761" s="51"/>
      <c r="J761" s="54" t="s">
        <v>179</v>
      </c>
      <c r="K761" s="55" t="s">
        <v>179</v>
      </c>
      <c r="L761" s="56" t="s">
        <v>179</v>
      </c>
      <c r="M761" s="56" t="s">
        <v>179</v>
      </c>
      <c r="N761" s="40"/>
      <c r="O761" s="40"/>
      <c r="P761" s="57"/>
      <c r="Q761" s="57"/>
      <c r="R761" s="40"/>
      <c r="S761" s="40" t="str">
        <f t="array" ref="S761">IF(C761="","",IFERROR(_xlfn.XLOOKUP(C761,Volunteers!D:D,Volunteers!A:A),""))</f>
        <v/>
      </c>
      <c r="T761" s="40"/>
    </row>
    <row r="762">
      <c r="A762" s="52"/>
      <c r="B762" s="28"/>
      <c r="C762" s="28"/>
      <c r="D762" s="28" t="str">
        <f t="array" ref="D762">IF(B762="","",IFERROR(_xlfn.XLOOKUP(B762,'Lists &amp; Settings'!A:A,'Lists &amp; Settings'!E:E),""))</f>
        <v/>
      </c>
      <c r="E762" s="28"/>
      <c r="F762" s="28"/>
      <c r="G762" s="98"/>
      <c r="H762" s="98"/>
      <c r="I762" s="31"/>
      <c r="J762" s="54" t="s">
        <v>179</v>
      </c>
      <c r="K762" s="55" t="s">
        <v>179</v>
      </c>
      <c r="L762" s="56" t="s">
        <v>179</v>
      </c>
      <c r="M762" s="56" t="s">
        <v>179</v>
      </c>
      <c r="N762" s="28"/>
      <c r="O762" s="28"/>
      <c r="P762" s="52"/>
      <c r="Q762" s="52"/>
      <c r="R762" s="28"/>
      <c r="S762" s="28" t="str">
        <f t="array" ref="S762">IF(C762="","",IFERROR(_xlfn.XLOOKUP(C762,Volunteers!D:D,Volunteers!A:A),""))</f>
        <v/>
      </c>
      <c r="T762" s="28"/>
    </row>
    <row r="763">
      <c r="A763" s="57"/>
      <c r="B763" s="40"/>
      <c r="C763" s="40"/>
      <c r="D763" s="40" t="str">
        <f t="array" ref="D763">IF(B763="","",IFERROR(_xlfn.XLOOKUP(B763,'Lists &amp; Settings'!A:A,'Lists &amp; Settings'!E:E),""))</f>
        <v/>
      </c>
      <c r="E763" s="40"/>
      <c r="F763" s="40"/>
      <c r="G763" s="95"/>
      <c r="H763" s="95"/>
      <c r="I763" s="51"/>
      <c r="J763" s="54" t="s">
        <v>179</v>
      </c>
      <c r="K763" s="55" t="s">
        <v>179</v>
      </c>
      <c r="L763" s="56" t="s">
        <v>179</v>
      </c>
      <c r="M763" s="56" t="s">
        <v>179</v>
      </c>
      <c r="N763" s="40"/>
      <c r="O763" s="40"/>
      <c r="P763" s="57"/>
      <c r="Q763" s="57"/>
      <c r="R763" s="40"/>
      <c r="S763" s="40" t="str">
        <f t="array" ref="S763">IF(C763="","",IFERROR(_xlfn.XLOOKUP(C763,Volunteers!D:D,Volunteers!A:A),""))</f>
        <v/>
      </c>
      <c r="T763" s="40"/>
    </row>
    <row r="764">
      <c r="A764" s="52"/>
      <c r="B764" s="28"/>
      <c r="C764" s="28"/>
      <c r="D764" s="28" t="str">
        <f t="array" ref="D764">IF(B764="","",IFERROR(_xlfn.XLOOKUP(B764,'Lists &amp; Settings'!A:A,'Lists &amp; Settings'!E:E),""))</f>
        <v/>
      </c>
      <c r="E764" s="28"/>
      <c r="F764" s="28"/>
      <c r="G764" s="98"/>
      <c r="H764" s="98"/>
      <c r="I764" s="31"/>
      <c r="J764" s="54" t="s">
        <v>179</v>
      </c>
      <c r="K764" s="55" t="s">
        <v>179</v>
      </c>
      <c r="L764" s="56" t="s">
        <v>179</v>
      </c>
      <c r="M764" s="56" t="s">
        <v>179</v>
      </c>
      <c r="N764" s="28"/>
      <c r="O764" s="28"/>
      <c r="P764" s="52"/>
      <c r="Q764" s="52"/>
      <c r="R764" s="28"/>
      <c r="S764" s="28" t="str">
        <f t="array" ref="S764">IF(C764="","",IFERROR(_xlfn.XLOOKUP(C764,Volunteers!D:D,Volunteers!A:A),""))</f>
        <v/>
      </c>
      <c r="T764" s="28"/>
    </row>
    <row r="765">
      <c r="A765" s="57"/>
      <c r="B765" s="40"/>
      <c r="C765" s="40"/>
      <c r="D765" s="40" t="str">
        <f t="array" ref="D765">IF(B765="","",IFERROR(_xlfn.XLOOKUP(B765,'Lists &amp; Settings'!A:A,'Lists &amp; Settings'!E:E),""))</f>
        <v/>
      </c>
      <c r="E765" s="40"/>
      <c r="F765" s="40"/>
      <c r="G765" s="95"/>
      <c r="H765" s="95"/>
      <c r="I765" s="51"/>
      <c r="J765" s="54" t="s">
        <v>179</v>
      </c>
      <c r="K765" s="55" t="s">
        <v>179</v>
      </c>
      <c r="L765" s="56" t="s">
        <v>179</v>
      </c>
      <c r="M765" s="56" t="s">
        <v>179</v>
      </c>
      <c r="N765" s="40"/>
      <c r="O765" s="40"/>
      <c r="P765" s="57"/>
      <c r="Q765" s="57"/>
      <c r="R765" s="40"/>
      <c r="S765" s="40" t="str">
        <f t="array" ref="S765">IF(C765="","",IFERROR(_xlfn.XLOOKUP(C765,Volunteers!D:D,Volunteers!A:A),""))</f>
        <v/>
      </c>
      <c r="T765" s="40"/>
    </row>
    <row r="766">
      <c r="A766" s="52"/>
      <c r="B766" s="28"/>
      <c r="C766" s="28"/>
      <c r="D766" s="28" t="str">
        <f t="array" ref="D766">IF(B766="","",IFERROR(_xlfn.XLOOKUP(B766,'Lists &amp; Settings'!A:A,'Lists &amp; Settings'!E:E),""))</f>
        <v/>
      </c>
      <c r="E766" s="28"/>
      <c r="F766" s="28"/>
      <c r="G766" s="98"/>
      <c r="H766" s="98"/>
      <c r="I766" s="31"/>
      <c r="J766" s="54" t="s">
        <v>179</v>
      </c>
      <c r="K766" s="55" t="s">
        <v>179</v>
      </c>
      <c r="L766" s="56" t="s">
        <v>179</v>
      </c>
      <c r="M766" s="56" t="s">
        <v>179</v>
      </c>
      <c r="N766" s="28"/>
      <c r="O766" s="28"/>
      <c r="P766" s="52"/>
      <c r="Q766" s="52"/>
      <c r="R766" s="28"/>
      <c r="S766" s="28" t="str">
        <f t="array" ref="S766">IF(C766="","",IFERROR(_xlfn.XLOOKUP(C766,Volunteers!D:D,Volunteers!A:A),""))</f>
        <v/>
      </c>
      <c r="T766" s="28"/>
    </row>
    <row r="767">
      <c r="A767" s="57"/>
      <c r="B767" s="40"/>
      <c r="C767" s="40"/>
      <c r="D767" s="40" t="str">
        <f t="array" ref="D767">IF(B767="","",IFERROR(_xlfn.XLOOKUP(B767,'Lists &amp; Settings'!A:A,'Lists &amp; Settings'!E:E),""))</f>
        <v/>
      </c>
      <c r="E767" s="40"/>
      <c r="F767" s="40"/>
      <c r="G767" s="95"/>
      <c r="H767" s="95"/>
      <c r="I767" s="51"/>
      <c r="J767" s="54" t="s">
        <v>179</v>
      </c>
      <c r="K767" s="55" t="s">
        <v>179</v>
      </c>
      <c r="L767" s="56" t="s">
        <v>179</v>
      </c>
      <c r="M767" s="56" t="s">
        <v>179</v>
      </c>
      <c r="N767" s="40"/>
      <c r="O767" s="40"/>
      <c r="P767" s="57"/>
      <c r="Q767" s="57"/>
      <c r="R767" s="40"/>
      <c r="S767" s="40" t="str">
        <f t="array" ref="S767">IF(C767="","",IFERROR(_xlfn.XLOOKUP(C767,Volunteers!D:D,Volunteers!A:A),""))</f>
        <v/>
      </c>
      <c r="T767" s="40"/>
    </row>
    <row r="768">
      <c r="A768" s="52"/>
      <c r="B768" s="28"/>
      <c r="C768" s="28"/>
      <c r="D768" s="28" t="str">
        <f t="array" ref="D768">IF(B768="","",IFERROR(_xlfn.XLOOKUP(B768,'Lists &amp; Settings'!A:A,'Lists &amp; Settings'!E:E),""))</f>
        <v/>
      </c>
      <c r="E768" s="28"/>
      <c r="F768" s="28"/>
      <c r="G768" s="98"/>
      <c r="H768" s="98"/>
      <c r="I768" s="31"/>
      <c r="J768" s="54" t="s">
        <v>179</v>
      </c>
      <c r="K768" s="55" t="s">
        <v>179</v>
      </c>
      <c r="L768" s="56" t="s">
        <v>179</v>
      </c>
      <c r="M768" s="56" t="s">
        <v>179</v>
      </c>
      <c r="N768" s="28"/>
      <c r="O768" s="28"/>
      <c r="P768" s="52"/>
      <c r="Q768" s="52"/>
      <c r="R768" s="28"/>
      <c r="S768" s="28" t="str">
        <f t="array" ref="S768">IF(C768="","",IFERROR(_xlfn.XLOOKUP(C768,Volunteers!D:D,Volunteers!A:A),""))</f>
        <v/>
      </c>
      <c r="T768" s="28"/>
    </row>
    <row r="769">
      <c r="A769" s="57"/>
      <c r="B769" s="40"/>
      <c r="C769" s="40"/>
      <c r="D769" s="40" t="str">
        <f t="array" ref="D769">IF(B769="","",IFERROR(_xlfn.XLOOKUP(B769,'Lists &amp; Settings'!A:A,'Lists &amp; Settings'!E:E),""))</f>
        <v/>
      </c>
      <c r="E769" s="40"/>
      <c r="F769" s="40"/>
      <c r="G769" s="95"/>
      <c r="H769" s="95"/>
      <c r="I769" s="51"/>
      <c r="J769" s="54" t="s">
        <v>179</v>
      </c>
      <c r="K769" s="55" t="s">
        <v>179</v>
      </c>
      <c r="L769" s="56" t="s">
        <v>179</v>
      </c>
      <c r="M769" s="56" t="s">
        <v>179</v>
      </c>
      <c r="N769" s="40"/>
      <c r="O769" s="40"/>
      <c r="P769" s="57"/>
      <c r="Q769" s="57"/>
      <c r="R769" s="40"/>
      <c r="S769" s="40" t="str">
        <f t="array" ref="S769">IF(C769="","",IFERROR(_xlfn.XLOOKUP(C769,Volunteers!D:D,Volunteers!A:A),""))</f>
        <v/>
      </c>
      <c r="T769" s="40"/>
    </row>
    <row r="770">
      <c r="A770" s="52"/>
      <c r="B770" s="28"/>
      <c r="C770" s="28"/>
      <c r="D770" s="28" t="str">
        <f t="array" ref="D770">IF(B770="","",IFERROR(_xlfn.XLOOKUP(B770,'Lists &amp; Settings'!A:A,'Lists &amp; Settings'!E:E),""))</f>
        <v/>
      </c>
      <c r="E770" s="28"/>
      <c r="F770" s="28"/>
      <c r="G770" s="98"/>
      <c r="H770" s="98"/>
      <c r="I770" s="31"/>
      <c r="J770" s="54" t="s">
        <v>179</v>
      </c>
      <c r="K770" s="55" t="s">
        <v>179</v>
      </c>
      <c r="L770" s="56" t="s">
        <v>179</v>
      </c>
      <c r="M770" s="56" t="s">
        <v>179</v>
      </c>
      <c r="N770" s="28"/>
      <c r="O770" s="28"/>
      <c r="P770" s="52"/>
      <c r="Q770" s="52"/>
      <c r="R770" s="28"/>
      <c r="S770" s="28" t="str">
        <f t="array" ref="S770">IF(C770="","",IFERROR(_xlfn.XLOOKUP(C770,Volunteers!D:D,Volunteers!A:A),""))</f>
        <v/>
      </c>
      <c r="T770" s="28"/>
    </row>
    <row r="771">
      <c r="A771" s="57"/>
      <c r="B771" s="40"/>
      <c r="C771" s="40"/>
      <c r="D771" s="40" t="str">
        <f t="array" ref="D771">IF(B771="","",IFERROR(_xlfn.XLOOKUP(B771,'Lists &amp; Settings'!A:A,'Lists &amp; Settings'!E:E),""))</f>
        <v/>
      </c>
      <c r="E771" s="40"/>
      <c r="F771" s="40"/>
      <c r="G771" s="95"/>
      <c r="H771" s="95"/>
      <c r="I771" s="51"/>
      <c r="J771" s="54" t="s">
        <v>179</v>
      </c>
      <c r="K771" s="55" t="s">
        <v>179</v>
      </c>
      <c r="L771" s="56" t="s">
        <v>179</v>
      </c>
      <c r="M771" s="56" t="s">
        <v>179</v>
      </c>
      <c r="N771" s="40"/>
      <c r="O771" s="40"/>
      <c r="P771" s="57"/>
      <c r="Q771" s="57"/>
      <c r="R771" s="40"/>
      <c r="S771" s="40" t="str">
        <f t="array" ref="S771">IF(C771="","",IFERROR(_xlfn.XLOOKUP(C771,Volunteers!D:D,Volunteers!A:A),""))</f>
        <v/>
      </c>
      <c r="T771" s="40"/>
    </row>
    <row r="772">
      <c r="A772" s="52"/>
      <c r="B772" s="28"/>
      <c r="C772" s="28"/>
      <c r="D772" s="28" t="str">
        <f t="array" ref="D772">IF(B772="","",IFERROR(_xlfn.XLOOKUP(B772,'Lists &amp; Settings'!A:A,'Lists &amp; Settings'!E:E),""))</f>
        <v/>
      </c>
      <c r="E772" s="28"/>
      <c r="F772" s="28"/>
      <c r="G772" s="98"/>
      <c r="H772" s="98"/>
      <c r="I772" s="31"/>
      <c r="J772" s="54" t="s">
        <v>179</v>
      </c>
      <c r="K772" s="55" t="s">
        <v>179</v>
      </c>
      <c r="L772" s="56" t="s">
        <v>179</v>
      </c>
      <c r="M772" s="56" t="s">
        <v>179</v>
      </c>
      <c r="N772" s="28"/>
      <c r="O772" s="28"/>
      <c r="P772" s="52"/>
      <c r="Q772" s="52"/>
      <c r="R772" s="28"/>
      <c r="S772" s="28" t="str">
        <f t="array" ref="S772">IF(C772="","",IFERROR(_xlfn.XLOOKUP(C772,Volunteers!D:D,Volunteers!A:A),""))</f>
        <v/>
      </c>
      <c r="T772" s="28"/>
    </row>
    <row r="773">
      <c r="A773" s="57"/>
      <c r="B773" s="40"/>
      <c r="C773" s="40"/>
      <c r="D773" s="40" t="str">
        <f t="array" ref="D773">IF(B773="","",IFERROR(_xlfn.XLOOKUP(B773,'Lists &amp; Settings'!A:A,'Lists &amp; Settings'!E:E),""))</f>
        <v/>
      </c>
      <c r="E773" s="40"/>
      <c r="F773" s="40"/>
      <c r="G773" s="95"/>
      <c r="H773" s="95"/>
      <c r="I773" s="51"/>
      <c r="J773" s="54" t="s">
        <v>179</v>
      </c>
      <c r="K773" s="55" t="s">
        <v>179</v>
      </c>
      <c r="L773" s="56" t="s">
        <v>179</v>
      </c>
      <c r="M773" s="56" t="s">
        <v>179</v>
      </c>
      <c r="N773" s="40"/>
      <c r="O773" s="40"/>
      <c r="P773" s="57"/>
      <c r="Q773" s="57"/>
      <c r="R773" s="40"/>
      <c r="S773" s="40" t="str">
        <f t="array" ref="S773">IF(C773="","",IFERROR(_xlfn.XLOOKUP(C773,Volunteers!D:D,Volunteers!A:A),""))</f>
        <v/>
      </c>
      <c r="T773" s="40"/>
    </row>
    <row r="774">
      <c r="A774" s="52"/>
      <c r="B774" s="28"/>
      <c r="C774" s="28"/>
      <c r="D774" s="28" t="str">
        <f t="array" ref="D774">IF(B774="","",IFERROR(_xlfn.XLOOKUP(B774,'Lists &amp; Settings'!A:A,'Lists &amp; Settings'!E:E),""))</f>
        <v/>
      </c>
      <c r="E774" s="28"/>
      <c r="F774" s="28"/>
      <c r="G774" s="98"/>
      <c r="H774" s="98"/>
      <c r="I774" s="31"/>
      <c r="J774" s="54" t="s">
        <v>179</v>
      </c>
      <c r="K774" s="55" t="s">
        <v>179</v>
      </c>
      <c r="L774" s="56" t="s">
        <v>179</v>
      </c>
      <c r="M774" s="56" t="s">
        <v>179</v>
      </c>
      <c r="N774" s="28"/>
      <c r="O774" s="28"/>
      <c r="P774" s="52"/>
      <c r="Q774" s="52"/>
      <c r="R774" s="28"/>
      <c r="S774" s="28" t="str">
        <f t="array" ref="S774">IF(C774="","",IFERROR(_xlfn.XLOOKUP(C774,Volunteers!D:D,Volunteers!A:A),""))</f>
        <v/>
      </c>
      <c r="T774" s="28"/>
    </row>
    <row r="775">
      <c r="A775" s="57"/>
      <c r="B775" s="40"/>
      <c r="C775" s="40"/>
      <c r="D775" s="40" t="str">
        <f t="array" ref="D775">IF(B775="","",IFERROR(_xlfn.XLOOKUP(B775,'Lists &amp; Settings'!A:A,'Lists &amp; Settings'!E:E),""))</f>
        <v/>
      </c>
      <c r="E775" s="40"/>
      <c r="F775" s="40"/>
      <c r="G775" s="95"/>
      <c r="H775" s="95"/>
      <c r="I775" s="51"/>
      <c r="J775" s="54" t="s">
        <v>179</v>
      </c>
      <c r="K775" s="55" t="s">
        <v>179</v>
      </c>
      <c r="L775" s="56" t="s">
        <v>179</v>
      </c>
      <c r="M775" s="56" t="s">
        <v>179</v>
      </c>
      <c r="N775" s="40"/>
      <c r="O775" s="40"/>
      <c r="P775" s="57"/>
      <c r="Q775" s="57"/>
      <c r="R775" s="40"/>
      <c r="S775" s="40" t="str">
        <f t="array" ref="S775">IF(C775="","",IFERROR(_xlfn.XLOOKUP(C775,Volunteers!D:D,Volunteers!A:A),""))</f>
        <v/>
      </c>
      <c r="T775" s="40"/>
    </row>
    <row r="776">
      <c r="A776" s="52"/>
      <c r="B776" s="28"/>
      <c r="C776" s="28"/>
      <c r="D776" s="28" t="str">
        <f t="array" ref="D776">IF(B776="","",IFERROR(_xlfn.XLOOKUP(B776,'Lists &amp; Settings'!A:A,'Lists &amp; Settings'!E:E),""))</f>
        <v/>
      </c>
      <c r="E776" s="28"/>
      <c r="F776" s="28"/>
      <c r="G776" s="98"/>
      <c r="H776" s="98"/>
      <c r="I776" s="31"/>
      <c r="J776" s="54" t="s">
        <v>179</v>
      </c>
      <c r="K776" s="55" t="s">
        <v>179</v>
      </c>
      <c r="L776" s="56" t="s">
        <v>179</v>
      </c>
      <c r="M776" s="56" t="s">
        <v>179</v>
      </c>
      <c r="N776" s="28"/>
      <c r="O776" s="28"/>
      <c r="P776" s="52"/>
      <c r="Q776" s="52"/>
      <c r="R776" s="28"/>
      <c r="S776" s="28" t="str">
        <f t="array" ref="S776">IF(C776="","",IFERROR(_xlfn.XLOOKUP(C776,Volunteers!D:D,Volunteers!A:A),""))</f>
        <v/>
      </c>
      <c r="T776" s="28"/>
    </row>
    <row r="777">
      <c r="A777" s="57"/>
      <c r="B777" s="40"/>
      <c r="C777" s="40"/>
      <c r="D777" s="40" t="str">
        <f t="array" ref="D777">IF(B777="","",IFERROR(_xlfn.XLOOKUP(B777,'Lists &amp; Settings'!A:A,'Lists &amp; Settings'!E:E),""))</f>
        <v/>
      </c>
      <c r="E777" s="40"/>
      <c r="F777" s="40"/>
      <c r="G777" s="95"/>
      <c r="H777" s="95"/>
      <c r="I777" s="51"/>
      <c r="J777" s="54" t="s">
        <v>179</v>
      </c>
      <c r="K777" s="55" t="s">
        <v>179</v>
      </c>
      <c r="L777" s="56" t="s">
        <v>179</v>
      </c>
      <c r="M777" s="56" t="s">
        <v>179</v>
      </c>
      <c r="N777" s="40"/>
      <c r="O777" s="40"/>
      <c r="P777" s="57"/>
      <c r="Q777" s="57"/>
      <c r="R777" s="40"/>
      <c r="S777" s="40" t="str">
        <f t="array" ref="S777">IF(C777="","",IFERROR(_xlfn.XLOOKUP(C777,Volunteers!D:D,Volunteers!A:A),""))</f>
        <v/>
      </c>
      <c r="T777" s="40"/>
    </row>
    <row r="778">
      <c r="A778" s="52"/>
      <c r="B778" s="28"/>
      <c r="C778" s="28"/>
      <c r="D778" s="28" t="str">
        <f t="array" ref="D778">IF(B778="","",IFERROR(_xlfn.XLOOKUP(B778,'Lists &amp; Settings'!A:A,'Lists &amp; Settings'!E:E),""))</f>
        <v/>
      </c>
      <c r="E778" s="28"/>
      <c r="F778" s="28"/>
      <c r="G778" s="98"/>
      <c r="H778" s="98"/>
      <c r="I778" s="31"/>
      <c r="J778" s="54" t="s">
        <v>179</v>
      </c>
      <c r="K778" s="55" t="s">
        <v>179</v>
      </c>
      <c r="L778" s="56" t="s">
        <v>179</v>
      </c>
      <c r="M778" s="56" t="s">
        <v>179</v>
      </c>
      <c r="N778" s="28"/>
      <c r="O778" s="28"/>
      <c r="P778" s="52"/>
      <c r="Q778" s="52"/>
      <c r="R778" s="28"/>
      <c r="S778" s="28" t="str">
        <f t="array" ref="S778">IF(C778="","",IFERROR(_xlfn.XLOOKUP(C778,Volunteers!D:D,Volunteers!A:A),""))</f>
        <v/>
      </c>
      <c r="T778" s="28"/>
    </row>
    <row r="779">
      <c r="A779" s="57"/>
      <c r="B779" s="40"/>
      <c r="C779" s="40"/>
      <c r="D779" s="40" t="str">
        <f t="array" ref="D779">IF(B779="","",IFERROR(_xlfn.XLOOKUP(B779,'Lists &amp; Settings'!A:A,'Lists &amp; Settings'!E:E),""))</f>
        <v/>
      </c>
      <c r="E779" s="40"/>
      <c r="F779" s="40"/>
      <c r="G779" s="95"/>
      <c r="H779" s="95"/>
      <c r="I779" s="51"/>
      <c r="J779" s="54" t="s">
        <v>179</v>
      </c>
      <c r="K779" s="55" t="s">
        <v>179</v>
      </c>
      <c r="L779" s="56" t="s">
        <v>179</v>
      </c>
      <c r="M779" s="56" t="s">
        <v>179</v>
      </c>
      <c r="N779" s="40"/>
      <c r="O779" s="40"/>
      <c r="P779" s="57"/>
      <c r="Q779" s="57"/>
      <c r="R779" s="40"/>
      <c r="S779" s="40" t="str">
        <f t="array" ref="S779">IF(C779="","",IFERROR(_xlfn.XLOOKUP(C779,Volunteers!D:D,Volunteers!A:A),""))</f>
        <v/>
      </c>
      <c r="T779" s="40"/>
    </row>
    <row r="780">
      <c r="A780" s="52"/>
      <c r="B780" s="28"/>
      <c r="C780" s="28"/>
      <c r="D780" s="28" t="str">
        <f t="array" ref="D780">IF(B780="","",IFERROR(_xlfn.XLOOKUP(B780,'Lists &amp; Settings'!A:A,'Lists &amp; Settings'!E:E),""))</f>
        <v/>
      </c>
      <c r="E780" s="28"/>
      <c r="F780" s="28"/>
      <c r="G780" s="98"/>
      <c r="H780" s="98"/>
      <c r="I780" s="31"/>
      <c r="J780" s="54" t="s">
        <v>179</v>
      </c>
      <c r="K780" s="55" t="s">
        <v>179</v>
      </c>
      <c r="L780" s="56" t="s">
        <v>179</v>
      </c>
      <c r="M780" s="56" t="s">
        <v>179</v>
      </c>
      <c r="N780" s="28"/>
      <c r="O780" s="28"/>
      <c r="P780" s="52"/>
      <c r="Q780" s="52"/>
      <c r="R780" s="28"/>
      <c r="S780" s="28" t="str">
        <f t="array" ref="S780">IF(C780="","",IFERROR(_xlfn.XLOOKUP(C780,Volunteers!D:D,Volunteers!A:A),""))</f>
        <v/>
      </c>
      <c r="T780" s="28"/>
    </row>
    <row r="781">
      <c r="A781" s="57"/>
      <c r="B781" s="40"/>
      <c r="C781" s="40"/>
      <c r="D781" s="40" t="str">
        <f t="array" ref="D781">IF(B781="","",IFERROR(_xlfn.XLOOKUP(B781,'Lists &amp; Settings'!A:A,'Lists &amp; Settings'!E:E),""))</f>
        <v/>
      </c>
      <c r="E781" s="40"/>
      <c r="F781" s="40"/>
      <c r="G781" s="95"/>
      <c r="H781" s="95"/>
      <c r="I781" s="51"/>
      <c r="J781" s="54" t="s">
        <v>179</v>
      </c>
      <c r="K781" s="55" t="s">
        <v>179</v>
      </c>
      <c r="L781" s="56" t="s">
        <v>179</v>
      </c>
      <c r="M781" s="56" t="s">
        <v>179</v>
      </c>
      <c r="N781" s="40"/>
      <c r="O781" s="40"/>
      <c r="P781" s="57"/>
      <c r="Q781" s="57"/>
      <c r="R781" s="40"/>
      <c r="S781" s="40" t="str">
        <f t="array" ref="S781">IF(C781="","",IFERROR(_xlfn.XLOOKUP(C781,Volunteers!D:D,Volunteers!A:A),""))</f>
        <v/>
      </c>
      <c r="T781" s="40"/>
    </row>
    <row r="782">
      <c r="A782" s="52"/>
      <c r="B782" s="28"/>
      <c r="C782" s="28"/>
      <c r="D782" s="28" t="str">
        <f t="array" ref="D782">IF(B782="","",IFERROR(_xlfn.XLOOKUP(B782,'Lists &amp; Settings'!A:A,'Lists &amp; Settings'!E:E),""))</f>
        <v/>
      </c>
      <c r="E782" s="28"/>
      <c r="F782" s="28"/>
      <c r="G782" s="98"/>
      <c r="H782" s="98"/>
      <c r="I782" s="31"/>
      <c r="J782" s="54" t="s">
        <v>179</v>
      </c>
      <c r="K782" s="55" t="s">
        <v>179</v>
      </c>
      <c r="L782" s="56" t="s">
        <v>179</v>
      </c>
      <c r="M782" s="56" t="s">
        <v>179</v>
      </c>
      <c r="N782" s="28"/>
      <c r="O782" s="28"/>
      <c r="P782" s="52"/>
      <c r="Q782" s="52"/>
      <c r="R782" s="28"/>
      <c r="S782" s="28" t="str">
        <f t="array" ref="S782">IF(C782="","",IFERROR(_xlfn.XLOOKUP(C782,Volunteers!D:D,Volunteers!A:A),""))</f>
        <v/>
      </c>
      <c r="T782" s="28"/>
    </row>
    <row r="783">
      <c r="A783" s="57"/>
      <c r="B783" s="40"/>
      <c r="C783" s="40"/>
      <c r="D783" s="40" t="str">
        <f t="array" ref="D783">IF(B783="","",IFERROR(_xlfn.XLOOKUP(B783,'Lists &amp; Settings'!A:A,'Lists &amp; Settings'!E:E),""))</f>
        <v/>
      </c>
      <c r="E783" s="40"/>
      <c r="F783" s="40"/>
      <c r="G783" s="95"/>
      <c r="H783" s="95"/>
      <c r="I783" s="51"/>
      <c r="J783" s="54" t="s">
        <v>179</v>
      </c>
      <c r="K783" s="55" t="s">
        <v>179</v>
      </c>
      <c r="L783" s="56" t="s">
        <v>179</v>
      </c>
      <c r="M783" s="56" t="s">
        <v>179</v>
      </c>
      <c r="N783" s="40"/>
      <c r="O783" s="40"/>
      <c r="P783" s="57"/>
      <c r="Q783" s="57"/>
      <c r="R783" s="40"/>
      <c r="S783" s="40" t="str">
        <f t="array" ref="S783">IF(C783="","",IFERROR(_xlfn.XLOOKUP(C783,Volunteers!D:D,Volunteers!A:A),""))</f>
        <v/>
      </c>
      <c r="T783" s="40"/>
    </row>
    <row r="784">
      <c r="A784" s="52"/>
      <c r="B784" s="28"/>
      <c r="C784" s="28"/>
      <c r="D784" s="28" t="str">
        <f t="array" ref="D784">IF(B784="","",IFERROR(_xlfn.XLOOKUP(B784,'Lists &amp; Settings'!A:A,'Lists &amp; Settings'!E:E),""))</f>
        <v/>
      </c>
      <c r="E784" s="28"/>
      <c r="F784" s="28"/>
      <c r="G784" s="98"/>
      <c r="H784" s="98"/>
      <c r="I784" s="31"/>
      <c r="J784" s="54" t="s">
        <v>179</v>
      </c>
      <c r="K784" s="55" t="s">
        <v>179</v>
      </c>
      <c r="L784" s="56" t="s">
        <v>179</v>
      </c>
      <c r="M784" s="56" t="s">
        <v>179</v>
      </c>
      <c r="N784" s="28"/>
      <c r="O784" s="28"/>
      <c r="P784" s="52"/>
      <c r="Q784" s="52"/>
      <c r="R784" s="28"/>
      <c r="S784" s="28" t="str">
        <f t="array" ref="S784">IF(C784="","",IFERROR(_xlfn.XLOOKUP(C784,Volunteers!D:D,Volunteers!A:A),""))</f>
        <v/>
      </c>
      <c r="T784" s="28"/>
    </row>
    <row r="785">
      <c r="A785" s="57"/>
      <c r="B785" s="40"/>
      <c r="C785" s="40"/>
      <c r="D785" s="40" t="str">
        <f t="array" ref="D785">IF(B785="","",IFERROR(_xlfn.XLOOKUP(B785,'Lists &amp; Settings'!A:A,'Lists &amp; Settings'!E:E),""))</f>
        <v/>
      </c>
      <c r="E785" s="40"/>
      <c r="F785" s="40"/>
      <c r="G785" s="95"/>
      <c r="H785" s="95"/>
      <c r="I785" s="51"/>
      <c r="J785" s="54" t="s">
        <v>179</v>
      </c>
      <c r="K785" s="55" t="s">
        <v>179</v>
      </c>
      <c r="L785" s="56" t="s">
        <v>179</v>
      </c>
      <c r="M785" s="56" t="s">
        <v>179</v>
      </c>
      <c r="N785" s="40"/>
      <c r="O785" s="40"/>
      <c r="P785" s="57"/>
      <c r="Q785" s="57"/>
      <c r="R785" s="40"/>
      <c r="S785" s="40" t="str">
        <f t="array" ref="S785">IF(C785="","",IFERROR(_xlfn.XLOOKUP(C785,Volunteers!D:D,Volunteers!A:A),""))</f>
        <v/>
      </c>
      <c r="T785" s="40"/>
    </row>
    <row r="786">
      <c r="A786" s="52"/>
      <c r="B786" s="28"/>
      <c r="C786" s="28"/>
      <c r="D786" s="28" t="str">
        <f t="array" ref="D786">IF(B786="","",IFERROR(_xlfn.XLOOKUP(B786,'Lists &amp; Settings'!A:A,'Lists &amp; Settings'!E:E),""))</f>
        <v/>
      </c>
      <c r="E786" s="28"/>
      <c r="F786" s="28"/>
      <c r="G786" s="98"/>
      <c r="H786" s="98"/>
      <c r="I786" s="31"/>
      <c r="J786" s="54" t="s">
        <v>179</v>
      </c>
      <c r="K786" s="55" t="s">
        <v>179</v>
      </c>
      <c r="L786" s="56" t="s">
        <v>179</v>
      </c>
      <c r="M786" s="56" t="s">
        <v>179</v>
      </c>
      <c r="N786" s="28"/>
      <c r="O786" s="28"/>
      <c r="P786" s="52"/>
      <c r="Q786" s="52"/>
      <c r="R786" s="28"/>
      <c r="S786" s="28" t="str">
        <f t="array" ref="S786">IF(C786="","",IFERROR(_xlfn.XLOOKUP(C786,Volunteers!D:D,Volunteers!A:A),""))</f>
        <v/>
      </c>
      <c r="T786" s="28"/>
    </row>
    <row r="787">
      <c r="A787" s="57"/>
      <c r="B787" s="40"/>
      <c r="C787" s="40"/>
      <c r="D787" s="40" t="str">
        <f t="array" ref="D787">IF(B787="","",IFERROR(_xlfn.XLOOKUP(B787,'Lists &amp; Settings'!A:A,'Lists &amp; Settings'!E:E),""))</f>
        <v/>
      </c>
      <c r="E787" s="40"/>
      <c r="F787" s="40"/>
      <c r="G787" s="95"/>
      <c r="H787" s="95"/>
      <c r="I787" s="51"/>
      <c r="J787" s="54" t="s">
        <v>179</v>
      </c>
      <c r="K787" s="55" t="s">
        <v>179</v>
      </c>
      <c r="L787" s="56" t="s">
        <v>179</v>
      </c>
      <c r="M787" s="56" t="s">
        <v>179</v>
      </c>
      <c r="N787" s="40"/>
      <c r="O787" s="40"/>
      <c r="P787" s="57"/>
      <c r="Q787" s="57"/>
      <c r="R787" s="40"/>
      <c r="S787" s="40" t="str">
        <f t="array" ref="S787">IF(C787="","",IFERROR(_xlfn.XLOOKUP(C787,Volunteers!D:D,Volunteers!A:A),""))</f>
        <v/>
      </c>
      <c r="T787" s="40"/>
    </row>
    <row r="788">
      <c r="A788" s="52"/>
      <c r="B788" s="28"/>
      <c r="C788" s="28"/>
      <c r="D788" s="28" t="str">
        <f t="array" ref="D788">IF(B788="","",IFERROR(_xlfn.XLOOKUP(B788,'Lists &amp; Settings'!A:A,'Lists &amp; Settings'!E:E),""))</f>
        <v/>
      </c>
      <c r="E788" s="28"/>
      <c r="F788" s="28"/>
      <c r="G788" s="98"/>
      <c r="H788" s="98"/>
      <c r="I788" s="31"/>
      <c r="J788" s="54" t="s">
        <v>179</v>
      </c>
      <c r="K788" s="55" t="s">
        <v>179</v>
      </c>
      <c r="L788" s="56" t="s">
        <v>179</v>
      </c>
      <c r="M788" s="56" t="s">
        <v>179</v>
      </c>
      <c r="N788" s="28"/>
      <c r="O788" s="28"/>
      <c r="P788" s="52"/>
      <c r="Q788" s="52"/>
      <c r="R788" s="28"/>
      <c r="S788" s="28" t="str">
        <f t="array" ref="S788">IF(C788="","",IFERROR(_xlfn.XLOOKUP(C788,Volunteers!D:D,Volunteers!A:A),""))</f>
        <v/>
      </c>
      <c r="T788" s="28"/>
    </row>
    <row r="789">
      <c r="A789" s="57"/>
      <c r="B789" s="40"/>
      <c r="C789" s="40"/>
      <c r="D789" s="40" t="str">
        <f t="array" ref="D789">IF(B789="","",IFERROR(_xlfn.XLOOKUP(B789,'Lists &amp; Settings'!A:A,'Lists &amp; Settings'!E:E),""))</f>
        <v/>
      </c>
      <c r="E789" s="40"/>
      <c r="F789" s="40"/>
      <c r="G789" s="95"/>
      <c r="H789" s="95"/>
      <c r="I789" s="51"/>
      <c r="J789" s="54" t="s">
        <v>179</v>
      </c>
      <c r="K789" s="55" t="s">
        <v>179</v>
      </c>
      <c r="L789" s="56" t="s">
        <v>179</v>
      </c>
      <c r="M789" s="56" t="s">
        <v>179</v>
      </c>
      <c r="N789" s="40"/>
      <c r="O789" s="40"/>
      <c r="P789" s="57"/>
      <c r="Q789" s="57"/>
      <c r="R789" s="40"/>
      <c r="S789" s="40" t="str">
        <f t="array" ref="S789">IF(C789="","",IFERROR(_xlfn.XLOOKUP(C789,Volunteers!D:D,Volunteers!A:A),""))</f>
        <v/>
      </c>
      <c r="T789" s="40"/>
    </row>
    <row r="790">
      <c r="A790" s="52"/>
      <c r="B790" s="28"/>
      <c r="C790" s="28"/>
      <c r="D790" s="28" t="str">
        <f t="array" ref="D790">IF(B790="","",IFERROR(_xlfn.XLOOKUP(B790,'Lists &amp; Settings'!A:A,'Lists &amp; Settings'!E:E),""))</f>
        <v/>
      </c>
      <c r="E790" s="28"/>
      <c r="F790" s="28"/>
      <c r="G790" s="98"/>
      <c r="H790" s="98"/>
      <c r="I790" s="31"/>
      <c r="J790" s="54" t="s">
        <v>179</v>
      </c>
      <c r="K790" s="55" t="s">
        <v>179</v>
      </c>
      <c r="L790" s="56" t="s">
        <v>179</v>
      </c>
      <c r="M790" s="56" t="s">
        <v>179</v>
      </c>
      <c r="N790" s="28"/>
      <c r="O790" s="28"/>
      <c r="P790" s="52"/>
      <c r="Q790" s="52"/>
      <c r="R790" s="28"/>
      <c r="S790" s="28" t="str">
        <f t="array" ref="S790">IF(C790="","",IFERROR(_xlfn.XLOOKUP(C790,Volunteers!D:D,Volunteers!A:A),""))</f>
        <v/>
      </c>
      <c r="T790" s="28"/>
    </row>
    <row r="791">
      <c r="A791" s="57"/>
      <c r="B791" s="40"/>
      <c r="C791" s="40"/>
      <c r="D791" s="40" t="str">
        <f t="array" ref="D791">IF(B791="","",IFERROR(_xlfn.XLOOKUP(B791,'Lists &amp; Settings'!A:A,'Lists &amp; Settings'!E:E),""))</f>
        <v/>
      </c>
      <c r="E791" s="40"/>
      <c r="F791" s="40"/>
      <c r="G791" s="95"/>
      <c r="H791" s="95"/>
      <c r="I791" s="51"/>
      <c r="J791" s="54" t="s">
        <v>179</v>
      </c>
      <c r="K791" s="55" t="s">
        <v>179</v>
      </c>
      <c r="L791" s="56" t="s">
        <v>179</v>
      </c>
      <c r="M791" s="56" t="s">
        <v>179</v>
      </c>
      <c r="N791" s="40"/>
      <c r="O791" s="40"/>
      <c r="P791" s="57"/>
      <c r="Q791" s="57"/>
      <c r="R791" s="40"/>
      <c r="S791" s="40" t="str">
        <f t="array" ref="S791">IF(C791="","",IFERROR(_xlfn.XLOOKUP(C791,Volunteers!D:D,Volunteers!A:A),""))</f>
        <v/>
      </c>
      <c r="T791" s="40"/>
    </row>
    <row r="792">
      <c r="A792" s="52"/>
      <c r="B792" s="28"/>
      <c r="C792" s="28"/>
      <c r="D792" s="28" t="str">
        <f t="array" ref="D792">IF(B792="","",IFERROR(_xlfn.XLOOKUP(B792,'Lists &amp; Settings'!A:A,'Lists &amp; Settings'!E:E),""))</f>
        <v/>
      </c>
      <c r="E792" s="28"/>
      <c r="F792" s="28"/>
      <c r="G792" s="98"/>
      <c r="H792" s="98"/>
      <c r="I792" s="31"/>
      <c r="J792" s="54" t="s">
        <v>179</v>
      </c>
      <c r="K792" s="55" t="s">
        <v>179</v>
      </c>
      <c r="L792" s="56" t="s">
        <v>179</v>
      </c>
      <c r="M792" s="56" t="s">
        <v>179</v>
      </c>
      <c r="N792" s="28"/>
      <c r="O792" s="28"/>
      <c r="P792" s="52"/>
      <c r="Q792" s="52"/>
      <c r="R792" s="28"/>
      <c r="S792" s="28" t="str">
        <f t="array" ref="S792">IF(C792="","",IFERROR(_xlfn.XLOOKUP(C792,Volunteers!D:D,Volunteers!A:A),""))</f>
        <v/>
      </c>
      <c r="T792" s="28"/>
    </row>
    <row r="793">
      <c r="A793" s="57"/>
      <c r="B793" s="40"/>
      <c r="C793" s="40"/>
      <c r="D793" s="40" t="str">
        <f t="array" ref="D793">IF(B793="","",IFERROR(_xlfn.XLOOKUP(B793,'Lists &amp; Settings'!A:A,'Lists &amp; Settings'!E:E),""))</f>
        <v/>
      </c>
      <c r="E793" s="40"/>
      <c r="F793" s="40"/>
      <c r="G793" s="95"/>
      <c r="H793" s="95"/>
      <c r="I793" s="51"/>
      <c r="J793" s="54" t="s">
        <v>179</v>
      </c>
      <c r="K793" s="55" t="s">
        <v>179</v>
      </c>
      <c r="L793" s="56" t="s">
        <v>179</v>
      </c>
      <c r="M793" s="56" t="s">
        <v>179</v>
      </c>
      <c r="N793" s="40"/>
      <c r="O793" s="40"/>
      <c r="P793" s="57"/>
      <c r="Q793" s="57"/>
      <c r="R793" s="40"/>
      <c r="S793" s="40" t="str">
        <f t="array" ref="S793">IF(C793="","",IFERROR(_xlfn.XLOOKUP(C793,Volunteers!D:D,Volunteers!A:A),""))</f>
        <v/>
      </c>
      <c r="T793" s="40"/>
    </row>
    <row r="794">
      <c r="A794" s="52"/>
      <c r="B794" s="28"/>
      <c r="C794" s="28"/>
      <c r="D794" s="28" t="str">
        <f t="array" ref="D794">IF(B794="","",IFERROR(_xlfn.XLOOKUP(B794,'Lists &amp; Settings'!A:A,'Lists &amp; Settings'!E:E),""))</f>
        <v/>
      </c>
      <c r="E794" s="28"/>
      <c r="F794" s="28"/>
      <c r="G794" s="98"/>
      <c r="H794" s="98"/>
      <c r="I794" s="31"/>
      <c r="J794" s="54" t="s">
        <v>179</v>
      </c>
      <c r="K794" s="55" t="s">
        <v>179</v>
      </c>
      <c r="L794" s="56" t="s">
        <v>179</v>
      </c>
      <c r="M794" s="56" t="s">
        <v>179</v>
      </c>
      <c r="N794" s="28"/>
      <c r="O794" s="28"/>
      <c r="P794" s="52"/>
      <c r="Q794" s="52"/>
      <c r="R794" s="28"/>
      <c r="S794" s="28" t="str">
        <f t="array" ref="S794">IF(C794="","",IFERROR(_xlfn.XLOOKUP(C794,Volunteers!D:D,Volunteers!A:A),""))</f>
        <v/>
      </c>
      <c r="T794" s="28"/>
    </row>
    <row r="795">
      <c r="A795" s="57"/>
      <c r="B795" s="40"/>
      <c r="C795" s="40"/>
      <c r="D795" s="40" t="str">
        <f t="array" ref="D795">IF(B795="","",IFERROR(_xlfn.XLOOKUP(B795,'Lists &amp; Settings'!A:A,'Lists &amp; Settings'!E:E),""))</f>
        <v/>
      </c>
      <c r="E795" s="40"/>
      <c r="F795" s="40"/>
      <c r="G795" s="95"/>
      <c r="H795" s="95"/>
      <c r="I795" s="51"/>
      <c r="J795" s="54" t="s">
        <v>179</v>
      </c>
      <c r="K795" s="55" t="s">
        <v>179</v>
      </c>
      <c r="L795" s="56" t="s">
        <v>179</v>
      </c>
      <c r="M795" s="56" t="s">
        <v>179</v>
      </c>
      <c r="N795" s="40"/>
      <c r="O795" s="40"/>
      <c r="P795" s="57"/>
      <c r="Q795" s="57"/>
      <c r="R795" s="40"/>
      <c r="S795" s="40" t="str">
        <f t="array" ref="S795">IF(C795="","",IFERROR(_xlfn.XLOOKUP(C795,Volunteers!D:D,Volunteers!A:A),""))</f>
        <v/>
      </c>
      <c r="T795" s="40"/>
    </row>
    <row r="796">
      <c r="A796" s="52"/>
      <c r="B796" s="28"/>
      <c r="C796" s="28"/>
      <c r="D796" s="28" t="str">
        <f t="array" ref="D796">IF(B796="","",IFERROR(_xlfn.XLOOKUP(B796,'Lists &amp; Settings'!A:A,'Lists &amp; Settings'!E:E),""))</f>
        <v/>
      </c>
      <c r="E796" s="28"/>
      <c r="F796" s="28"/>
      <c r="G796" s="98"/>
      <c r="H796" s="98"/>
      <c r="I796" s="31"/>
      <c r="J796" s="54" t="s">
        <v>179</v>
      </c>
      <c r="K796" s="55" t="s">
        <v>179</v>
      </c>
      <c r="L796" s="56" t="s">
        <v>179</v>
      </c>
      <c r="M796" s="56" t="s">
        <v>179</v>
      </c>
      <c r="N796" s="28"/>
      <c r="O796" s="28"/>
      <c r="P796" s="52"/>
      <c r="Q796" s="52"/>
      <c r="R796" s="28"/>
      <c r="S796" s="28" t="str">
        <f t="array" ref="S796">IF(C796="","",IFERROR(_xlfn.XLOOKUP(C796,Volunteers!D:D,Volunteers!A:A),""))</f>
        <v/>
      </c>
      <c r="T796" s="28"/>
    </row>
    <row r="797">
      <c r="A797" s="57"/>
      <c r="B797" s="40"/>
      <c r="C797" s="40"/>
      <c r="D797" s="40" t="str">
        <f t="array" ref="D797">IF(B797="","",IFERROR(_xlfn.XLOOKUP(B797,'Lists &amp; Settings'!A:A,'Lists &amp; Settings'!E:E),""))</f>
        <v/>
      </c>
      <c r="E797" s="40"/>
      <c r="F797" s="40"/>
      <c r="G797" s="95"/>
      <c r="H797" s="95"/>
      <c r="I797" s="51"/>
      <c r="J797" s="54" t="s">
        <v>179</v>
      </c>
      <c r="K797" s="55" t="s">
        <v>179</v>
      </c>
      <c r="L797" s="56" t="s">
        <v>179</v>
      </c>
      <c r="M797" s="56" t="s">
        <v>179</v>
      </c>
      <c r="N797" s="40"/>
      <c r="O797" s="40"/>
      <c r="P797" s="57"/>
      <c r="Q797" s="57"/>
      <c r="R797" s="40"/>
      <c r="S797" s="40" t="str">
        <f t="array" ref="S797">IF(C797="","",IFERROR(_xlfn.XLOOKUP(C797,Volunteers!D:D,Volunteers!A:A),""))</f>
        <v/>
      </c>
      <c r="T797" s="40"/>
    </row>
    <row r="798">
      <c r="A798" s="52"/>
      <c r="B798" s="28"/>
      <c r="C798" s="28"/>
      <c r="D798" s="28" t="str">
        <f t="array" ref="D798">IF(B798="","",IFERROR(_xlfn.XLOOKUP(B798,'Lists &amp; Settings'!A:A,'Lists &amp; Settings'!E:E),""))</f>
        <v/>
      </c>
      <c r="E798" s="28"/>
      <c r="F798" s="28"/>
      <c r="G798" s="98"/>
      <c r="H798" s="98"/>
      <c r="I798" s="31"/>
      <c r="J798" s="54" t="s">
        <v>179</v>
      </c>
      <c r="K798" s="55" t="s">
        <v>179</v>
      </c>
      <c r="L798" s="56" t="s">
        <v>179</v>
      </c>
      <c r="M798" s="56" t="s">
        <v>179</v>
      </c>
      <c r="N798" s="28"/>
      <c r="O798" s="28"/>
      <c r="P798" s="52"/>
      <c r="Q798" s="52"/>
      <c r="R798" s="28"/>
      <c r="S798" s="28" t="str">
        <f t="array" ref="S798">IF(C798="","",IFERROR(_xlfn.XLOOKUP(C798,Volunteers!D:D,Volunteers!A:A),""))</f>
        <v/>
      </c>
      <c r="T798" s="28"/>
    </row>
    <row r="799">
      <c r="A799" s="57"/>
      <c r="B799" s="40"/>
      <c r="C799" s="40"/>
      <c r="D799" s="40" t="str">
        <f t="array" ref="D799">IF(B799="","",IFERROR(_xlfn.XLOOKUP(B799,'Lists &amp; Settings'!A:A,'Lists &amp; Settings'!E:E),""))</f>
        <v/>
      </c>
      <c r="E799" s="40"/>
      <c r="F799" s="40"/>
      <c r="G799" s="95"/>
      <c r="H799" s="95"/>
      <c r="I799" s="51"/>
      <c r="J799" s="54" t="s">
        <v>179</v>
      </c>
      <c r="K799" s="55" t="s">
        <v>179</v>
      </c>
      <c r="L799" s="56" t="s">
        <v>179</v>
      </c>
      <c r="M799" s="56" t="s">
        <v>179</v>
      </c>
      <c r="N799" s="40"/>
      <c r="O799" s="40"/>
      <c r="P799" s="57"/>
      <c r="Q799" s="57"/>
      <c r="R799" s="40"/>
      <c r="S799" s="40" t="str">
        <f t="array" ref="S799">IF(C799="","",IFERROR(_xlfn.XLOOKUP(C799,Volunteers!D:D,Volunteers!A:A),""))</f>
        <v/>
      </c>
      <c r="T799" s="40"/>
    </row>
    <row r="800">
      <c r="A800" s="52"/>
      <c r="B800" s="28"/>
      <c r="C800" s="28"/>
      <c r="D800" s="28" t="str">
        <f t="array" ref="D800">IF(B800="","",IFERROR(_xlfn.XLOOKUP(B800,'Lists &amp; Settings'!A:A,'Lists &amp; Settings'!E:E),""))</f>
        <v/>
      </c>
      <c r="E800" s="28"/>
      <c r="F800" s="28"/>
      <c r="G800" s="98"/>
      <c r="H800" s="98"/>
      <c r="I800" s="31"/>
      <c r="J800" s="54" t="s">
        <v>179</v>
      </c>
      <c r="K800" s="55" t="s">
        <v>179</v>
      </c>
      <c r="L800" s="56" t="s">
        <v>179</v>
      </c>
      <c r="M800" s="56" t="s">
        <v>179</v>
      </c>
      <c r="N800" s="28"/>
      <c r="O800" s="28"/>
      <c r="P800" s="52"/>
      <c r="Q800" s="52"/>
      <c r="R800" s="28"/>
      <c r="S800" s="28" t="str">
        <f t="array" ref="S800">IF(C800="","",IFERROR(_xlfn.XLOOKUP(C800,Volunteers!D:D,Volunteers!A:A),""))</f>
        <v/>
      </c>
      <c r="T800" s="28"/>
    </row>
    <row r="801">
      <c r="A801" s="57"/>
      <c r="B801" s="40"/>
      <c r="C801" s="40"/>
      <c r="D801" s="40" t="str">
        <f t="array" ref="D801">IF(B801="","",IFERROR(_xlfn.XLOOKUP(B801,'Lists &amp; Settings'!A:A,'Lists &amp; Settings'!E:E),""))</f>
        <v/>
      </c>
      <c r="E801" s="40"/>
      <c r="F801" s="40"/>
      <c r="G801" s="95"/>
      <c r="H801" s="95"/>
      <c r="I801" s="51"/>
      <c r="J801" s="54" t="s">
        <v>179</v>
      </c>
      <c r="K801" s="55" t="s">
        <v>179</v>
      </c>
      <c r="L801" s="56" t="s">
        <v>179</v>
      </c>
      <c r="M801" s="56" t="s">
        <v>179</v>
      </c>
      <c r="N801" s="40"/>
      <c r="O801" s="40"/>
      <c r="P801" s="57"/>
      <c r="Q801" s="57"/>
      <c r="R801" s="40"/>
      <c r="S801" s="40" t="str">
        <f t="array" ref="S801">IF(C801="","",IFERROR(_xlfn.XLOOKUP(C801,Volunteers!D:D,Volunteers!A:A),""))</f>
        <v/>
      </c>
      <c r="T801" s="40"/>
    </row>
    <row r="802">
      <c r="A802" s="52"/>
      <c r="B802" s="28"/>
      <c r="C802" s="28"/>
      <c r="D802" s="28" t="str">
        <f t="array" ref="D802">IF(B802="","",IFERROR(_xlfn.XLOOKUP(B802,'Lists &amp; Settings'!A:A,'Lists &amp; Settings'!E:E),""))</f>
        <v/>
      </c>
      <c r="E802" s="28"/>
      <c r="F802" s="28"/>
      <c r="G802" s="98"/>
      <c r="H802" s="98"/>
      <c r="I802" s="31"/>
      <c r="J802" s="54" t="s">
        <v>179</v>
      </c>
      <c r="K802" s="55" t="s">
        <v>179</v>
      </c>
      <c r="L802" s="56" t="s">
        <v>179</v>
      </c>
      <c r="M802" s="56" t="s">
        <v>179</v>
      </c>
      <c r="N802" s="28"/>
      <c r="O802" s="28"/>
      <c r="P802" s="52"/>
      <c r="Q802" s="52"/>
      <c r="R802" s="28"/>
      <c r="S802" s="28" t="str">
        <f t="array" ref="S802">IF(C802="","",IFERROR(_xlfn.XLOOKUP(C802,Volunteers!D:D,Volunteers!A:A),""))</f>
        <v/>
      </c>
      <c r="T802" s="28"/>
    </row>
    <row r="803">
      <c r="A803" s="57"/>
      <c r="B803" s="40"/>
      <c r="C803" s="40"/>
      <c r="D803" s="40" t="str">
        <f t="array" ref="D803">IF(B803="","",IFERROR(_xlfn.XLOOKUP(B803,'Lists &amp; Settings'!A:A,'Lists &amp; Settings'!E:E),""))</f>
        <v/>
      </c>
      <c r="E803" s="40"/>
      <c r="F803" s="40"/>
      <c r="G803" s="95"/>
      <c r="H803" s="95"/>
      <c r="I803" s="51"/>
      <c r="J803" s="54" t="s">
        <v>179</v>
      </c>
      <c r="K803" s="55" t="s">
        <v>179</v>
      </c>
      <c r="L803" s="56" t="s">
        <v>179</v>
      </c>
      <c r="M803" s="56" t="s">
        <v>179</v>
      </c>
      <c r="N803" s="40"/>
      <c r="O803" s="40"/>
      <c r="P803" s="57"/>
      <c r="Q803" s="57"/>
      <c r="R803" s="40"/>
      <c r="S803" s="40" t="str">
        <f t="array" ref="S803">IF(C803="","",IFERROR(_xlfn.XLOOKUP(C803,Volunteers!D:D,Volunteers!A:A),""))</f>
        <v/>
      </c>
      <c r="T803" s="40"/>
    </row>
    <row r="804">
      <c r="A804" s="52"/>
      <c r="B804" s="28"/>
      <c r="C804" s="28"/>
      <c r="D804" s="28" t="str">
        <f t="array" ref="D804">IF(B804="","",IFERROR(_xlfn.XLOOKUP(B804,'Lists &amp; Settings'!A:A,'Lists &amp; Settings'!E:E),""))</f>
        <v/>
      </c>
      <c r="E804" s="28"/>
      <c r="F804" s="28"/>
      <c r="G804" s="98"/>
      <c r="H804" s="98"/>
      <c r="I804" s="31"/>
      <c r="J804" s="54" t="s">
        <v>179</v>
      </c>
      <c r="K804" s="55" t="s">
        <v>179</v>
      </c>
      <c r="L804" s="56" t="s">
        <v>179</v>
      </c>
      <c r="M804" s="56" t="s">
        <v>179</v>
      </c>
      <c r="N804" s="28"/>
      <c r="O804" s="28"/>
      <c r="P804" s="52"/>
      <c r="Q804" s="52"/>
      <c r="R804" s="28"/>
      <c r="S804" s="28" t="str">
        <f t="array" ref="S804">IF(C804="","",IFERROR(_xlfn.XLOOKUP(C804,Volunteers!D:D,Volunteers!A:A),""))</f>
        <v/>
      </c>
      <c r="T804" s="28"/>
    </row>
    <row r="805">
      <c r="A805" s="57"/>
      <c r="B805" s="40"/>
      <c r="C805" s="40"/>
      <c r="D805" s="40" t="str">
        <f t="array" ref="D805">IF(B805="","",IFERROR(_xlfn.XLOOKUP(B805,'Lists &amp; Settings'!A:A,'Lists &amp; Settings'!E:E),""))</f>
        <v/>
      </c>
      <c r="E805" s="40"/>
      <c r="F805" s="40"/>
      <c r="G805" s="95"/>
      <c r="H805" s="95"/>
      <c r="I805" s="51"/>
      <c r="J805" s="54" t="s">
        <v>179</v>
      </c>
      <c r="K805" s="55" t="s">
        <v>179</v>
      </c>
      <c r="L805" s="56" t="s">
        <v>179</v>
      </c>
      <c r="M805" s="56" t="s">
        <v>179</v>
      </c>
      <c r="N805" s="40"/>
      <c r="O805" s="40"/>
      <c r="P805" s="57"/>
      <c r="Q805" s="57"/>
      <c r="R805" s="40"/>
      <c r="S805" s="40" t="str">
        <f t="array" ref="S805">IF(C805="","",IFERROR(_xlfn.XLOOKUP(C805,Volunteers!D:D,Volunteers!A:A),""))</f>
        <v/>
      </c>
      <c r="T805" s="40"/>
    </row>
    <row r="806">
      <c r="A806" s="52"/>
      <c r="B806" s="28"/>
      <c r="C806" s="28"/>
      <c r="D806" s="28" t="str">
        <f t="array" ref="D806">IF(B806="","",IFERROR(_xlfn.XLOOKUP(B806,'Lists &amp; Settings'!A:A,'Lists &amp; Settings'!E:E),""))</f>
        <v/>
      </c>
      <c r="E806" s="28"/>
      <c r="F806" s="28"/>
      <c r="G806" s="98"/>
      <c r="H806" s="98"/>
      <c r="I806" s="31"/>
      <c r="J806" s="54" t="s">
        <v>179</v>
      </c>
      <c r="K806" s="55" t="s">
        <v>179</v>
      </c>
      <c r="L806" s="56" t="s">
        <v>179</v>
      </c>
      <c r="M806" s="56" t="s">
        <v>179</v>
      </c>
      <c r="N806" s="28"/>
      <c r="O806" s="28"/>
      <c r="P806" s="52"/>
      <c r="Q806" s="52"/>
      <c r="R806" s="28"/>
      <c r="S806" s="28" t="str">
        <f t="array" ref="S806">IF(C806="","",IFERROR(_xlfn.XLOOKUP(C806,Volunteers!D:D,Volunteers!A:A),""))</f>
        <v/>
      </c>
      <c r="T806" s="28"/>
    </row>
    <row r="807">
      <c r="A807" s="57"/>
      <c r="B807" s="40"/>
      <c r="C807" s="40"/>
      <c r="D807" s="40" t="str">
        <f t="array" ref="D807">IF(B807="","",IFERROR(_xlfn.XLOOKUP(B807,'Lists &amp; Settings'!A:A,'Lists &amp; Settings'!E:E),""))</f>
        <v/>
      </c>
      <c r="E807" s="40"/>
      <c r="F807" s="40"/>
      <c r="G807" s="95"/>
      <c r="H807" s="95"/>
      <c r="I807" s="51"/>
      <c r="J807" s="54" t="s">
        <v>179</v>
      </c>
      <c r="K807" s="55" t="s">
        <v>179</v>
      </c>
      <c r="L807" s="56" t="s">
        <v>179</v>
      </c>
      <c r="M807" s="56" t="s">
        <v>179</v>
      </c>
      <c r="N807" s="40"/>
      <c r="O807" s="40"/>
      <c r="P807" s="57"/>
      <c r="Q807" s="57"/>
      <c r="R807" s="40"/>
      <c r="S807" s="40" t="str">
        <f t="array" ref="S807">IF(C807="","",IFERROR(_xlfn.XLOOKUP(C807,Volunteers!D:D,Volunteers!A:A),""))</f>
        <v/>
      </c>
      <c r="T807" s="40"/>
    </row>
    <row r="808">
      <c r="A808" s="52"/>
      <c r="B808" s="28"/>
      <c r="C808" s="28"/>
      <c r="D808" s="28" t="str">
        <f t="array" ref="D808">IF(B808="","",IFERROR(_xlfn.XLOOKUP(B808,'Lists &amp; Settings'!A:A,'Lists &amp; Settings'!E:E),""))</f>
        <v/>
      </c>
      <c r="E808" s="28"/>
      <c r="F808" s="28"/>
      <c r="G808" s="98"/>
      <c r="H808" s="98"/>
      <c r="I808" s="31"/>
      <c r="J808" s="54" t="s">
        <v>179</v>
      </c>
      <c r="K808" s="55" t="s">
        <v>179</v>
      </c>
      <c r="L808" s="56" t="s">
        <v>179</v>
      </c>
      <c r="M808" s="56" t="s">
        <v>179</v>
      </c>
      <c r="N808" s="28"/>
      <c r="O808" s="28"/>
      <c r="P808" s="52"/>
      <c r="Q808" s="52"/>
      <c r="R808" s="28"/>
      <c r="S808" s="28" t="str">
        <f t="array" ref="S808">IF(C808="","",IFERROR(_xlfn.XLOOKUP(C808,Volunteers!D:D,Volunteers!A:A),""))</f>
        <v/>
      </c>
      <c r="T808" s="28"/>
    </row>
    <row r="809">
      <c r="A809" s="57"/>
      <c r="B809" s="40"/>
      <c r="C809" s="40"/>
      <c r="D809" s="40" t="str">
        <f t="array" ref="D809">IF(B809="","",IFERROR(_xlfn.XLOOKUP(B809,'Lists &amp; Settings'!A:A,'Lists &amp; Settings'!E:E),""))</f>
        <v/>
      </c>
      <c r="E809" s="40"/>
      <c r="F809" s="40"/>
      <c r="G809" s="95"/>
      <c r="H809" s="95"/>
      <c r="I809" s="51"/>
      <c r="J809" s="54" t="s">
        <v>179</v>
      </c>
      <c r="K809" s="55" t="s">
        <v>179</v>
      </c>
      <c r="L809" s="56" t="s">
        <v>179</v>
      </c>
      <c r="M809" s="56" t="s">
        <v>179</v>
      </c>
      <c r="N809" s="40"/>
      <c r="O809" s="40"/>
      <c r="P809" s="57"/>
      <c r="Q809" s="57"/>
      <c r="R809" s="40"/>
      <c r="S809" s="40" t="str">
        <f t="array" ref="S809">IF(C809="","",IFERROR(_xlfn.XLOOKUP(C809,Volunteers!D:D,Volunteers!A:A),""))</f>
        <v/>
      </c>
      <c r="T809" s="40"/>
    </row>
    <row r="810">
      <c r="A810" s="52"/>
      <c r="B810" s="28"/>
      <c r="C810" s="28"/>
      <c r="D810" s="28" t="str">
        <f t="array" ref="D810">IF(B810="","",IFERROR(_xlfn.XLOOKUP(B810,'Lists &amp; Settings'!A:A,'Lists &amp; Settings'!E:E),""))</f>
        <v/>
      </c>
      <c r="E810" s="28"/>
      <c r="F810" s="28"/>
      <c r="G810" s="98"/>
      <c r="H810" s="98"/>
      <c r="I810" s="31"/>
      <c r="J810" s="54" t="s">
        <v>179</v>
      </c>
      <c r="K810" s="55" t="s">
        <v>179</v>
      </c>
      <c r="L810" s="56" t="s">
        <v>179</v>
      </c>
      <c r="M810" s="56" t="s">
        <v>179</v>
      </c>
      <c r="N810" s="28"/>
      <c r="O810" s="28"/>
      <c r="P810" s="52"/>
      <c r="Q810" s="52"/>
      <c r="R810" s="28"/>
      <c r="S810" s="28" t="str">
        <f t="array" ref="S810">IF(C810="","",IFERROR(_xlfn.XLOOKUP(C810,Volunteers!D:D,Volunteers!A:A),""))</f>
        <v/>
      </c>
      <c r="T810" s="28"/>
    </row>
    <row r="811">
      <c r="A811" s="57"/>
      <c r="B811" s="40"/>
      <c r="C811" s="40"/>
      <c r="D811" s="40" t="str">
        <f t="array" ref="D811">IF(B811="","",IFERROR(_xlfn.XLOOKUP(B811,'Lists &amp; Settings'!A:A,'Lists &amp; Settings'!E:E),""))</f>
        <v/>
      </c>
      <c r="E811" s="40"/>
      <c r="F811" s="40"/>
      <c r="G811" s="95"/>
      <c r="H811" s="95"/>
      <c r="I811" s="51"/>
      <c r="J811" s="54" t="s">
        <v>179</v>
      </c>
      <c r="K811" s="55" t="s">
        <v>179</v>
      </c>
      <c r="L811" s="56" t="s">
        <v>179</v>
      </c>
      <c r="M811" s="56" t="s">
        <v>179</v>
      </c>
      <c r="N811" s="40"/>
      <c r="O811" s="40"/>
      <c r="P811" s="57"/>
      <c r="Q811" s="57"/>
      <c r="R811" s="40"/>
      <c r="S811" s="40" t="str">
        <f t="array" ref="S811">IF(C811="","",IFERROR(_xlfn.XLOOKUP(C811,Volunteers!D:D,Volunteers!A:A),""))</f>
        <v/>
      </c>
      <c r="T811" s="40"/>
    </row>
    <row r="812">
      <c r="A812" s="52"/>
      <c r="B812" s="28"/>
      <c r="C812" s="28"/>
      <c r="D812" s="28" t="str">
        <f t="array" ref="D812">IF(B812="","",IFERROR(_xlfn.XLOOKUP(B812,'Lists &amp; Settings'!A:A,'Lists &amp; Settings'!E:E),""))</f>
        <v/>
      </c>
      <c r="E812" s="28"/>
      <c r="F812" s="28"/>
      <c r="G812" s="98"/>
      <c r="H812" s="98"/>
      <c r="I812" s="31"/>
      <c r="J812" s="54" t="s">
        <v>179</v>
      </c>
      <c r="K812" s="55" t="s">
        <v>179</v>
      </c>
      <c r="L812" s="56" t="s">
        <v>179</v>
      </c>
      <c r="M812" s="56" t="s">
        <v>179</v>
      </c>
      <c r="N812" s="28"/>
      <c r="O812" s="28"/>
      <c r="P812" s="52"/>
      <c r="Q812" s="52"/>
      <c r="R812" s="28"/>
      <c r="S812" s="28" t="str">
        <f t="array" ref="S812">IF(C812="","",IFERROR(_xlfn.XLOOKUP(C812,Volunteers!D:D,Volunteers!A:A),""))</f>
        <v/>
      </c>
      <c r="T812" s="28"/>
    </row>
    <row r="813">
      <c r="A813" s="57"/>
      <c r="B813" s="40"/>
      <c r="C813" s="40"/>
      <c r="D813" s="40" t="str">
        <f t="array" ref="D813">IF(B813="","",IFERROR(_xlfn.XLOOKUP(B813,'Lists &amp; Settings'!A:A,'Lists &amp; Settings'!E:E),""))</f>
        <v/>
      </c>
      <c r="E813" s="40"/>
      <c r="F813" s="40"/>
      <c r="G813" s="95"/>
      <c r="H813" s="95"/>
      <c r="I813" s="51"/>
      <c r="J813" s="54" t="s">
        <v>179</v>
      </c>
      <c r="K813" s="55" t="s">
        <v>179</v>
      </c>
      <c r="L813" s="56" t="s">
        <v>179</v>
      </c>
      <c r="M813" s="56" t="s">
        <v>179</v>
      </c>
      <c r="N813" s="40"/>
      <c r="O813" s="40"/>
      <c r="P813" s="57"/>
      <c r="Q813" s="57"/>
      <c r="R813" s="40"/>
      <c r="S813" s="40" t="str">
        <f t="array" ref="S813">IF(C813="","",IFERROR(_xlfn.XLOOKUP(C813,Volunteers!D:D,Volunteers!A:A),""))</f>
        <v/>
      </c>
      <c r="T813" s="40"/>
    </row>
    <row r="814">
      <c r="A814" s="52"/>
      <c r="B814" s="28"/>
      <c r="C814" s="28"/>
      <c r="D814" s="28" t="str">
        <f t="array" ref="D814">IF(B814="","",IFERROR(_xlfn.XLOOKUP(B814,'Lists &amp; Settings'!A:A,'Lists &amp; Settings'!E:E),""))</f>
        <v/>
      </c>
      <c r="E814" s="28"/>
      <c r="F814" s="28"/>
      <c r="G814" s="98"/>
      <c r="H814" s="98"/>
      <c r="I814" s="31"/>
      <c r="J814" s="54" t="s">
        <v>179</v>
      </c>
      <c r="K814" s="55" t="s">
        <v>179</v>
      </c>
      <c r="L814" s="56" t="s">
        <v>179</v>
      </c>
      <c r="M814" s="56" t="s">
        <v>179</v>
      </c>
      <c r="N814" s="28"/>
      <c r="O814" s="28"/>
      <c r="P814" s="52"/>
      <c r="Q814" s="52"/>
      <c r="R814" s="28"/>
      <c r="S814" s="28" t="str">
        <f t="array" ref="S814">IF(C814="","",IFERROR(_xlfn.XLOOKUP(C814,Volunteers!D:D,Volunteers!A:A),""))</f>
        <v/>
      </c>
      <c r="T814" s="28"/>
    </row>
    <row r="815">
      <c r="A815" s="57"/>
      <c r="B815" s="40"/>
      <c r="C815" s="40"/>
      <c r="D815" s="40" t="str">
        <f t="array" ref="D815">IF(B815="","",IFERROR(_xlfn.XLOOKUP(B815,'Lists &amp; Settings'!A:A,'Lists &amp; Settings'!E:E),""))</f>
        <v/>
      </c>
      <c r="E815" s="40"/>
      <c r="F815" s="40"/>
      <c r="G815" s="95"/>
      <c r="H815" s="95"/>
      <c r="I815" s="51"/>
      <c r="J815" s="54" t="s">
        <v>179</v>
      </c>
      <c r="K815" s="55" t="s">
        <v>179</v>
      </c>
      <c r="L815" s="56" t="s">
        <v>179</v>
      </c>
      <c r="M815" s="56" t="s">
        <v>179</v>
      </c>
      <c r="N815" s="40"/>
      <c r="O815" s="40"/>
      <c r="P815" s="57"/>
      <c r="Q815" s="57"/>
      <c r="R815" s="40"/>
      <c r="S815" s="40" t="str">
        <f t="array" ref="S815">IF(C815="","",IFERROR(_xlfn.XLOOKUP(C815,Volunteers!D:D,Volunteers!A:A),""))</f>
        <v/>
      </c>
      <c r="T815" s="40"/>
    </row>
    <row r="816">
      <c r="A816" s="52"/>
      <c r="B816" s="28"/>
      <c r="C816" s="28"/>
      <c r="D816" s="28" t="str">
        <f t="array" ref="D816">IF(B816="","",IFERROR(_xlfn.XLOOKUP(B816,'Lists &amp; Settings'!A:A,'Lists &amp; Settings'!E:E),""))</f>
        <v/>
      </c>
      <c r="E816" s="28"/>
      <c r="F816" s="28"/>
      <c r="G816" s="98"/>
      <c r="H816" s="98"/>
      <c r="I816" s="31"/>
      <c r="J816" s="54" t="s">
        <v>179</v>
      </c>
      <c r="K816" s="55" t="s">
        <v>179</v>
      </c>
      <c r="L816" s="56" t="s">
        <v>179</v>
      </c>
      <c r="M816" s="56" t="s">
        <v>179</v>
      </c>
      <c r="N816" s="28"/>
      <c r="O816" s="28"/>
      <c r="P816" s="52"/>
      <c r="Q816" s="52"/>
      <c r="R816" s="28"/>
      <c r="S816" s="28" t="str">
        <f t="array" ref="S816">IF(C816="","",IFERROR(_xlfn.XLOOKUP(C816,Volunteers!D:D,Volunteers!A:A),""))</f>
        <v/>
      </c>
      <c r="T816" s="28"/>
    </row>
    <row r="817">
      <c r="A817" s="57"/>
      <c r="B817" s="40"/>
      <c r="C817" s="40"/>
      <c r="D817" s="40" t="str">
        <f t="array" ref="D817">IF(B817="","",IFERROR(_xlfn.XLOOKUP(B817,'Lists &amp; Settings'!A:A,'Lists &amp; Settings'!E:E),""))</f>
        <v/>
      </c>
      <c r="E817" s="40"/>
      <c r="F817" s="40"/>
      <c r="G817" s="95"/>
      <c r="H817" s="95"/>
      <c r="I817" s="51"/>
      <c r="J817" s="54" t="s">
        <v>179</v>
      </c>
      <c r="K817" s="55" t="s">
        <v>179</v>
      </c>
      <c r="L817" s="56" t="s">
        <v>179</v>
      </c>
      <c r="M817" s="56" t="s">
        <v>179</v>
      </c>
      <c r="N817" s="40"/>
      <c r="O817" s="40"/>
      <c r="P817" s="57"/>
      <c r="Q817" s="57"/>
      <c r="R817" s="40"/>
      <c r="S817" s="40" t="str">
        <f t="array" ref="S817">IF(C817="","",IFERROR(_xlfn.XLOOKUP(C817,Volunteers!D:D,Volunteers!A:A),""))</f>
        <v/>
      </c>
      <c r="T817" s="40"/>
    </row>
    <row r="818">
      <c r="A818" s="52"/>
      <c r="B818" s="28"/>
      <c r="C818" s="28"/>
      <c r="D818" s="28" t="str">
        <f t="array" ref="D818">IF(B818="","",IFERROR(_xlfn.XLOOKUP(B818,'Lists &amp; Settings'!A:A,'Lists &amp; Settings'!E:E),""))</f>
        <v/>
      </c>
      <c r="E818" s="28"/>
      <c r="F818" s="28"/>
      <c r="G818" s="98"/>
      <c r="H818" s="98"/>
      <c r="I818" s="31"/>
      <c r="J818" s="54" t="s">
        <v>179</v>
      </c>
      <c r="K818" s="55" t="s">
        <v>179</v>
      </c>
      <c r="L818" s="56" t="s">
        <v>179</v>
      </c>
      <c r="M818" s="56" t="s">
        <v>179</v>
      </c>
      <c r="N818" s="28"/>
      <c r="O818" s="28"/>
      <c r="P818" s="52"/>
      <c r="Q818" s="52"/>
      <c r="R818" s="28"/>
      <c r="S818" s="28" t="str">
        <f t="array" ref="S818">IF(C818="","",IFERROR(_xlfn.XLOOKUP(C818,Volunteers!D:D,Volunteers!A:A),""))</f>
        <v/>
      </c>
      <c r="T818" s="28"/>
    </row>
    <row r="819">
      <c r="A819" s="57"/>
      <c r="B819" s="40"/>
      <c r="C819" s="40"/>
      <c r="D819" s="40" t="str">
        <f t="array" ref="D819">IF(B819="","",IFERROR(_xlfn.XLOOKUP(B819,'Lists &amp; Settings'!A:A,'Lists &amp; Settings'!E:E),""))</f>
        <v/>
      </c>
      <c r="E819" s="40"/>
      <c r="F819" s="40"/>
      <c r="G819" s="95"/>
      <c r="H819" s="95"/>
      <c r="I819" s="51"/>
      <c r="J819" s="54" t="s">
        <v>179</v>
      </c>
      <c r="K819" s="55" t="s">
        <v>179</v>
      </c>
      <c r="L819" s="56" t="s">
        <v>179</v>
      </c>
      <c r="M819" s="56" t="s">
        <v>179</v>
      </c>
      <c r="N819" s="40"/>
      <c r="O819" s="40"/>
      <c r="P819" s="57"/>
      <c r="Q819" s="57"/>
      <c r="R819" s="40"/>
      <c r="S819" s="40" t="str">
        <f t="array" ref="S819">IF(C819="","",IFERROR(_xlfn.XLOOKUP(C819,Volunteers!D:D,Volunteers!A:A),""))</f>
        <v/>
      </c>
      <c r="T819" s="40"/>
    </row>
    <row r="820">
      <c r="A820" s="52"/>
      <c r="B820" s="28"/>
      <c r="C820" s="28"/>
      <c r="D820" s="28" t="str">
        <f t="array" ref="D820">IF(B820="","",IFERROR(_xlfn.XLOOKUP(B820,'Lists &amp; Settings'!A:A,'Lists &amp; Settings'!E:E),""))</f>
        <v/>
      </c>
      <c r="E820" s="28"/>
      <c r="F820" s="28"/>
      <c r="G820" s="98"/>
      <c r="H820" s="98"/>
      <c r="I820" s="31"/>
      <c r="J820" s="54" t="s">
        <v>179</v>
      </c>
      <c r="K820" s="55" t="s">
        <v>179</v>
      </c>
      <c r="L820" s="56" t="s">
        <v>179</v>
      </c>
      <c r="M820" s="56" t="s">
        <v>179</v>
      </c>
      <c r="N820" s="28"/>
      <c r="O820" s="28"/>
      <c r="P820" s="52"/>
      <c r="Q820" s="52"/>
      <c r="R820" s="28"/>
      <c r="S820" s="28" t="str">
        <f t="array" ref="S820">IF(C820="","",IFERROR(_xlfn.XLOOKUP(C820,Volunteers!D:D,Volunteers!A:A),""))</f>
        <v/>
      </c>
      <c r="T820" s="28"/>
    </row>
    <row r="821">
      <c r="A821" s="57"/>
      <c r="B821" s="40"/>
      <c r="C821" s="40"/>
      <c r="D821" s="40" t="str">
        <f t="array" ref="D821">IF(B821="","",IFERROR(_xlfn.XLOOKUP(B821,'Lists &amp; Settings'!A:A,'Lists &amp; Settings'!E:E),""))</f>
        <v/>
      </c>
      <c r="E821" s="40"/>
      <c r="F821" s="40"/>
      <c r="G821" s="95"/>
      <c r="H821" s="95"/>
      <c r="I821" s="51"/>
      <c r="J821" s="54" t="s">
        <v>179</v>
      </c>
      <c r="K821" s="55" t="s">
        <v>179</v>
      </c>
      <c r="L821" s="56" t="s">
        <v>179</v>
      </c>
      <c r="M821" s="56" t="s">
        <v>179</v>
      </c>
      <c r="N821" s="40"/>
      <c r="O821" s="40"/>
      <c r="P821" s="57"/>
      <c r="Q821" s="57"/>
      <c r="R821" s="40"/>
      <c r="S821" s="40" t="str">
        <f t="array" ref="S821">IF(C821="","",IFERROR(_xlfn.XLOOKUP(C821,Volunteers!D:D,Volunteers!A:A),""))</f>
        <v/>
      </c>
      <c r="T821" s="40"/>
    </row>
    <row r="822">
      <c r="A822" s="52"/>
      <c r="B822" s="28"/>
      <c r="C822" s="28"/>
      <c r="D822" s="28" t="str">
        <f t="array" ref="D822">IF(B822="","",IFERROR(_xlfn.XLOOKUP(B822,'Lists &amp; Settings'!A:A,'Lists &amp; Settings'!E:E),""))</f>
        <v/>
      </c>
      <c r="E822" s="28"/>
      <c r="F822" s="28"/>
      <c r="G822" s="98"/>
      <c r="H822" s="98"/>
      <c r="I822" s="31"/>
      <c r="J822" s="54" t="s">
        <v>179</v>
      </c>
      <c r="K822" s="55" t="s">
        <v>179</v>
      </c>
      <c r="L822" s="56" t="s">
        <v>179</v>
      </c>
      <c r="M822" s="56" t="s">
        <v>179</v>
      </c>
      <c r="N822" s="28"/>
      <c r="O822" s="28"/>
      <c r="P822" s="52"/>
      <c r="Q822" s="52"/>
      <c r="R822" s="28"/>
      <c r="S822" s="28" t="str">
        <f t="array" ref="S822">IF(C822="","",IFERROR(_xlfn.XLOOKUP(C822,Volunteers!D:D,Volunteers!A:A),""))</f>
        <v/>
      </c>
      <c r="T822" s="28"/>
    </row>
    <row r="823">
      <c r="A823" s="57"/>
      <c r="B823" s="40"/>
      <c r="C823" s="40"/>
      <c r="D823" s="40" t="str">
        <f t="array" ref="D823">IF(B823="","",IFERROR(_xlfn.XLOOKUP(B823,'Lists &amp; Settings'!A:A,'Lists &amp; Settings'!E:E),""))</f>
        <v/>
      </c>
      <c r="E823" s="40"/>
      <c r="F823" s="40"/>
      <c r="G823" s="95"/>
      <c r="H823" s="95"/>
      <c r="I823" s="51"/>
      <c r="J823" s="54" t="s">
        <v>179</v>
      </c>
      <c r="K823" s="55" t="s">
        <v>179</v>
      </c>
      <c r="L823" s="56" t="s">
        <v>179</v>
      </c>
      <c r="M823" s="56" t="s">
        <v>179</v>
      </c>
      <c r="N823" s="40"/>
      <c r="O823" s="40"/>
      <c r="P823" s="57"/>
      <c r="Q823" s="57"/>
      <c r="R823" s="40"/>
      <c r="S823" s="40" t="str">
        <f t="array" ref="S823">IF(C823="","",IFERROR(_xlfn.XLOOKUP(C823,Volunteers!D:D,Volunteers!A:A),""))</f>
        <v/>
      </c>
      <c r="T823" s="40"/>
    </row>
    <row r="824">
      <c r="A824" s="52"/>
      <c r="B824" s="28"/>
      <c r="C824" s="28"/>
      <c r="D824" s="28" t="str">
        <f t="array" ref="D824">IF(B824="","",IFERROR(_xlfn.XLOOKUP(B824,'Lists &amp; Settings'!A:A,'Lists &amp; Settings'!E:E),""))</f>
        <v/>
      </c>
      <c r="E824" s="28"/>
      <c r="F824" s="28"/>
      <c r="G824" s="98"/>
      <c r="H824" s="98"/>
      <c r="I824" s="31"/>
      <c r="J824" s="54" t="s">
        <v>179</v>
      </c>
      <c r="K824" s="55" t="s">
        <v>179</v>
      </c>
      <c r="L824" s="56" t="s">
        <v>179</v>
      </c>
      <c r="M824" s="56" t="s">
        <v>179</v>
      </c>
      <c r="N824" s="28"/>
      <c r="O824" s="28"/>
      <c r="P824" s="52"/>
      <c r="Q824" s="52"/>
      <c r="R824" s="28"/>
      <c r="S824" s="28" t="str">
        <f t="array" ref="S824">IF(C824="","",IFERROR(_xlfn.XLOOKUP(C824,Volunteers!D:D,Volunteers!A:A),""))</f>
        <v/>
      </c>
      <c r="T824" s="28"/>
    </row>
    <row r="825">
      <c r="A825" s="57"/>
      <c r="B825" s="40"/>
      <c r="C825" s="40"/>
      <c r="D825" s="40" t="str">
        <f t="array" ref="D825">IF(B825="","",IFERROR(_xlfn.XLOOKUP(B825,'Lists &amp; Settings'!A:A,'Lists &amp; Settings'!E:E),""))</f>
        <v/>
      </c>
      <c r="E825" s="40"/>
      <c r="F825" s="40"/>
      <c r="G825" s="95"/>
      <c r="H825" s="95"/>
      <c r="I825" s="51"/>
      <c r="J825" s="54" t="s">
        <v>179</v>
      </c>
      <c r="K825" s="55" t="s">
        <v>179</v>
      </c>
      <c r="L825" s="56" t="s">
        <v>179</v>
      </c>
      <c r="M825" s="56" t="s">
        <v>179</v>
      </c>
      <c r="N825" s="40"/>
      <c r="O825" s="40"/>
      <c r="P825" s="57"/>
      <c r="Q825" s="57"/>
      <c r="R825" s="40"/>
      <c r="S825" s="40" t="str">
        <f t="array" ref="S825">IF(C825="","",IFERROR(_xlfn.XLOOKUP(C825,Volunteers!D:D,Volunteers!A:A),""))</f>
        <v/>
      </c>
      <c r="T825" s="40"/>
    </row>
    <row r="826">
      <c r="A826" s="52"/>
      <c r="B826" s="28"/>
      <c r="C826" s="28"/>
      <c r="D826" s="28" t="str">
        <f t="array" ref="D826">IF(B826="","",IFERROR(_xlfn.XLOOKUP(B826,'Lists &amp; Settings'!A:A,'Lists &amp; Settings'!E:E),""))</f>
        <v/>
      </c>
      <c r="E826" s="28"/>
      <c r="F826" s="28"/>
      <c r="G826" s="98"/>
      <c r="H826" s="98"/>
      <c r="I826" s="31"/>
      <c r="J826" s="54" t="s">
        <v>179</v>
      </c>
      <c r="K826" s="55" t="s">
        <v>179</v>
      </c>
      <c r="L826" s="56" t="s">
        <v>179</v>
      </c>
      <c r="M826" s="56" t="s">
        <v>179</v>
      </c>
      <c r="N826" s="28"/>
      <c r="O826" s="28"/>
      <c r="P826" s="52"/>
      <c r="Q826" s="52"/>
      <c r="R826" s="28"/>
      <c r="S826" s="28" t="str">
        <f t="array" ref="S826">IF(C826="","",IFERROR(_xlfn.XLOOKUP(C826,Volunteers!D:D,Volunteers!A:A),""))</f>
        <v/>
      </c>
      <c r="T826" s="28"/>
    </row>
    <row r="827">
      <c r="A827" s="57"/>
      <c r="B827" s="40"/>
      <c r="C827" s="40"/>
      <c r="D827" s="40" t="str">
        <f t="array" ref="D827">IF(B827="","",IFERROR(_xlfn.XLOOKUP(B827,'Lists &amp; Settings'!A:A,'Lists &amp; Settings'!E:E),""))</f>
        <v/>
      </c>
      <c r="E827" s="40"/>
      <c r="F827" s="40"/>
      <c r="G827" s="95"/>
      <c r="H827" s="95"/>
      <c r="I827" s="51"/>
      <c r="J827" s="54" t="s">
        <v>179</v>
      </c>
      <c r="K827" s="55" t="s">
        <v>179</v>
      </c>
      <c r="L827" s="56" t="s">
        <v>179</v>
      </c>
      <c r="M827" s="56" t="s">
        <v>179</v>
      </c>
      <c r="N827" s="40"/>
      <c r="O827" s="40"/>
      <c r="P827" s="57"/>
      <c r="Q827" s="57"/>
      <c r="R827" s="40"/>
      <c r="S827" s="40" t="str">
        <f t="array" ref="S827">IF(C827="","",IFERROR(_xlfn.XLOOKUP(C827,Volunteers!D:D,Volunteers!A:A),""))</f>
        <v/>
      </c>
      <c r="T827" s="40"/>
    </row>
    <row r="828">
      <c r="A828" s="52"/>
      <c r="B828" s="28"/>
      <c r="C828" s="28"/>
      <c r="D828" s="28" t="str">
        <f t="array" ref="D828">IF(B828="","",IFERROR(_xlfn.XLOOKUP(B828,'Lists &amp; Settings'!A:A,'Lists &amp; Settings'!E:E),""))</f>
        <v/>
      </c>
      <c r="E828" s="28"/>
      <c r="F828" s="28"/>
      <c r="G828" s="98"/>
      <c r="H828" s="98"/>
      <c r="I828" s="31"/>
      <c r="J828" s="54" t="s">
        <v>179</v>
      </c>
      <c r="K828" s="55" t="s">
        <v>179</v>
      </c>
      <c r="L828" s="56" t="s">
        <v>179</v>
      </c>
      <c r="M828" s="56" t="s">
        <v>179</v>
      </c>
      <c r="N828" s="28"/>
      <c r="O828" s="28"/>
      <c r="P828" s="52"/>
      <c r="Q828" s="52"/>
      <c r="R828" s="28"/>
      <c r="S828" s="28" t="str">
        <f t="array" ref="S828">IF(C828="","",IFERROR(_xlfn.XLOOKUP(C828,Volunteers!D:D,Volunteers!A:A),""))</f>
        <v/>
      </c>
      <c r="T828" s="28"/>
    </row>
    <row r="829">
      <c r="A829" s="57"/>
      <c r="B829" s="40"/>
      <c r="C829" s="40"/>
      <c r="D829" s="40" t="str">
        <f t="array" ref="D829">IF(B829="","",IFERROR(_xlfn.XLOOKUP(B829,'Lists &amp; Settings'!A:A,'Lists &amp; Settings'!E:E),""))</f>
        <v/>
      </c>
      <c r="E829" s="40"/>
      <c r="F829" s="40"/>
      <c r="G829" s="95"/>
      <c r="H829" s="95"/>
      <c r="I829" s="51"/>
      <c r="J829" s="54" t="s">
        <v>179</v>
      </c>
      <c r="K829" s="55" t="s">
        <v>179</v>
      </c>
      <c r="L829" s="56" t="s">
        <v>179</v>
      </c>
      <c r="M829" s="56" t="s">
        <v>179</v>
      </c>
      <c r="N829" s="40"/>
      <c r="O829" s="40"/>
      <c r="P829" s="57"/>
      <c r="Q829" s="57"/>
      <c r="R829" s="40"/>
      <c r="S829" s="40" t="str">
        <f t="array" ref="S829">IF(C829="","",IFERROR(_xlfn.XLOOKUP(C829,Volunteers!D:D,Volunteers!A:A),""))</f>
        <v/>
      </c>
      <c r="T829" s="40"/>
    </row>
    <row r="830">
      <c r="A830" s="52"/>
      <c r="B830" s="28"/>
      <c r="C830" s="28"/>
      <c r="D830" s="28" t="str">
        <f t="array" ref="D830">IF(B830="","",IFERROR(_xlfn.XLOOKUP(B830,'Lists &amp; Settings'!A:A,'Lists &amp; Settings'!E:E),""))</f>
        <v/>
      </c>
      <c r="E830" s="28"/>
      <c r="F830" s="28"/>
      <c r="G830" s="98"/>
      <c r="H830" s="98"/>
      <c r="I830" s="31"/>
      <c r="J830" s="54" t="s">
        <v>179</v>
      </c>
      <c r="K830" s="55" t="s">
        <v>179</v>
      </c>
      <c r="L830" s="56" t="s">
        <v>179</v>
      </c>
      <c r="M830" s="56" t="s">
        <v>179</v>
      </c>
      <c r="N830" s="28"/>
      <c r="O830" s="28"/>
      <c r="P830" s="52"/>
      <c r="Q830" s="52"/>
      <c r="R830" s="28"/>
      <c r="S830" s="28" t="str">
        <f t="array" ref="S830">IF(C830="","",IFERROR(_xlfn.XLOOKUP(C830,Volunteers!D:D,Volunteers!A:A),""))</f>
        <v/>
      </c>
      <c r="T830" s="28"/>
    </row>
    <row r="831">
      <c r="A831" s="57"/>
      <c r="B831" s="40"/>
      <c r="C831" s="40"/>
      <c r="D831" s="40" t="str">
        <f t="array" ref="D831">IF(B831="","",IFERROR(_xlfn.XLOOKUP(B831,'Lists &amp; Settings'!A:A,'Lists &amp; Settings'!E:E),""))</f>
        <v/>
      </c>
      <c r="E831" s="40"/>
      <c r="F831" s="40"/>
      <c r="G831" s="95"/>
      <c r="H831" s="95"/>
      <c r="I831" s="51"/>
      <c r="J831" s="54" t="s">
        <v>179</v>
      </c>
      <c r="K831" s="55" t="s">
        <v>179</v>
      </c>
      <c r="L831" s="56" t="s">
        <v>179</v>
      </c>
      <c r="M831" s="56" t="s">
        <v>179</v>
      </c>
      <c r="N831" s="40"/>
      <c r="O831" s="40"/>
      <c r="P831" s="57"/>
      <c r="Q831" s="57"/>
      <c r="R831" s="40"/>
      <c r="S831" s="40" t="str">
        <f t="array" ref="S831">IF(C831="","",IFERROR(_xlfn.XLOOKUP(C831,Volunteers!D:D,Volunteers!A:A),""))</f>
        <v/>
      </c>
      <c r="T831" s="40"/>
    </row>
    <row r="832">
      <c r="A832" s="52"/>
      <c r="B832" s="28"/>
      <c r="C832" s="28"/>
      <c r="D832" s="28" t="str">
        <f t="array" ref="D832">IF(B832="","",IFERROR(_xlfn.XLOOKUP(B832,'Lists &amp; Settings'!A:A,'Lists &amp; Settings'!E:E),""))</f>
        <v/>
      </c>
      <c r="E832" s="28"/>
      <c r="F832" s="28"/>
      <c r="G832" s="98"/>
      <c r="H832" s="98"/>
      <c r="I832" s="31"/>
      <c r="J832" s="54" t="s">
        <v>179</v>
      </c>
      <c r="K832" s="55" t="s">
        <v>179</v>
      </c>
      <c r="L832" s="56" t="s">
        <v>179</v>
      </c>
      <c r="M832" s="56" t="s">
        <v>179</v>
      </c>
      <c r="N832" s="28"/>
      <c r="O832" s="28"/>
      <c r="P832" s="52"/>
      <c r="Q832" s="52"/>
      <c r="R832" s="28"/>
      <c r="S832" s="28" t="str">
        <f t="array" ref="S832">IF(C832="","",IFERROR(_xlfn.XLOOKUP(C832,Volunteers!D:D,Volunteers!A:A),""))</f>
        <v/>
      </c>
      <c r="T832" s="28"/>
    </row>
    <row r="833">
      <c r="A833" s="57"/>
      <c r="B833" s="40"/>
      <c r="C833" s="40"/>
      <c r="D833" s="40" t="str">
        <f t="array" ref="D833">IF(B833="","",IFERROR(_xlfn.XLOOKUP(B833,'Lists &amp; Settings'!A:A,'Lists &amp; Settings'!E:E),""))</f>
        <v/>
      </c>
      <c r="E833" s="40"/>
      <c r="F833" s="40"/>
      <c r="G833" s="95"/>
      <c r="H833" s="95"/>
      <c r="I833" s="51"/>
      <c r="J833" s="54" t="s">
        <v>179</v>
      </c>
      <c r="K833" s="55" t="s">
        <v>179</v>
      </c>
      <c r="L833" s="56" t="s">
        <v>179</v>
      </c>
      <c r="M833" s="56" t="s">
        <v>179</v>
      </c>
      <c r="N833" s="40"/>
      <c r="O833" s="40"/>
      <c r="P833" s="57"/>
      <c r="Q833" s="57"/>
      <c r="R833" s="40"/>
      <c r="S833" s="40" t="str">
        <f t="array" ref="S833">IF(C833="","",IFERROR(_xlfn.XLOOKUP(C833,Volunteers!D:D,Volunteers!A:A),""))</f>
        <v/>
      </c>
      <c r="T833" s="40"/>
    </row>
    <row r="834">
      <c r="A834" s="52"/>
      <c r="B834" s="28"/>
      <c r="C834" s="28"/>
      <c r="D834" s="28" t="str">
        <f t="array" ref="D834">IF(B834="","",IFERROR(_xlfn.XLOOKUP(B834,'Lists &amp; Settings'!A:A,'Lists &amp; Settings'!E:E),""))</f>
        <v/>
      </c>
      <c r="E834" s="28"/>
      <c r="F834" s="28"/>
      <c r="G834" s="98"/>
      <c r="H834" s="98"/>
      <c r="I834" s="31"/>
      <c r="J834" s="54" t="s">
        <v>179</v>
      </c>
      <c r="K834" s="55" t="s">
        <v>179</v>
      </c>
      <c r="L834" s="56" t="s">
        <v>179</v>
      </c>
      <c r="M834" s="56" t="s">
        <v>179</v>
      </c>
      <c r="N834" s="28"/>
      <c r="O834" s="28"/>
      <c r="P834" s="52"/>
      <c r="Q834" s="52"/>
      <c r="R834" s="28"/>
      <c r="S834" s="28" t="str">
        <f t="array" ref="S834">IF(C834="","",IFERROR(_xlfn.XLOOKUP(C834,Volunteers!D:D,Volunteers!A:A),""))</f>
        <v/>
      </c>
      <c r="T834" s="28"/>
    </row>
    <row r="835">
      <c r="A835" s="57"/>
      <c r="B835" s="40"/>
      <c r="C835" s="40"/>
      <c r="D835" s="40" t="str">
        <f t="array" ref="D835">IF(B835="","",IFERROR(_xlfn.XLOOKUP(B835,'Lists &amp; Settings'!A:A,'Lists &amp; Settings'!E:E),""))</f>
        <v/>
      </c>
      <c r="E835" s="40"/>
      <c r="F835" s="40"/>
      <c r="G835" s="95"/>
      <c r="H835" s="95"/>
      <c r="I835" s="51"/>
      <c r="J835" s="54" t="s">
        <v>179</v>
      </c>
      <c r="K835" s="55" t="s">
        <v>179</v>
      </c>
      <c r="L835" s="56" t="s">
        <v>179</v>
      </c>
      <c r="M835" s="56" t="s">
        <v>179</v>
      </c>
      <c r="N835" s="40"/>
      <c r="O835" s="40"/>
      <c r="P835" s="57"/>
      <c r="Q835" s="57"/>
      <c r="R835" s="40"/>
      <c r="S835" s="40" t="str">
        <f t="array" ref="S835">IF(C835="","",IFERROR(_xlfn.XLOOKUP(C835,Volunteers!D:D,Volunteers!A:A),""))</f>
        <v/>
      </c>
      <c r="T835" s="40"/>
    </row>
    <row r="836">
      <c r="A836" s="52"/>
      <c r="B836" s="28"/>
      <c r="C836" s="28"/>
      <c r="D836" s="28" t="str">
        <f t="array" ref="D836">IF(B836="","",IFERROR(_xlfn.XLOOKUP(B836,'Lists &amp; Settings'!A:A,'Lists &amp; Settings'!E:E),""))</f>
        <v/>
      </c>
      <c r="E836" s="28"/>
      <c r="F836" s="28"/>
      <c r="G836" s="98"/>
      <c r="H836" s="98"/>
      <c r="I836" s="31"/>
      <c r="J836" s="54" t="s">
        <v>179</v>
      </c>
      <c r="K836" s="55" t="s">
        <v>179</v>
      </c>
      <c r="L836" s="56" t="s">
        <v>179</v>
      </c>
      <c r="M836" s="56" t="s">
        <v>179</v>
      </c>
      <c r="N836" s="28"/>
      <c r="O836" s="28"/>
      <c r="P836" s="52"/>
      <c r="Q836" s="52"/>
      <c r="R836" s="28"/>
      <c r="S836" s="28" t="str">
        <f t="array" ref="S836">IF(C836="","",IFERROR(_xlfn.XLOOKUP(C836,Volunteers!D:D,Volunteers!A:A),""))</f>
        <v/>
      </c>
      <c r="T836" s="28"/>
    </row>
    <row r="837">
      <c r="A837" s="57"/>
      <c r="B837" s="40"/>
      <c r="C837" s="40"/>
      <c r="D837" s="40" t="str">
        <f t="array" ref="D837">IF(B837="","",IFERROR(_xlfn.XLOOKUP(B837,'Lists &amp; Settings'!A:A,'Lists &amp; Settings'!E:E),""))</f>
        <v/>
      </c>
      <c r="E837" s="40"/>
      <c r="F837" s="40"/>
      <c r="G837" s="95"/>
      <c r="H837" s="95"/>
      <c r="I837" s="51"/>
      <c r="J837" s="54" t="s">
        <v>179</v>
      </c>
      <c r="K837" s="55" t="s">
        <v>179</v>
      </c>
      <c r="L837" s="56" t="s">
        <v>179</v>
      </c>
      <c r="M837" s="56" t="s">
        <v>179</v>
      </c>
      <c r="N837" s="40"/>
      <c r="O837" s="40"/>
      <c r="P837" s="57"/>
      <c r="Q837" s="57"/>
      <c r="R837" s="40"/>
      <c r="S837" s="40" t="str">
        <f t="array" ref="S837">IF(C837="","",IFERROR(_xlfn.XLOOKUP(C837,Volunteers!D:D,Volunteers!A:A),""))</f>
        <v/>
      </c>
      <c r="T837" s="40"/>
    </row>
    <row r="838">
      <c r="A838" s="52"/>
      <c r="B838" s="28"/>
      <c r="C838" s="28"/>
      <c r="D838" s="28" t="str">
        <f t="array" ref="D838">IF(B838="","",IFERROR(_xlfn.XLOOKUP(B838,'Lists &amp; Settings'!A:A,'Lists &amp; Settings'!E:E),""))</f>
        <v/>
      </c>
      <c r="E838" s="28"/>
      <c r="F838" s="28"/>
      <c r="G838" s="98"/>
      <c r="H838" s="98"/>
      <c r="I838" s="31"/>
      <c r="J838" s="54" t="s">
        <v>179</v>
      </c>
      <c r="K838" s="55" t="s">
        <v>179</v>
      </c>
      <c r="L838" s="56" t="s">
        <v>179</v>
      </c>
      <c r="M838" s="56" t="s">
        <v>179</v>
      </c>
      <c r="N838" s="28"/>
      <c r="O838" s="28"/>
      <c r="P838" s="52"/>
      <c r="Q838" s="52"/>
      <c r="R838" s="28"/>
      <c r="S838" s="28" t="str">
        <f t="array" ref="S838">IF(C838="","",IFERROR(_xlfn.XLOOKUP(C838,Volunteers!D:D,Volunteers!A:A),""))</f>
        <v/>
      </c>
      <c r="T838" s="28"/>
    </row>
    <row r="839">
      <c r="A839" s="57"/>
      <c r="B839" s="40"/>
      <c r="C839" s="40"/>
      <c r="D839" s="40" t="str">
        <f t="array" ref="D839">IF(B839="","",IFERROR(_xlfn.XLOOKUP(B839,'Lists &amp; Settings'!A:A,'Lists &amp; Settings'!E:E),""))</f>
        <v/>
      </c>
      <c r="E839" s="40"/>
      <c r="F839" s="40"/>
      <c r="G839" s="95"/>
      <c r="H839" s="95"/>
      <c r="I839" s="51"/>
      <c r="J839" s="54" t="s">
        <v>179</v>
      </c>
      <c r="K839" s="55" t="s">
        <v>179</v>
      </c>
      <c r="L839" s="56" t="s">
        <v>179</v>
      </c>
      <c r="M839" s="56" t="s">
        <v>179</v>
      </c>
      <c r="N839" s="40"/>
      <c r="O839" s="40"/>
      <c r="P839" s="57"/>
      <c r="Q839" s="57"/>
      <c r="R839" s="40"/>
      <c r="S839" s="40" t="str">
        <f t="array" ref="S839">IF(C839="","",IFERROR(_xlfn.XLOOKUP(C839,Volunteers!D:D,Volunteers!A:A),""))</f>
        <v/>
      </c>
      <c r="T839" s="40"/>
    </row>
    <row r="840">
      <c r="A840" s="52"/>
      <c r="B840" s="28"/>
      <c r="C840" s="28"/>
      <c r="D840" s="28" t="str">
        <f t="array" ref="D840">IF(B840="","",IFERROR(_xlfn.XLOOKUP(B840,'Lists &amp; Settings'!A:A,'Lists &amp; Settings'!E:E),""))</f>
        <v/>
      </c>
      <c r="E840" s="28"/>
      <c r="F840" s="28"/>
      <c r="G840" s="98"/>
      <c r="H840" s="98"/>
      <c r="I840" s="31"/>
      <c r="J840" s="54" t="s">
        <v>179</v>
      </c>
      <c r="K840" s="55" t="s">
        <v>179</v>
      </c>
      <c r="L840" s="56" t="s">
        <v>179</v>
      </c>
      <c r="M840" s="56" t="s">
        <v>179</v>
      </c>
      <c r="N840" s="28"/>
      <c r="O840" s="28"/>
      <c r="P840" s="52"/>
      <c r="Q840" s="52"/>
      <c r="R840" s="28"/>
      <c r="S840" s="28" t="str">
        <f t="array" ref="S840">IF(C840="","",IFERROR(_xlfn.XLOOKUP(C840,Volunteers!D:D,Volunteers!A:A),""))</f>
        <v/>
      </c>
      <c r="T840" s="28"/>
    </row>
    <row r="841">
      <c r="A841" s="57"/>
      <c r="B841" s="40"/>
      <c r="C841" s="40"/>
      <c r="D841" s="40" t="str">
        <f t="array" ref="D841">IF(B841="","",IFERROR(_xlfn.XLOOKUP(B841,'Lists &amp; Settings'!A:A,'Lists &amp; Settings'!E:E),""))</f>
        <v/>
      </c>
      <c r="E841" s="40"/>
      <c r="F841" s="40"/>
      <c r="G841" s="95"/>
      <c r="H841" s="95"/>
      <c r="I841" s="51"/>
      <c r="J841" s="54" t="s">
        <v>179</v>
      </c>
      <c r="K841" s="55" t="s">
        <v>179</v>
      </c>
      <c r="L841" s="56" t="s">
        <v>179</v>
      </c>
      <c r="M841" s="56" t="s">
        <v>179</v>
      </c>
      <c r="N841" s="40"/>
      <c r="O841" s="40"/>
      <c r="P841" s="57"/>
      <c r="Q841" s="57"/>
      <c r="R841" s="40"/>
      <c r="S841" s="40" t="str">
        <f t="array" ref="S841">IF(C841="","",IFERROR(_xlfn.XLOOKUP(C841,Volunteers!D:D,Volunteers!A:A),""))</f>
        <v/>
      </c>
      <c r="T841" s="40"/>
    </row>
    <row r="842">
      <c r="A842" s="52"/>
      <c r="B842" s="28"/>
      <c r="C842" s="28"/>
      <c r="D842" s="28" t="str">
        <f t="array" ref="D842">IF(B842="","",IFERROR(_xlfn.XLOOKUP(B842,'Lists &amp; Settings'!A:A,'Lists &amp; Settings'!E:E),""))</f>
        <v/>
      </c>
      <c r="E842" s="28"/>
      <c r="F842" s="28"/>
      <c r="G842" s="98"/>
      <c r="H842" s="98"/>
      <c r="I842" s="31"/>
      <c r="J842" s="54" t="s">
        <v>179</v>
      </c>
      <c r="K842" s="55" t="s">
        <v>179</v>
      </c>
      <c r="L842" s="56" t="s">
        <v>179</v>
      </c>
      <c r="M842" s="56" t="s">
        <v>179</v>
      </c>
      <c r="N842" s="28"/>
      <c r="O842" s="28"/>
      <c r="P842" s="52"/>
      <c r="Q842" s="52"/>
      <c r="R842" s="28"/>
      <c r="S842" s="28" t="str">
        <f t="array" ref="S842">IF(C842="","",IFERROR(_xlfn.XLOOKUP(C842,Volunteers!D:D,Volunteers!A:A),""))</f>
        <v/>
      </c>
      <c r="T842" s="28"/>
    </row>
    <row r="843">
      <c r="A843" s="57"/>
      <c r="B843" s="40"/>
      <c r="C843" s="40"/>
      <c r="D843" s="40" t="str">
        <f t="array" ref="D843">IF(B843="","",IFERROR(_xlfn.XLOOKUP(B843,'Lists &amp; Settings'!A:A,'Lists &amp; Settings'!E:E),""))</f>
        <v/>
      </c>
      <c r="E843" s="40"/>
      <c r="F843" s="40"/>
      <c r="G843" s="95"/>
      <c r="H843" s="95"/>
      <c r="I843" s="51"/>
      <c r="J843" s="54" t="s">
        <v>179</v>
      </c>
      <c r="K843" s="55" t="s">
        <v>179</v>
      </c>
      <c r="L843" s="56" t="s">
        <v>179</v>
      </c>
      <c r="M843" s="56" t="s">
        <v>179</v>
      </c>
      <c r="N843" s="40"/>
      <c r="O843" s="40"/>
      <c r="P843" s="57"/>
      <c r="Q843" s="57"/>
      <c r="R843" s="40"/>
      <c r="S843" s="40" t="str">
        <f t="array" ref="S843">IF(C843="","",IFERROR(_xlfn.XLOOKUP(C843,Volunteers!D:D,Volunteers!A:A),""))</f>
        <v/>
      </c>
      <c r="T843" s="40"/>
    </row>
    <row r="844">
      <c r="A844" s="52"/>
      <c r="B844" s="28"/>
      <c r="C844" s="28"/>
      <c r="D844" s="28" t="str">
        <f t="array" ref="D844">IF(B844="","",IFERROR(_xlfn.XLOOKUP(B844,'Lists &amp; Settings'!A:A,'Lists &amp; Settings'!E:E),""))</f>
        <v/>
      </c>
      <c r="E844" s="28"/>
      <c r="F844" s="28"/>
      <c r="G844" s="98"/>
      <c r="H844" s="98"/>
      <c r="I844" s="31"/>
      <c r="J844" s="54" t="s">
        <v>179</v>
      </c>
      <c r="K844" s="55" t="s">
        <v>179</v>
      </c>
      <c r="L844" s="56" t="s">
        <v>179</v>
      </c>
      <c r="M844" s="56" t="s">
        <v>179</v>
      </c>
      <c r="N844" s="28"/>
      <c r="O844" s="28"/>
      <c r="P844" s="52"/>
      <c r="Q844" s="52"/>
      <c r="R844" s="28"/>
      <c r="S844" s="28" t="str">
        <f t="array" ref="S844">IF(C844="","",IFERROR(_xlfn.XLOOKUP(C844,Volunteers!D:D,Volunteers!A:A),""))</f>
        <v/>
      </c>
      <c r="T844" s="28"/>
    </row>
    <row r="845">
      <c r="A845" s="57"/>
      <c r="B845" s="40"/>
      <c r="C845" s="40"/>
      <c r="D845" s="40" t="str">
        <f t="array" ref="D845">IF(B845="","",IFERROR(_xlfn.XLOOKUP(B845,'Lists &amp; Settings'!A:A,'Lists &amp; Settings'!E:E),""))</f>
        <v/>
      </c>
      <c r="E845" s="40"/>
      <c r="F845" s="40"/>
      <c r="G845" s="95"/>
      <c r="H845" s="95"/>
      <c r="I845" s="51"/>
      <c r="J845" s="54" t="s">
        <v>179</v>
      </c>
      <c r="K845" s="55" t="s">
        <v>179</v>
      </c>
      <c r="L845" s="56" t="s">
        <v>179</v>
      </c>
      <c r="M845" s="56" t="s">
        <v>179</v>
      </c>
      <c r="N845" s="40"/>
      <c r="O845" s="40"/>
      <c r="P845" s="57"/>
      <c r="Q845" s="57"/>
      <c r="R845" s="40"/>
      <c r="S845" s="40" t="str">
        <f t="array" ref="S845">IF(C845="","",IFERROR(_xlfn.XLOOKUP(C845,Volunteers!D:D,Volunteers!A:A),""))</f>
        <v/>
      </c>
      <c r="T845" s="40"/>
    </row>
    <row r="846">
      <c r="A846" s="52"/>
      <c r="B846" s="28"/>
      <c r="C846" s="28"/>
      <c r="D846" s="28" t="str">
        <f t="array" ref="D846">IF(B846="","",IFERROR(_xlfn.XLOOKUP(B846,'Lists &amp; Settings'!A:A,'Lists &amp; Settings'!E:E),""))</f>
        <v/>
      </c>
      <c r="E846" s="28"/>
      <c r="F846" s="28"/>
      <c r="G846" s="98"/>
      <c r="H846" s="98"/>
      <c r="I846" s="31"/>
      <c r="J846" s="54" t="s">
        <v>179</v>
      </c>
      <c r="K846" s="55" t="s">
        <v>179</v>
      </c>
      <c r="L846" s="56" t="s">
        <v>179</v>
      </c>
      <c r="M846" s="56" t="s">
        <v>179</v>
      </c>
      <c r="N846" s="28"/>
      <c r="O846" s="28"/>
      <c r="P846" s="52"/>
      <c r="Q846" s="52"/>
      <c r="R846" s="28"/>
      <c r="S846" s="28" t="str">
        <f t="array" ref="S846">IF(C846="","",IFERROR(_xlfn.XLOOKUP(C846,Volunteers!D:D,Volunteers!A:A),""))</f>
        <v/>
      </c>
      <c r="T846" s="28"/>
    </row>
    <row r="847">
      <c r="A847" s="57"/>
      <c r="B847" s="40"/>
      <c r="C847" s="40"/>
      <c r="D847" s="40" t="str">
        <f t="array" ref="D847">IF(B847="","",IFERROR(_xlfn.XLOOKUP(B847,'Lists &amp; Settings'!A:A,'Lists &amp; Settings'!E:E),""))</f>
        <v/>
      </c>
      <c r="E847" s="40"/>
      <c r="F847" s="40"/>
      <c r="G847" s="95"/>
      <c r="H847" s="95"/>
      <c r="I847" s="51"/>
      <c r="J847" s="54" t="s">
        <v>179</v>
      </c>
      <c r="K847" s="55" t="s">
        <v>179</v>
      </c>
      <c r="L847" s="56" t="s">
        <v>179</v>
      </c>
      <c r="M847" s="56" t="s">
        <v>179</v>
      </c>
      <c r="N847" s="40"/>
      <c r="O847" s="40"/>
      <c r="P847" s="57"/>
      <c r="Q847" s="57"/>
      <c r="R847" s="40"/>
      <c r="S847" s="40" t="str">
        <f t="array" ref="S847">IF(C847="","",IFERROR(_xlfn.XLOOKUP(C847,Volunteers!D:D,Volunteers!A:A),""))</f>
        <v/>
      </c>
      <c r="T847" s="40"/>
    </row>
    <row r="848">
      <c r="A848" s="52"/>
      <c r="B848" s="28"/>
      <c r="C848" s="28"/>
      <c r="D848" s="28" t="str">
        <f t="array" ref="D848">IF(B848="","",IFERROR(_xlfn.XLOOKUP(B848,'Lists &amp; Settings'!A:A,'Lists &amp; Settings'!E:E),""))</f>
        <v/>
      </c>
      <c r="E848" s="28"/>
      <c r="F848" s="28"/>
      <c r="G848" s="98"/>
      <c r="H848" s="98"/>
      <c r="I848" s="31"/>
      <c r="J848" s="54" t="s">
        <v>179</v>
      </c>
      <c r="K848" s="55" t="s">
        <v>179</v>
      </c>
      <c r="L848" s="56" t="s">
        <v>179</v>
      </c>
      <c r="M848" s="56" t="s">
        <v>179</v>
      </c>
      <c r="N848" s="28"/>
      <c r="O848" s="28"/>
      <c r="P848" s="52"/>
      <c r="Q848" s="52"/>
      <c r="R848" s="28"/>
      <c r="S848" s="28" t="str">
        <f t="array" ref="S848">IF(C848="","",IFERROR(_xlfn.XLOOKUP(C848,Volunteers!D:D,Volunteers!A:A),""))</f>
        <v/>
      </c>
      <c r="T848" s="28"/>
    </row>
    <row r="849">
      <c r="A849" s="57"/>
      <c r="B849" s="40"/>
      <c r="C849" s="40"/>
      <c r="D849" s="40" t="str">
        <f t="array" ref="D849">IF(B849="","",IFERROR(_xlfn.XLOOKUP(B849,'Lists &amp; Settings'!A:A,'Lists &amp; Settings'!E:E),""))</f>
        <v/>
      </c>
      <c r="E849" s="40"/>
      <c r="F849" s="40"/>
      <c r="G849" s="95"/>
      <c r="H849" s="95"/>
      <c r="I849" s="51"/>
      <c r="J849" s="54" t="s">
        <v>179</v>
      </c>
      <c r="K849" s="55" t="s">
        <v>179</v>
      </c>
      <c r="L849" s="56" t="s">
        <v>179</v>
      </c>
      <c r="M849" s="56" t="s">
        <v>179</v>
      </c>
      <c r="N849" s="40"/>
      <c r="O849" s="40"/>
      <c r="P849" s="57"/>
      <c r="Q849" s="57"/>
      <c r="R849" s="40"/>
      <c r="S849" s="40" t="str">
        <f t="array" ref="S849">IF(C849="","",IFERROR(_xlfn.XLOOKUP(C849,Volunteers!D:D,Volunteers!A:A),""))</f>
        <v/>
      </c>
      <c r="T849" s="40"/>
    </row>
    <row r="850">
      <c r="A850" s="52"/>
      <c r="B850" s="28"/>
      <c r="C850" s="28"/>
      <c r="D850" s="28" t="str">
        <f t="array" ref="D850">IF(B850="","",IFERROR(_xlfn.XLOOKUP(B850,'Lists &amp; Settings'!A:A,'Lists &amp; Settings'!E:E),""))</f>
        <v/>
      </c>
      <c r="E850" s="28"/>
      <c r="F850" s="28"/>
      <c r="G850" s="98"/>
      <c r="H850" s="98"/>
      <c r="I850" s="31"/>
      <c r="J850" s="54" t="s">
        <v>179</v>
      </c>
      <c r="K850" s="55" t="s">
        <v>179</v>
      </c>
      <c r="L850" s="56" t="s">
        <v>179</v>
      </c>
      <c r="M850" s="56" t="s">
        <v>179</v>
      </c>
      <c r="N850" s="28"/>
      <c r="O850" s="28"/>
      <c r="P850" s="52"/>
      <c r="Q850" s="52"/>
      <c r="R850" s="28"/>
      <c r="S850" s="28" t="str">
        <f t="array" ref="S850">IF(C850="","",IFERROR(_xlfn.XLOOKUP(C850,Volunteers!D:D,Volunteers!A:A),""))</f>
        <v/>
      </c>
      <c r="T850" s="28"/>
    </row>
    <row r="851">
      <c r="A851" s="57"/>
      <c r="B851" s="40"/>
      <c r="C851" s="40"/>
      <c r="D851" s="40" t="str">
        <f t="array" ref="D851">IF(B851="","",IFERROR(_xlfn.XLOOKUP(B851,'Lists &amp; Settings'!A:A,'Lists &amp; Settings'!E:E),""))</f>
        <v/>
      </c>
      <c r="E851" s="40"/>
      <c r="F851" s="40"/>
      <c r="G851" s="95"/>
      <c r="H851" s="95"/>
      <c r="I851" s="51"/>
      <c r="J851" s="54" t="s">
        <v>179</v>
      </c>
      <c r="K851" s="55" t="s">
        <v>179</v>
      </c>
      <c r="L851" s="56" t="s">
        <v>179</v>
      </c>
      <c r="M851" s="56" t="s">
        <v>179</v>
      </c>
      <c r="N851" s="40"/>
      <c r="O851" s="40"/>
      <c r="P851" s="57"/>
      <c r="Q851" s="57"/>
      <c r="R851" s="40"/>
      <c r="S851" s="40" t="str">
        <f t="array" ref="S851">IF(C851="","",IFERROR(_xlfn.XLOOKUP(C851,Volunteers!D:D,Volunteers!A:A),""))</f>
        <v/>
      </c>
      <c r="T851" s="40"/>
    </row>
    <row r="852">
      <c r="A852" s="52"/>
      <c r="B852" s="28"/>
      <c r="C852" s="28"/>
      <c r="D852" s="28" t="str">
        <f t="array" ref="D852">IF(B852="","",IFERROR(_xlfn.XLOOKUP(B852,'Lists &amp; Settings'!A:A,'Lists &amp; Settings'!E:E),""))</f>
        <v/>
      </c>
      <c r="E852" s="28"/>
      <c r="F852" s="28"/>
      <c r="G852" s="98"/>
      <c r="H852" s="98"/>
      <c r="I852" s="31"/>
      <c r="J852" s="54" t="s">
        <v>179</v>
      </c>
      <c r="K852" s="55" t="s">
        <v>179</v>
      </c>
      <c r="L852" s="56" t="s">
        <v>179</v>
      </c>
      <c r="M852" s="56" t="s">
        <v>179</v>
      </c>
      <c r="N852" s="28"/>
      <c r="O852" s="28"/>
      <c r="P852" s="52"/>
      <c r="Q852" s="52"/>
      <c r="R852" s="28"/>
      <c r="S852" s="28" t="str">
        <f t="array" ref="S852">IF(C852="","",IFERROR(_xlfn.XLOOKUP(C852,Volunteers!D:D,Volunteers!A:A),""))</f>
        <v/>
      </c>
      <c r="T852" s="28"/>
    </row>
    <row r="853">
      <c r="A853" s="57"/>
      <c r="B853" s="40"/>
      <c r="C853" s="40"/>
      <c r="D853" s="40" t="str">
        <f t="array" ref="D853">IF(B853="","",IFERROR(_xlfn.XLOOKUP(B853,'Lists &amp; Settings'!A:A,'Lists &amp; Settings'!E:E),""))</f>
        <v/>
      </c>
      <c r="E853" s="40"/>
      <c r="F853" s="40"/>
      <c r="G853" s="95"/>
      <c r="H853" s="95"/>
      <c r="I853" s="51"/>
      <c r="J853" s="54" t="s">
        <v>179</v>
      </c>
      <c r="K853" s="55" t="s">
        <v>179</v>
      </c>
      <c r="L853" s="56" t="s">
        <v>179</v>
      </c>
      <c r="M853" s="56" t="s">
        <v>179</v>
      </c>
      <c r="N853" s="40"/>
      <c r="O853" s="40"/>
      <c r="P853" s="57"/>
      <c r="Q853" s="57"/>
      <c r="R853" s="40"/>
      <c r="S853" s="40" t="str">
        <f t="array" ref="S853">IF(C853="","",IFERROR(_xlfn.XLOOKUP(C853,Volunteers!D:D,Volunteers!A:A),""))</f>
        <v/>
      </c>
      <c r="T853" s="40"/>
    </row>
    <row r="854">
      <c r="A854" s="52"/>
      <c r="B854" s="28"/>
      <c r="C854" s="28"/>
      <c r="D854" s="28" t="str">
        <f t="array" ref="D854">IF(B854="","",IFERROR(_xlfn.XLOOKUP(B854,'Lists &amp; Settings'!A:A,'Lists &amp; Settings'!E:E),""))</f>
        <v/>
      </c>
      <c r="E854" s="28"/>
      <c r="F854" s="28"/>
      <c r="G854" s="98"/>
      <c r="H854" s="98"/>
      <c r="I854" s="31"/>
      <c r="J854" s="54" t="s">
        <v>179</v>
      </c>
      <c r="K854" s="55" t="s">
        <v>179</v>
      </c>
      <c r="L854" s="56" t="s">
        <v>179</v>
      </c>
      <c r="M854" s="56" t="s">
        <v>179</v>
      </c>
      <c r="N854" s="28"/>
      <c r="O854" s="28"/>
      <c r="P854" s="52"/>
      <c r="Q854" s="52"/>
      <c r="R854" s="28"/>
      <c r="S854" s="28" t="str">
        <f t="array" ref="S854">IF(C854="","",IFERROR(_xlfn.XLOOKUP(C854,Volunteers!D:D,Volunteers!A:A),""))</f>
        <v/>
      </c>
      <c r="T854" s="28"/>
    </row>
    <row r="855">
      <c r="A855" s="57"/>
      <c r="B855" s="40"/>
      <c r="C855" s="40"/>
      <c r="D855" s="40" t="str">
        <f t="array" ref="D855">IF(B855="","",IFERROR(_xlfn.XLOOKUP(B855,'Lists &amp; Settings'!A:A,'Lists &amp; Settings'!E:E),""))</f>
        <v/>
      </c>
      <c r="E855" s="40"/>
      <c r="F855" s="40"/>
      <c r="G855" s="95"/>
      <c r="H855" s="95"/>
      <c r="I855" s="51"/>
      <c r="J855" s="54" t="s">
        <v>179</v>
      </c>
      <c r="K855" s="55" t="s">
        <v>179</v>
      </c>
      <c r="L855" s="56" t="s">
        <v>179</v>
      </c>
      <c r="M855" s="56" t="s">
        <v>179</v>
      </c>
      <c r="N855" s="40"/>
      <c r="O855" s="40"/>
      <c r="P855" s="57"/>
      <c r="Q855" s="57"/>
      <c r="R855" s="40"/>
      <c r="S855" s="40" t="str">
        <f t="array" ref="S855">IF(C855="","",IFERROR(_xlfn.XLOOKUP(C855,Volunteers!D:D,Volunteers!A:A),""))</f>
        <v/>
      </c>
      <c r="T855" s="40"/>
    </row>
    <row r="856">
      <c r="A856" s="52"/>
      <c r="B856" s="28"/>
      <c r="C856" s="28"/>
      <c r="D856" s="28" t="str">
        <f t="array" ref="D856">IF(B856="","",IFERROR(_xlfn.XLOOKUP(B856,'Lists &amp; Settings'!A:A,'Lists &amp; Settings'!E:E),""))</f>
        <v/>
      </c>
      <c r="E856" s="28"/>
      <c r="F856" s="28"/>
      <c r="G856" s="98"/>
      <c r="H856" s="98"/>
      <c r="I856" s="31"/>
      <c r="J856" s="54" t="s">
        <v>179</v>
      </c>
      <c r="K856" s="55" t="s">
        <v>179</v>
      </c>
      <c r="L856" s="56" t="s">
        <v>179</v>
      </c>
      <c r="M856" s="56" t="s">
        <v>179</v>
      </c>
      <c r="N856" s="28"/>
      <c r="O856" s="28"/>
      <c r="P856" s="52"/>
      <c r="Q856" s="52"/>
      <c r="R856" s="28"/>
      <c r="S856" s="28" t="str">
        <f t="array" ref="S856">IF(C856="","",IFERROR(_xlfn.XLOOKUP(C856,Volunteers!D:D,Volunteers!A:A),""))</f>
        <v/>
      </c>
      <c r="T856" s="28"/>
    </row>
    <row r="857">
      <c r="A857" s="57"/>
      <c r="B857" s="40"/>
      <c r="C857" s="40"/>
      <c r="D857" s="40" t="str">
        <f t="array" ref="D857">IF(B857="","",IFERROR(_xlfn.XLOOKUP(B857,'Lists &amp; Settings'!A:A,'Lists &amp; Settings'!E:E),""))</f>
        <v/>
      </c>
      <c r="E857" s="40"/>
      <c r="F857" s="40"/>
      <c r="G857" s="95"/>
      <c r="H857" s="95"/>
      <c r="I857" s="51"/>
      <c r="J857" s="54" t="s">
        <v>179</v>
      </c>
      <c r="K857" s="55" t="s">
        <v>179</v>
      </c>
      <c r="L857" s="56" t="s">
        <v>179</v>
      </c>
      <c r="M857" s="56" t="s">
        <v>179</v>
      </c>
      <c r="N857" s="40"/>
      <c r="O857" s="40"/>
      <c r="P857" s="57"/>
      <c r="Q857" s="57"/>
      <c r="R857" s="40"/>
      <c r="S857" s="40" t="str">
        <f t="array" ref="S857">IF(C857="","",IFERROR(_xlfn.XLOOKUP(C857,Volunteers!D:D,Volunteers!A:A),""))</f>
        <v/>
      </c>
      <c r="T857" s="40"/>
    </row>
    <row r="858">
      <c r="A858" s="52"/>
      <c r="B858" s="28"/>
      <c r="C858" s="28"/>
      <c r="D858" s="28" t="str">
        <f t="array" ref="D858">IF(B858="","",IFERROR(_xlfn.XLOOKUP(B858,'Lists &amp; Settings'!A:A,'Lists &amp; Settings'!E:E),""))</f>
        <v/>
      </c>
      <c r="E858" s="28"/>
      <c r="F858" s="28"/>
      <c r="G858" s="98"/>
      <c r="H858" s="98"/>
      <c r="I858" s="31"/>
      <c r="J858" s="54" t="s">
        <v>179</v>
      </c>
      <c r="K858" s="55" t="s">
        <v>179</v>
      </c>
      <c r="L858" s="56" t="s">
        <v>179</v>
      </c>
      <c r="M858" s="56" t="s">
        <v>179</v>
      </c>
      <c r="N858" s="28"/>
      <c r="O858" s="28"/>
      <c r="P858" s="52"/>
      <c r="Q858" s="52"/>
      <c r="R858" s="28"/>
      <c r="S858" s="28" t="str">
        <f t="array" ref="S858">IF(C858="","",IFERROR(_xlfn.XLOOKUP(C858,Volunteers!D:D,Volunteers!A:A),""))</f>
        <v/>
      </c>
      <c r="T858" s="28"/>
    </row>
    <row r="859">
      <c r="A859" s="57"/>
      <c r="B859" s="40"/>
      <c r="C859" s="40"/>
      <c r="D859" s="40" t="str">
        <f t="array" ref="D859">IF(B859="","",IFERROR(_xlfn.XLOOKUP(B859,'Lists &amp; Settings'!A:A,'Lists &amp; Settings'!E:E),""))</f>
        <v/>
      </c>
      <c r="E859" s="40"/>
      <c r="F859" s="40"/>
      <c r="G859" s="95"/>
      <c r="H859" s="95"/>
      <c r="I859" s="51"/>
      <c r="J859" s="54" t="s">
        <v>179</v>
      </c>
      <c r="K859" s="55" t="s">
        <v>179</v>
      </c>
      <c r="L859" s="56" t="s">
        <v>179</v>
      </c>
      <c r="M859" s="56" t="s">
        <v>179</v>
      </c>
      <c r="N859" s="40"/>
      <c r="O859" s="40"/>
      <c r="P859" s="57"/>
      <c r="Q859" s="57"/>
      <c r="R859" s="40"/>
      <c r="S859" s="40" t="str">
        <f t="array" ref="S859">IF(C859="","",IFERROR(_xlfn.XLOOKUP(C859,Volunteers!D:D,Volunteers!A:A),""))</f>
        <v/>
      </c>
      <c r="T859" s="40"/>
    </row>
    <row r="860">
      <c r="A860" s="52"/>
      <c r="B860" s="28"/>
      <c r="C860" s="28"/>
      <c r="D860" s="28" t="str">
        <f t="array" ref="D860">IF(B860="","",IFERROR(_xlfn.XLOOKUP(B860,'Lists &amp; Settings'!A:A,'Lists &amp; Settings'!E:E),""))</f>
        <v/>
      </c>
      <c r="E860" s="28"/>
      <c r="F860" s="28"/>
      <c r="G860" s="98"/>
      <c r="H860" s="98"/>
      <c r="I860" s="31"/>
      <c r="J860" s="54" t="s">
        <v>179</v>
      </c>
      <c r="K860" s="55" t="s">
        <v>179</v>
      </c>
      <c r="L860" s="56" t="s">
        <v>179</v>
      </c>
      <c r="M860" s="56" t="s">
        <v>179</v>
      </c>
      <c r="N860" s="28"/>
      <c r="O860" s="28"/>
      <c r="P860" s="52"/>
      <c r="Q860" s="52"/>
      <c r="R860" s="28"/>
      <c r="S860" s="28" t="str">
        <f t="array" ref="S860">IF(C860="","",IFERROR(_xlfn.XLOOKUP(C860,Volunteers!D:D,Volunteers!A:A),""))</f>
        <v/>
      </c>
      <c r="T860" s="28"/>
    </row>
    <row r="861">
      <c r="A861" s="57"/>
      <c r="B861" s="40"/>
      <c r="C861" s="40"/>
      <c r="D861" s="40" t="str">
        <f t="array" ref="D861">IF(B861="","",IFERROR(_xlfn.XLOOKUP(B861,'Lists &amp; Settings'!A:A,'Lists &amp; Settings'!E:E),""))</f>
        <v/>
      </c>
      <c r="E861" s="40"/>
      <c r="F861" s="40"/>
      <c r="G861" s="95"/>
      <c r="H861" s="95"/>
      <c r="I861" s="51"/>
      <c r="J861" s="54" t="s">
        <v>179</v>
      </c>
      <c r="K861" s="55" t="s">
        <v>179</v>
      </c>
      <c r="L861" s="56" t="s">
        <v>179</v>
      </c>
      <c r="M861" s="56" t="s">
        <v>179</v>
      </c>
      <c r="N861" s="40"/>
      <c r="O861" s="40"/>
      <c r="P861" s="57"/>
      <c r="Q861" s="57"/>
      <c r="R861" s="40"/>
      <c r="S861" s="40" t="str">
        <f t="array" ref="S861">IF(C861="","",IFERROR(_xlfn.XLOOKUP(C861,Volunteers!D:D,Volunteers!A:A),""))</f>
        <v/>
      </c>
      <c r="T861" s="40"/>
    </row>
    <row r="862">
      <c r="A862" s="52"/>
      <c r="B862" s="28"/>
      <c r="C862" s="28"/>
      <c r="D862" s="28" t="str">
        <f t="array" ref="D862">IF(B862="","",IFERROR(_xlfn.XLOOKUP(B862,'Lists &amp; Settings'!A:A,'Lists &amp; Settings'!E:E),""))</f>
        <v/>
      </c>
      <c r="E862" s="28"/>
      <c r="F862" s="28"/>
      <c r="G862" s="98"/>
      <c r="H862" s="98"/>
      <c r="I862" s="31"/>
      <c r="J862" s="54" t="s">
        <v>179</v>
      </c>
      <c r="K862" s="55" t="s">
        <v>179</v>
      </c>
      <c r="L862" s="56" t="s">
        <v>179</v>
      </c>
      <c r="M862" s="56" t="s">
        <v>179</v>
      </c>
      <c r="N862" s="28"/>
      <c r="O862" s="28"/>
      <c r="P862" s="52"/>
      <c r="Q862" s="52"/>
      <c r="R862" s="28"/>
      <c r="S862" s="28" t="str">
        <f t="array" ref="S862">IF(C862="","",IFERROR(_xlfn.XLOOKUP(C862,Volunteers!D:D,Volunteers!A:A),""))</f>
        <v/>
      </c>
      <c r="T862" s="28"/>
    </row>
    <row r="863">
      <c r="A863" s="57"/>
      <c r="B863" s="40"/>
      <c r="C863" s="40"/>
      <c r="D863" s="40" t="str">
        <f t="array" ref="D863">IF(B863="","",IFERROR(_xlfn.XLOOKUP(B863,'Lists &amp; Settings'!A:A,'Lists &amp; Settings'!E:E),""))</f>
        <v/>
      </c>
      <c r="E863" s="40"/>
      <c r="F863" s="40"/>
      <c r="G863" s="95"/>
      <c r="H863" s="95"/>
      <c r="I863" s="51"/>
      <c r="J863" s="54" t="s">
        <v>179</v>
      </c>
      <c r="K863" s="55" t="s">
        <v>179</v>
      </c>
      <c r="L863" s="56" t="s">
        <v>179</v>
      </c>
      <c r="M863" s="56" t="s">
        <v>179</v>
      </c>
      <c r="N863" s="40"/>
      <c r="O863" s="40"/>
      <c r="P863" s="57"/>
      <c r="Q863" s="57"/>
      <c r="R863" s="40"/>
      <c r="S863" s="40" t="str">
        <f t="array" ref="S863">IF(C863="","",IFERROR(_xlfn.XLOOKUP(C863,Volunteers!D:D,Volunteers!A:A),""))</f>
        <v/>
      </c>
      <c r="T863" s="40"/>
    </row>
    <row r="864">
      <c r="A864" s="52"/>
      <c r="B864" s="28"/>
      <c r="C864" s="28"/>
      <c r="D864" s="28" t="str">
        <f t="array" ref="D864">IF(B864="","",IFERROR(_xlfn.XLOOKUP(B864,'Lists &amp; Settings'!A:A,'Lists &amp; Settings'!E:E),""))</f>
        <v/>
      </c>
      <c r="E864" s="28"/>
      <c r="F864" s="28"/>
      <c r="G864" s="98"/>
      <c r="H864" s="98"/>
      <c r="I864" s="31"/>
      <c r="J864" s="54" t="s">
        <v>179</v>
      </c>
      <c r="K864" s="55" t="s">
        <v>179</v>
      </c>
      <c r="L864" s="56" t="s">
        <v>179</v>
      </c>
      <c r="M864" s="56" t="s">
        <v>179</v>
      </c>
      <c r="N864" s="28"/>
      <c r="O864" s="28"/>
      <c r="P864" s="52"/>
      <c r="Q864" s="52"/>
      <c r="R864" s="28"/>
      <c r="S864" s="28" t="str">
        <f t="array" ref="S864">IF(C864="","",IFERROR(_xlfn.XLOOKUP(C864,Volunteers!D:D,Volunteers!A:A),""))</f>
        <v/>
      </c>
      <c r="T864" s="28"/>
    </row>
    <row r="865">
      <c r="A865" s="57"/>
      <c r="B865" s="40"/>
      <c r="C865" s="40"/>
      <c r="D865" s="40" t="str">
        <f t="array" ref="D865">IF(B865="","",IFERROR(_xlfn.XLOOKUP(B865,'Lists &amp; Settings'!A:A,'Lists &amp; Settings'!E:E),""))</f>
        <v/>
      </c>
      <c r="E865" s="40"/>
      <c r="F865" s="40"/>
      <c r="G865" s="95"/>
      <c r="H865" s="95"/>
      <c r="I865" s="51"/>
      <c r="J865" s="54" t="s">
        <v>179</v>
      </c>
      <c r="K865" s="55" t="s">
        <v>179</v>
      </c>
      <c r="L865" s="56" t="s">
        <v>179</v>
      </c>
      <c r="M865" s="56" t="s">
        <v>179</v>
      </c>
      <c r="N865" s="40"/>
      <c r="O865" s="40"/>
      <c r="P865" s="57"/>
      <c r="Q865" s="57"/>
      <c r="R865" s="40"/>
      <c r="S865" s="40" t="str">
        <f t="array" ref="S865">IF(C865="","",IFERROR(_xlfn.XLOOKUP(C865,Volunteers!D:D,Volunteers!A:A),""))</f>
        <v/>
      </c>
      <c r="T865" s="40"/>
    </row>
    <row r="866">
      <c r="A866" s="52"/>
      <c r="B866" s="28"/>
      <c r="C866" s="28"/>
      <c r="D866" s="28" t="str">
        <f t="array" ref="D866">IF(B866="","",IFERROR(_xlfn.XLOOKUP(B866,'Lists &amp; Settings'!A:A,'Lists &amp; Settings'!E:E),""))</f>
        <v/>
      </c>
      <c r="E866" s="28"/>
      <c r="F866" s="28"/>
      <c r="G866" s="98"/>
      <c r="H866" s="98"/>
      <c r="I866" s="31"/>
      <c r="J866" s="54" t="s">
        <v>179</v>
      </c>
      <c r="K866" s="55" t="s">
        <v>179</v>
      </c>
      <c r="L866" s="56" t="s">
        <v>179</v>
      </c>
      <c r="M866" s="56" t="s">
        <v>179</v>
      </c>
      <c r="N866" s="28"/>
      <c r="O866" s="28"/>
      <c r="P866" s="52"/>
      <c r="Q866" s="52"/>
      <c r="R866" s="28"/>
      <c r="S866" s="28" t="str">
        <f t="array" ref="S866">IF(C866="","",IFERROR(_xlfn.XLOOKUP(C866,Volunteers!D:D,Volunteers!A:A),""))</f>
        <v/>
      </c>
      <c r="T866" s="28"/>
    </row>
    <row r="867">
      <c r="A867" s="57"/>
      <c r="B867" s="40"/>
      <c r="C867" s="40"/>
      <c r="D867" s="40" t="str">
        <f t="array" ref="D867">IF(B867="","",IFERROR(_xlfn.XLOOKUP(B867,'Lists &amp; Settings'!A:A,'Lists &amp; Settings'!E:E),""))</f>
        <v/>
      </c>
      <c r="E867" s="40"/>
      <c r="F867" s="40"/>
      <c r="G867" s="95"/>
      <c r="H867" s="95"/>
      <c r="I867" s="51"/>
      <c r="J867" s="54" t="s">
        <v>179</v>
      </c>
      <c r="K867" s="55" t="s">
        <v>179</v>
      </c>
      <c r="L867" s="56" t="s">
        <v>179</v>
      </c>
      <c r="M867" s="56" t="s">
        <v>179</v>
      </c>
      <c r="N867" s="40"/>
      <c r="O867" s="40"/>
      <c r="P867" s="57"/>
      <c r="Q867" s="57"/>
      <c r="R867" s="40"/>
      <c r="S867" s="40" t="str">
        <f t="array" ref="S867">IF(C867="","",IFERROR(_xlfn.XLOOKUP(C867,Volunteers!D:D,Volunteers!A:A),""))</f>
        <v/>
      </c>
      <c r="T867" s="40"/>
    </row>
    <row r="868">
      <c r="A868" s="52"/>
      <c r="B868" s="28"/>
      <c r="C868" s="28"/>
      <c r="D868" s="28" t="str">
        <f t="array" ref="D868">IF(B868="","",IFERROR(_xlfn.XLOOKUP(B868,'Lists &amp; Settings'!A:A,'Lists &amp; Settings'!E:E),""))</f>
        <v/>
      </c>
      <c r="E868" s="28"/>
      <c r="F868" s="28"/>
      <c r="G868" s="98"/>
      <c r="H868" s="98"/>
      <c r="I868" s="31"/>
      <c r="J868" s="54" t="s">
        <v>179</v>
      </c>
      <c r="K868" s="55" t="s">
        <v>179</v>
      </c>
      <c r="L868" s="56" t="s">
        <v>179</v>
      </c>
      <c r="M868" s="56" t="s">
        <v>179</v>
      </c>
      <c r="N868" s="28"/>
      <c r="O868" s="28"/>
      <c r="P868" s="52"/>
      <c r="Q868" s="52"/>
      <c r="R868" s="28"/>
      <c r="S868" s="28" t="str">
        <f t="array" ref="S868">IF(C868="","",IFERROR(_xlfn.XLOOKUP(C868,Volunteers!D:D,Volunteers!A:A),""))</f>
        <v/>
      </c>
      <c r="T868" s="28"/>
    </row>
    <row r="869">
      <c r="A869" s="57"/>
      <c r="B869" s="40"/>
      <c r="C869" s="40"/>
      <c r="D869" s="40" t="str">
        <f t="array" ref="D869">IF(B869="","",IFERROR(_xlfn.XLOOKUP(B869,'Lists &amp; Settings'!A:A,'Lists &amp; Settings'!E:E),""))</f>
        <v/>
      </c>
      <c r="E869" s="40"/>
      <c r="F869" s="40"/>
      <c r="G869" s="95"/>
      <c r="H869" s="95"/>
      <c r="I869" s="51"/>
      <c r="J869" s="54" t="s">
        <v>179</v>
      </c>
      <c r="K869" s="55" t="s">
        <v>179</v>
      </c>
      <c r="L869" s="56" t="s">
        <v>179</v>
      </c>
      <c r="M869" s="56" t="s">
        <v>179</v>
      </c>
      <c r="N869" s="40"/>
      <c r="O869" s="40"/>
      <c r="P869" s="57"/>
      <c r="Q869" s="57"/>
      <c r="R869" s="40"/>
      <c r="S869" s="40" t="str">
        <f t="array" ref="S869">IF(C869="","",IFERROR(_xlfn.XLOOKUP(C869,Volunteers!D:D,Volunteers!A:A),""))</f>
        <v/>
      </c>
      <c r="T869" s="40"/>
    </row>
    <row r="870">
      <c r="A870" s="52"/>
      <c r="B870" s="28"/>
      <c r="C870" s="28"/>
      <c r="D870" s="28" t="str">
        <f t="array" ref="D870">IF(B870="","",IFERROR(_xlfn.XLOOKUP(B870,'Lists &amp; Settings'!A:A,'Lists &amp; Settings'!E:E),""))</f>
        <v/>
      </c>
      <c r="E870" s="28"/>
      <c r="F870" s="28"/>
      <c r="G870" s="98"/>
      <c r="H870" s="98"/>
      <c r="I870" s="31"/>
      <c r="J870" s="54" t="s">
        <v>179</v>
      </c>
      <c r="K870" s="55" t="s">
        <v>179</v>
      </c>
      <c r="L870" s="56" t="s">
        <v>179</v>
      </c>
      <c r="M870" s="56" t="s">
        <v>179</v>
      </c>
      <c r="N870" s="28"/>
      <c r="O870" s="28"/>
      <c r="P870" s="52"/>
      <c r="Q870" s="52"/>
      <c r="R870" s="28"/>
      <c r="S870" s="28" t="str">
        <f t="array" ref="S870">IF(C870="","",IFERROR(_xlfn.XLOOKUP(C870,Volunteers!D:D,Volunteers!A:A),""))</f>
        <v/>
      </c>
      <c r="T870" s="28"/>
    </row>
    <row r="871">
      <c r="A871" s="57"/>
      <c r="B871" s="40"/>
      <c r="C871" s="40"/>
      <c r="D871" s="40" t="str">
        <f t="array" ref="D871">IF(B871="","",IFERROR(_xlfn.XLOOKUP(B871,'Lists &amp; Settings'!A:A,'Lists &amp; Settings'!E:E),""))</f>
        <v/>
      </c>
      <c r="E871" s="40"/>
      <c r="F871" s="40"/>
      <c r="G871" s="95"/>
      <c r="H871" s="95"/>
      <c r="I871" s="51"/>
      <c r="J871" s="54" t="s">
        <v>179</v>
      </c>
      <c r="K871" s="55" t="s">
        <v>179</v>
      </c>
      <c r="L871" s="56" t="s">
        <v>179</v>
      </c>
      <c r="M871" s="56" t="s">
        <v>179</v>
      </c>
      <c r="N871" s="40"/>
      <c r="O871" s="40"/>
      <c r="P871" s="57"/>
      <c r="Q871" s="57"/>
      <c r="R871" s="40"/>
      <c r="S871" s="40" t="str">
        <f t="array" ref="S871">IF(C871="","",IFERROR(_xlfn.XLOOKUP(C871,Volunteers!D:D,Volunteers!A:A),""))</f>
        <v/>
      </c>
      <c r="T871" s="40"/>
    </row>
    <row r="872">
      <c r="A872" s="52"/>
      <c r="B872" s="28"/>
      <c r="C872" s="28"/>
      <c r="D872" s="28" t="str">
        <f t="array" ref="D872">IF(B872="","",IFERROR(_xlfn.XLOOKUP(B872,'Lists &amp; Settings'!A:A,'Lists &amp; Settings'!E:E),""))</f>
        <v/>
      </c>
      <c r="E872" s="28"/>
      <c r="F872" s="28"/>
      <c r="G872" s="98"/>
      <c r="H872" s="98"/>
      <c r="I872" s="31"/>
      <c r="J872" s="54" t="s">
        <v>179</v>
      </c>
      <c r="K872" s="55" t="s">
        <v>179</v>
      </c>
      <c r="L872" s="56" t="s">
        <v>179</v>
      </c>
      <c r="M872" s="56" t="s">
        <v>179</v>
      </c>
      <c r="N872" s="28"/>
      <c r="O872" s="28"/>
      <c r="P872" s="52"/>
      <c r="Q872" s="52"/>
      <c r="R872" s="28"/>
      <c r="S872" s="28" t="str">
        <f t="array" ref="S872">IF(C872="","",IFERROR(_xlfn.XLOOKUP(C872,Volunteers!D:D,Volunteers!A:A),""))</f>
        <v/>
      </c>
      <c r="T872" s="28"/>
    </row>
    <row r="873">
      <c r="A873" s="57"/>
      <c r="B873" s="40"/>
      <c r="C873" s="40"/>
      <c r="D873" s="40" t="str">
        <f t="array" ref="D873">IF(B873="","",IFERROR(_xlfn.XLOOKUP(B873,'Lists &amp; Settings'!A:A,'Lists &amp; Settings'!E:E),""))</f>
        <v/>
      </c>
      <c r="E873" s="40"/>
      <c r="F873" s="40"/>
      <c r="G873" s="95"/>
      <c r="H873" s="95"/>
      <c r="I873" s="51"/>
      <c r="J873" s="54" t="s">
        <v>179</v>
      </c>
      <c r="K873" s="55" t="s">
        <v>179</v>
      </c>
      <c r="L873" s="56" t="s">
        <v>179</v>
      </c>
      <c r="M873" s="56" t="s">
        <v>179</v>
      </c>
      <c r="N873" s="40"/>
      <c r="O873" s="40"/>
      <c r="P873" s="57"/>
      <c r="Q873" s="57"/>
      <c r="R873" s="40"/>
      <c r="S873" s="40" t="str">
        <f t="array" ref="S873">IF(C873="","",IFERROR(_xlfn.XLOOKUP(C873,Volunteers!D:D,Volunteers!A:A),""))</f>
        <v/>
      </c>
      <c r="T873" s="40"/>
    </row>
    <row r="874">
      <c r="A874" s="52"/>
      <c r="B874" s="28"/>
      <c r="C874" s="28"/>
      <c r="D874" s="28" t="str">
        <f t="array" ref="D874">IF(B874="","",IFERROR(_xlfn.XLOOKUP(B874,'Lists &amp; Settings'!A:A,'Lists &amp; Settings'!E:E),""))</f>
        <v/>
      </c>
      <c r="E874" s="28"/>
      <c r="F874" s="28"/>
      <c r="G874" s="98"/>
      <c r="H874" s="98"/>
      <c r="I874" s="31"/>
      <c r="J874" s="54" t="s">
        <v>179</v>
      </c>
      <c r="K874" s="55" t="s">
        <v>179</v>
      </c>
      <c r="L874" s="56" t="s">
        <v>179</v>
      </c>
      <c r="M874" s="56" t="s">
        <v>179</v>
      </c>
      <c r="N874" s="28"/>
      <c r="O874" s="28"/>
      <c r="P874" s="52"/>
      <c r="Q874" s="52"/>
      <c r="R874" s="28"/>
      <c r="S874" s="28" t="str">
        <f t="array" ref="S874">IF(C874="","",IFERROR(_xlfn.XLOOKUP(C874,Volunteers!D:D,Volunteers!A:A),""))</f>
        <v/>
      </c>
      <c r="T874" s="28"/>
    </row>
    <row r="875">
      <c r="A875" s="57"/>
      <c r="B875" s="40"/>
      <c r="C875" s="40"/>
      <c r="D875" s="40" t="str">
        <f t="array" ref="D875">IF(B875="","",IFERROR(_xlfn.XLOOKUP(B875,'Lists &amp; Settings'!A:A,'Lists &amp; Settings'!E:E),""))</f>
        <v/>
      </c>
      <c r="E875" s="40"/>
      <c r="F875" s="40"/>
      <c r="G875" s="95"/>
      <c r="H875" s="95"/>
      <c r="I875" s="51"/>
      <c r="J875" s="54" t="s">
        <v>179</v>
      </c>
      <c r="K875" s="55" t="s">
        <v>179</v>
      </c>
      <c r="L875" s="56" t="s">
        <v>179</v>
      </c>
      <c r="M875" s="56" t="s">
        <v>179</v>
      </c>
      <c r="N875" s="40"/>
      <c r="O875" s="40"/>
      <c r="P875" s="57"/>
      <c r="Q875" s="57"/>
      <c r="R875" s="40"/>
      <c r="S875" s="40" t="str">
        <f t="array" ref="S875">IF(C875="","",IFERROR(_xlfn.XLOOKUP(C875,Volunteers!D:D,Volunteers!A:A),""))</f>
        <v/>
      </c>
      <c r="T875" s="40"/>
    </row>
    <row r="876">
      <c r="A876" s="52"/>
      <c r="B876" s="28"/>
      <c r="C876" s="28"/>
      <c r="D876" s="28" t="str">
        <f t="array" ref="D876">IF(B876="","",IFERROR(_xlfn.XLOOKUP(B876,'Lists &amp; Settings'!A:A,'Lists &amp; Settings'!E:E),""))</f>
        <v/>
      </c>
      <c r="E876" s="28"/>
      <c r="F876" s="28"/>
      <c r="G876" s="98"/>
      <c r="H876" s="98"/>
      <c r="I876" s="31"/>
      <c r="J876" s="54" t="s">
        <v>179</v>
      </c>
      <c r="K876" s="55" t="s">
        <v>179</v>
      </c>
      <c r="L876" s="56" t="s">
        <v>179</v>
      </c>
      <c r="M876" s="56" t="s">
        <v>179</v>
      </c>
      <c r="N876" s="28"/>
      <c r="O876" s="28"/>
      <c r="P876" s="52"/>
      <c r="Q876" s="52"/>
      <c r="R876" s="28"/>
      <c r="S876" s="28" t="str">
        <f t="array" ref="S876">IF(C876="","",IFERROR(_xlfn.XLOOKUP(C876,Volunteers!D:D,Volunteers!A:A),""))</f>
        <v/>
      </c>
      <c r="T876" s="28"/>
    </row>
    <row r="877">
      <c r="A877" s="57"/>
      <c r="B877" s="40"/>
      <c r="C877" s="40"/>
      <c r="D877" s="40" t="str">
        <f t="array" ref="D877">IF(B877="","",IFERROR(_xlfn.XLOOKUP(B877,'Lists &amp; Settings'!A:A,'Lists &amp; Settings'!E:E),""))</f>
        <v/>
      </c>
      <c r="E877" s="40"/>
      <c r="F877" s="40"/>
      <c r="G877" s="95"/>
      <c r="H877" s="95"/>
      <c r="I877" s="51"/>
      <c r="J877" s="54" t="s">
        <v>179</v>
      </c>
      <c r="K877" s="55" t="s">
        <v>179</v>
      </c>
      <c r="L877" s="56" t="s">
        <v>179</v>
      </c>
      <c r="M877" s="56" t="s">
        <v>179</v>
      </c>
      <c r="N877" s="40"/>
      <c r="O877" s="40"/>
      <c r="P877" s="57"/>
      <c r="Q877" s="57"/>
      <c r="R877" s="40"/>
      <c r="S877" s="40" t="str">
        <f t="array" ref="S877">IF(C877="","",IFERROR(_xlfn.XLOOKUP(C877,Volunteers!D:D,Volunteers!A:A),""))</f>
        <v/>
      </c>
      <c r="T877" s="40"/>
    </row>
    <row r="878">
      <c r="A878" s="52"/>
      <c r="B878" s="28"/>
      <c r="C878" s="28"/>
      <c r="D878" s="28" t="str">
        <f t="array" ref="D878">IF(B878="","",IFERROR(_xlfn.XLOOKUP(B878,'Lists &amp; Settings'!A:A,'Lists &amp; Settings'!E:E),""))</f>
        <v/>
      </c>
      <c r="E878" s="28"/>
      <c r="F878" s="28"/>
      <c r="G878" s="98"/>
      <c r="H878" s="98"/>
      <c r="I878" s="31"/>
      <c r="J878" s="54" t="s">
        <v>179</v>
      </c>
      <c r="K878" s="55" t="s">
        <v>179</v>
      </c>
      <c r="L878" s="56" t="s">
        <v>179</v>
      </c>
      <c r="M878" s="56" t="s">
        <v>179</v>
      </c>
      <c r="N878" s="28"/>
      <c r="O878" s="28"/>
      <c r="P878" s="52"/>
      <c r="Q878" s="52"/>
      <c r="R878" s="28"/>
      <c r="S878" s="28" t="str">
        <f t="array" ref="S878">IF(C878="","",IFERROR(_xlfn.XLOOKUP(C878,Volunteers!D:D,Volunteers!A:A),""))</f>
        <v/>
      </c>
      <c r="T878" s="28"/>
    </row>
    <row r="879">
      <c r="A879" s="57"/>
      <c r="B879" s="40"/>
      <c r="C879" s="40"/>
      <c r="D879" s="40" t="str">
        <f t="array" ref="D879">IF(B879="","",IFERROR(_xlfn.XLOOKUP(B879,'Lists &amp; Settings'!A:A,'Lists &amp; Settings'!E:E),""))</f>
        <v/>
      </c>
      <c r="E879" s="40"/>
      <c r="F879" s="40"/>
      <c r="G879" s="95"/>
      <c r="H879" s="95"/>
      <c r="I879" s="51"/>
      <c r="J879" s="54" t="s">
        <v>179</v>
      </c>
      <c r="K879" s="55" t="s">
        <v>179</v>
      </c>
      <c r="L879" s="56" t="s">
        <v>179</v>
      </c>
      <c r="M879" s="56" t="s">
        <v>179</v>
      </c>
      <c r="N879" s="40"/>
      <c r="O879" s="40"/>
      <c r="P879" s="57"/>
      <c r="Q879" s="57"/>
      <c r="R879" s="40"/>
      <c r="S879" s="40" t="str">
        <f t="array" ref="S879">IF(C879="","",IFERROR(_xlfn.XLOOKUP(C879,Volunteers!D:D,Volunteers!A:A),""))</f>
        <v/>
      </c>
      <c r="T879" s="40"/>
    </row>
    <row r="880">
      <c r="A880" s="52"/>
      <c r="B880" s="28"/>
      <c r="C880" s="28"/>
      <c r="D880" s="28" t="str">
        <f t="array" ref="D880">IF(B880="","",IFERROR(_xlfn.XLOOKUP(B880,'Lists &amp; Settings'!A:A,'Lists &amp; Settings'!E:E),""))</f>
        <v/>
      </c>
      <c r="E880" s="28"/>
      <c r="F880" s="28"/>
      <c r="G880" s="98"/>
      <c r="H880" s="98"/>
      <c r="I880" s="31"/>
      <c r="J880" s="54" t="s">
        <v>179</v>
      </c>
      <c r="K880" s="55" t="s">
        <v>179</v>
      </c>
      <c r="L880" s="56" t="s">
        <v>179</v>
      </c>
      <c r="M880" s="56" t="s">
        <v>179</v>
      </c>
      <c r="N880" s="28"/>
      <c r="O880" s="28"/>
      <c r="P880" s="52"/>
      <c r="Q880" s="52"/>
      <c r="R880" s="28"/>
      <c r="S880" s="28" t="str">
        <f t="array" ref="S880">IF(C880="","",IFERROR(_xlfn.XLOOKUP(C880,Volunteers!D:D,Volunteers!A:A),""))</f>
        <v/>
      </c>
      <c r="T880" s="28"/>
    </row>
    <row r="881">
      <c r="A881" s="57"/>
      <c r="B881" s="40"/>
      <c r="C881" s="40"/>
      <c r="D881" s="40" t="str">
        <f t="array" ref="D881">IF(B881="","",IFERROR(_xlfn.XLOOKUP(B881,'Lists &amp; Settings'!A:A,'Lists &amp; Settings'!E:E),""))</f>
        <v/>
      </c>
      <c r="E881" s="40"/>
      <c r="F881" s="40"/>
      <c r="G881" s="95"/>
      <c r="H881" s="95"/>
      <c r="I881" s="51"/>
      <c r="J881" s="54" t="s">
        <v>179</v>
      </c>
      <c r="K881" s="55" t="s">
        <v>179</v>
      </c>
      <c r="L881" s="56" t="s">
        <v>179</v>
      </c>
      <c r="M881" s="56" t="s">
        <v>179</v>
      </c>
      <c r="N881" s="40"/>
      <c r="O881" s="40"/>
      <c r="P881" s="57"/>
      <c r="Q881" s="57"/>
      <c r="R881" s="40"/>
      <c r="S881" s="40" t="str">
        <f t="array" ref="S881">IF(C881="","",IFERROR(_xlfn.XLOOKUP(C881,Volunteers!D:D,Volunteers!A:A),""))</f>
        <v/>
      </c>
      <c r="T881" s="40"/>
    </row>
    <row r="882">
      <c r="A882" s="52"/>
      <c r="B882" s="28"/>
      <c r="C882" s="28"/>
      <c r="D882" s="28" t="str">
        <f t="array" ref="D882">IF(B882="","",IFERROR(_xlfn.XLOOKUP(B882,'Lists &amp; Settings'!A:A,'Lists &amp; Settings'!E:E),""))</f>
        <v/>
      </c>
      <c r="E882" s="28"/>
      <c r="F882" s="28"/>
      <c r="G882" s="98"/>
      <c r="H882" s="98"/>
      <c r="I882" s="31"/>
      <c r="J882" s="54" t="s">
        <v>179</v>
      </c>
      <c r="K882" s="55" t="s">
        <v>179</v>
      </c>
      <c r="L882" s="56" t="s">
        <v>179</v>
      </c>
      <c r="M882" s="56" t="s">
        <v>179</v>
      </c>
      <c r="N882" s="28"/>
      <c r="O882" s="28"/>
      <c r="P882" s="52"/>
      <c r="Q882" s="52"/>
      <c r="R882" s="28"/>
      <c r="S882" s="28" t="str">
        <f t="array" ref="S882">IF(C882="","",IFERROR(_xlfn.XLOOKUP(C882,Volunteers!D:D,Volunteers!A:A),""))</f>
        <v/>
      </c>
      <c r="T882" s="28"/>
    </row>
    <row r="883">
      <c r="A883" s="57"/>
      <c r="B883" s="40"/>
      <c r="C883" s="40"/>
      <c r="D883" s="40" t="str">
        <f t="array" ref="D883">IF(B883="","",IFERROR(_xlfn.XLOOKUP(B883,'Lists &amp; Settings'!A:A,'Lists &amp; Settings'!E:E),""))</f>
        <v/>
      </c>
      <c r="E883" s="40"/>
      <c r="F883" s="40"/>
      <c r="G883" s="95"/>
      <c r="H883" s="95"/>
      <c r="I883" s="51"/>
      <c r="J883" s="54" t="s">
        <v>179</v>
      </c>
      <c r="K883" s="55" t="s">
        <v>179</v>
      </c>
      <c r="L883" s="56" t="s">
        <v>179</v>
      </c>
      <c r="M883" s="56" t="s">
        <v>179</v>
      </c>
      <c r="N883" s="40"/>
      <c r="O883" s="40"/>
      <c r="P883" s="57"/>
      <c r="Q883" s="57"/>
      <c r="R883" s="40"/>
      <c r="S883" s="40" t="str">
        <f t="array" ref="S883">IF(C883="","",IFERROR(_xlfn.XLOOKUP(C883,Volunteers!D:D,Volunteers!A:A),""))</f>
        <v/>
      </c>
      <c r="T883" s="40"/>
    </row>
    <row r="884">
      <c r="A884" s="52"/>
      <c r="B884" s="28"/>
      <c r="C884" s="28"/>
      <c r="D884" s="28" t="str">
        <f t="array" ref="D884">IF(B884="","",IFERROR(_xlfn.XLOOKUP(B884,'Lists &amp; Settings'!A:A,'Lists &amp; Settings'!E:E),""))</f>
        <v/>
      </c>
      <c r="E884" s="28"/>
      <c r="F884" s="28"/>
      <c r="G884" s="98"/>
      <c r="H884" s="98"/>
      <c r="I884" s="31"/>
      <c r="J884" s="54" t="s">
        <v>179</v>
      </c>
      <c r="K884" s="55" t="s">
        <v>179</v>
      </c>
      <c r="L884" s="56" t="s">
        <v>179</v>
      </c>
      <c r="M884" s="56" t="s">
        <v>179</v>
      </c>
      <c r="N884" s="28"/>
      <c r="O884" s="28"/>
      <c r="P884" s="52"/>
      <c r="Q884" s="52"/>
      <c r="R884" s="28"/>
      <c r="S884" s="28" t="str">
        <f t="array" ref="S884">IF(C884="","",IFERROR(_xlfn.XLOOKUP(C884,Volunteers!D:D,Volunteers!A:A),""))</f>
        <v/>
      </c>
      <c r="T884" s="28"/>
    </row>
    <row r="885">
      <c r="A885" s="57"/>
      <c r="B885" s="40"/>
      <c r="C885" s="40"/>
      <c r="D885" s="40" t="str">
        <f t="array" ref="D885">IF(B885="","",IFERROR(_xlfn.XLOOKUP(B885,'Lists &amp; Settings'!A:A,'Lists &amp; Settings'!E:E),""))</f>
        <v/>
      </c>
      <c r="E885" s="40"/>
      <c r="F885" s="40"/>
      <c r="G885" s="95"/>
      <c r="H885" s="95"/>
      <c r="I885" s="51"/>
      <c r="J885" s="54" t="s">
        <v>179</v>
      </c>
      <c r="K885" s="55" t="s">
        <v>179</v>
      </c>
      <c r="L885" s="56" t="s">
        <v>179</v>
      </c>
      <c r="M885" s="56" t="s">
        <v>179</v>
      </c>
      <c r="N885" s="40"/>
      <c r="O885" s="40"/>
      <c r="P885" s="57"/>
      <c r="Q885" s="57"/>
      <c r="R885" s="40"/>
      <c r="S885" s="40" t="str">
        <f t="array" ref="S885">IF(C885="","",IFERROR(_xlfn.XLOOKUP(C885,Volunteers!D:D,Volunteers!A:A),""))</f>
        <v/>
      </c>
      <c r="T885" s="40"/>
    </row>
    <row r="886">
      <c r="A886" s="52"/>
      <c r="B886" s="28"/>
      <c r="C886" s="28"/>
      <c r="D886" s="28" t="str">
        <f t="array" ref="D886">IF(B886="","",IFERROR(_xlfn.XLOOKUP(B886,'Lists &amp; Settings'!A:A,'Lists &amp; Settings'!E:E),""))</f>
        <v/>
      </c>
      <c r="E886" s="28"/>
      <c r="F886" s="28"/>
      <c r="G886" s="98"/>
      <c r="H886" s="98"/>
      <c r="I886" s="31"/>
      <c r="J886" s="54" t="s">
        <v>179</v>
      </c>
      <c r="K886" s="55" t="s">
        <v>179</v>
      </c>
      <c r="L886" s="56" t="s">
        <v>179</v>
      </c>
      <c r="M886" s="56" t="s">
        <v>179</v>
      </c>
      <c r="N886" s="28"/>
      <c r="O886" s="28"/>
      <c r="P886" s="52"/>
      <c r="Q886" s="52"/>
      <c r="R886" s="28"/>
      <c r="S886" s="28" t="str">
        <f t="array" ref="S886">IF(C886="","",IFERROR(_xlfn.XLOOKUP(C886,Volunteers!D:D,Volunteers!A:A),""))</f>
        <v/>
      </c>
      <c r="T886" s="28"/>
    </row>
    <row r="887">
      <c r="A887" s="57"/>
      <c r="B887" s="40"/>
      <c r="C887" s="40"/>
      <c r="D887" s="40" t="str">
        <f t="array" ref="D887">IF(B887="","",IFERROR(_xlfn.XLOOKUP(B887,'Lists &amp; Settings'!A:A,'Lists &amp; Settings'!E:E),""))</f>
        <v/>
      </c>
      <c r="E887" s="40"/>
      <c r="F887" s="40"/>
      <c r="G887" s="95"/>
      <c r="H887" s="95"/>
      <c r="I887" s="51"/>
      <c r="J887" s="54" t="s">
        <v>179</v>
      </c>
      <c r="K887" s="55" t="s">
        <v>179</v>
      </c>
      <c r="L887" s="56" t="s">
        <v>179</v>
      </c>
      <c r="M887" s="56" t="s">
        <v>179</v>
      </c>
      <c r="N887" s="40"/>
      <c r="O887" s="40"/>
      <c r="P887" s="57"/>
      <c r="Q887" s="57"/>
      <c r="R887" s="40"/>
      <c r="S887" s="40" t="str">
        <f t="array" ref="S887">IF(C887="","",IFERROR(_xlfn.XLOOKUP(C887,Volunteers!D:D,Volunteers!A:A),""))</f>
        <v/>
      </c>
      <c r="T887" s="40"/>
    </row>
    <row r="888">
      <c r="A888" s="52"/>
      <c r="B888" s="28"/>
      <c r="C888" s="28"/>
      <c r="D888" s="28" t="str">
        <f t="array" ref="D888">IF(B888="","",IFERROR(_xlfn.XLOOKUP(B888,'Lists &amp; Settings'!A:A,'Lists &amp; Settings'!E:E),""))</f>
        <v/>
      </c>
      <c r="E888" s="28"/>
      <c r="F888" s="28"/>
      <c r="G888" s="98"/>
      <c r="H888" s="98"/>
      <c r="I888" s="31"/>
      <c r="J888" s="54" t="s">
        <v>179</v>
      </c>
      <c r="K888" s="55" t="s">
        <v>179</v>
      </c>
      <c r="L888" s="56" t="s">
        <v>179</v>
      </c>
      <c r="M888" s="56" t="s">
        <v>179</v>
      </c>
      <c r="N888" s="28"/>
      <c r="O888" s="28"/>
      <c r="P888" s="52"/>
      <c r="Q888" s="52"/>
      <c r="R888" s="28"/>
      <c r="S888" s="28" t="str">
        <f t="array" ref="S888">IF(C888="","",IFERROR(_xlfn.XLOOKUP(C888,Volunteers!D:D,Volunteers!A:A),""))</f>
        <v/>
      </c>
      <c r="T888" s="28"/>
    </row>
    <row r="889">
      <c r="A889" s="57"/>
      <c r="B889" s="40"/>
      <c r="C889" s="40"/>
      <c r="D889" s="40" t="str">
        <f t="array" ref="D889">IF(B889="","",IFERROR(_xlfn.XLOOKUP(B889,'Lists &amp; Settings'!A:A,'Lists &amp; Settings'!E:E),""))</f>
        <v/>
      </c>
      <c r="E889" s="40"/>
      <c r="F889" s="40"/>
      <c r="G889" s="95"/>
      <c r="H889" s="95"/>
      <c r="I889" s="51"/>
      <c r="J889" s="54" t="s">
        <v>179</v>
      </c>
      <c r="K889" s="55" t="s">
        <v>179</v>
      </c>
      <c r="L889" s="56" t="s">
        <v>179</v>
      </c>
      <c r="M889" s="56" t="s">
        <v>179</v>
      </c>
      <c r="N889" s="40"/>
      <c r="O889" s="40"/>
      <c r="P889" s="57"/>
      <c r="Q889" s="57"/>
      <c r="R889" s="40"/>
      <c r="S889" s="40" t="str">
        <f t="array" ref="S889">IF(C889="","",IFERROR(_xlfn.XLOOKUP(C889,Volunteers!D:D,Volunteers!A:A),""))</f>
        <v/>
      </c>
      <c r="T889" s="40"/>
    </row>
    <row r="890">
      <c r="A890" s="52"/>
      <c r="B890" s="28"/>
      <c r="C890" s="28"/>
      <c r="D890" s="28" t="str">
        <f t="array" ref="D890">IF(B890="","",IFERROR(_xlfn.XLOOKUP(B890,'Lists &amp; Settings'!A:A,'Lists &amp; Settings'!E:E),""))</f>
        <v/>
      </c>
      <c r="E890" s="28"/>
      <c r="F890" s="28"/>
      <c r="G890" s="98"/>
      <c r="H890" s="98"/>
      <c r="I890" s="31"/>
      <c r="J890" s="54" t="s">
        <v>179</v>
      </c>
      <c r="K890" s="55" t="s">
        <v>179</v>
      </c>
      <c r="L890" s="56" t="s">
        <v>179</v>
      </c>
      <c r="M890" s="56" t="s">
        <v>179</v>
      </c>
      <c r="N890" s="28"/>
      <c r="O890" s="28"/>
      <c r="P890" s="52"/>
      <c r="Q890" s="52"/>
      <c r="R890" s="28"/>
      <c r="S890" s="28" t="str">
        <f t="array" ref="S890">IF(C890="","",IFERROR(_xlfn.XLOOKUP(C890,Volunteers!D:D,Volunteers!A:A),""))</f>
        <v/>
      </c>
      <c r="T890" s="28"/>
    </row>
    <row r="891">
      <c r="A891" s="57"/>
      <c r="B891" s="40"/>
      <c r="C891" s="40"/>
      <c r="D891" s="40" t="str">
        <f t="array" ref="D891">IF(B891="","",IFERROR(_xlfn.XLOOKUP(B891,'Lists &amp; Settings'!A:A,'Lists &amp; Settings'!E:E),""))</f>
        <v/>
      </c>
      <c r="E891" s="40"/>
      <c r="F891" s="40"/>
      <c r="G891" s="95"/>
      <c r="H891" s="95"/>
      <c r="I891" s="51"/>
      <c r="J891" s="54" t="s">
        <v>179</v>
      </c>
      <c r="K891" s="55" t="s">
        <v>179</v>
      </c>
      <c r="L891" s="56" t="s">
        <v>179</v>
      </c>
      <c r="M891" s="56" t="s">
        <v>179</v>
      </c>
      <c r="N891" s="40"/>
      <c r="O891" s="40"/>
      <c r="P891" s="57"/>
      <c r="Q891" s="57"/>
      <c r="R891" s="40"/>
      <c r="S891" s="40" t="str">
        <f t="array" ref="S891">IF(C891="","",IFERROR(_xlfn.XLOOKUP(C891,Volunteers!D:D,Volunteers!A:A),""))</f>
        <v/>
      </c>
      <c r="T891" s="40"/>
    </row>
    <row r="892">
      <c r="A892" s="52"/>
      <c r="B892" s="28"/>
      <c r="C892" s="28"/>
      <c r="D892" s="28" t="str">
        <f t="array" ref="D892">IF(B892="","",IFERROR(_xlfn.XLOOKUP(B892,'Lists &amp; Settings'!A:A,'Lists &amp; Settings'!E:E),""))</f>
        <v/>
      </c>
      <c r="E892" s="28"/>
      <c r="F892" s="28"/>
      <c r="G892" s="98"/>
      <c r="H892" s="98"/>
      <c r="I892" s="31"/>
      <c r="J892" s="54" t="s">
        <v>179</v>
      </c>
      <c r="K892" s="55" t="s">
        <v>179</v>
      </c>
      <c r="L892" s="56" t="s">
        <v>179</v>
      </c>
      <c r="M892" s="56" t="s">
        <v>179</v>
      </c>
      <c r="N892" s="28"/>
      <c r="O892" s="28"/>
      <c r="P892" s="52"/>
      <c r="Q892" s="52"/>
      <c r="R892" s="28"/>
      <c r="S892" s="28" t="str">
        <f t="array" ref="S892">IF(C892="","",IFERROR(_xlfn.XLOOKUP(C892,Volunteers!D:D,Volunteers!A:A),""))</f>
        <v/>
      </c>
      <c r="T892" s="28"/>
    </row>
    <row r="893">
      <c r="A893" s="57"/>
      <c r="B893" s="40"/>
      <c r="C893" s="40"/>
      <c r="D893" s="40" t="str">
        <f t="array" ref="D893">IF(B893="","",IFERROR(_xlfn.XLOOKUP(B893,'Lists &amp; Settings'!A:A,'Lists &amp; Settings'!E:E),""))</f>
        <v/>
      </c>
      <c r="E893" s="40"/>
      <c r="F893" s="40"/>
      <c r="G893" s="95"/>
      <c r="H893" s="95"/>
      <c r="I893" s="51"/>
      <c r="J893" s="54" t="s">
        <v>179</v>
      </c>
      <c r="K893" s="55" t="s">
        <v>179</v>
      </c>
      <c r="L893" s="56" t="s">
        <v>179</v>
      </c>
      <c r="M893" s="56" t="s">
        <v>179</v>
      </c>
      <c r="N893" s="40"/>
      <c r="O893" s="40"/>
      <c r="P893" s="57"/>
      <c r="Q893" s="57"/>
      <c r="R893" s="40"/>
      <c r="S893" s="40" t="str">
        <f t="array" ref="S893">IF(C893="","",IFERROR(_xlfn.XLOOKUP(C893,Volunteers!D:D,Volunteers!A:A),""))</f>
        <v/>
      </c>
      <c r="T893" s="40"/>
    </row>
    <row r="894">
      <c r="A894" s="52"/>
      <c r="B894" s="28"/>
      <c r="C894" s="28"/>
      <c r="D894" s="28" t="str">
        <f t="array" ref="D894">IF(B894="","",IFERROR(_xlfn.XLOOKUP(B894,'Lists &amp; Settings'!A:A,'Lists &amp; Settings'!E:E),""))</f>
        <v/>
      </c>
      <c r="E894" s="28"/>
      <c r="F894" s="28"/>
      <c r="G894" s="98"/>
      <c r="H894" s="98"/>
      <c r="I894" s="31"/>
      <c r="J894" s="54" t="s">
        <v>179</v>
      </c>
      <c r="K894" s="55" t="s">
        <v>179</v>
      </c>
      <c r="L894" s="56" t="s">
        <v>179</v>
      </c>
      <c r="M894" s="56" t="s">
        <v>179</v>
      </c>
      <c r="N894" s="28"/>
      <c r="O894" s="28"/>
      <c r="P894" s="52"/>
      <c r="Q894" s="52"/>
      <c r="R894" s="28"/>
      <c r="S894" s="28" t="str">
        <f t="array" ref="S894">IF(C894="","",IFERROR(_xlfn.XLOOKUP(C894,Volunteers!D:D,Volunteers!A:A),""))</f>
        <v/>
      </c>
      <c r="T894" s="28"/>
    </row>
    <row r="895">
      <c r="A895" s="57"/>
      <c r="B895" s="40"/>
      <c r="C895" s="40"/>
      <c r="D895" s="40" t="str">
        <f t="array" ref="D895">IF(B895="","",IFERROR(_xlfn.XLOOKUP(B895,'Lists &amp; Settings'!A:A,'Lists &amp; Settings'!E:E),""))</f>
        <v/>
      </c>
      <c r="E895" s="40"/>
      <c r="F895" s="40"/>
      <c r="G895" s="95"/>
      <c r="H895" s="95"/>
      <c r="I895" s="51"/>
      <c r="J895" s="54" t="s">
        <v>179</v>
      </c>
      <c r="K895" s="55" t="s">
        <v>179</v>
      </c>
      <c r="L895" s="56" t="s">
        <v>179</v>
      </c>
      <c r="M895" s="56" t="s">
        <v>179</v>
      </c>
      <c r="N895" s="40"/>
      <c r="O895" s="40"/>
      <c r="P895" s="57"/>
      <c r="Q895" s="57"/>
      <c r="R895" s="40"/>
      <c r="S895" s="40" t="str">
        <f t="array" ref="S895">IF(C895="","",IFERROR(_xlfn.XLOOKUP(C895,Volunteers!D:D,Volunteers!A:A),""))</f>
        <v/>
      </c>
      <c r="T895" s="40"/>
    </row>
    <row r="896">
      <c r="A896" s="52"/>
      <c r="B896" s="28"/>
      <c r="C896" s="28"/>
      <c r="D896" s="28" t="str">
        <f t="array" ref="D896">IF(B896="","",IFERROR(_xlfn.XLOOKUP(B896,'Lists &amp; Settings'!A:A,'Lists &amp; Settings'!E:E),""))</f>
        <v/>
      </c>
      <c r="E896" s="28"/>
      <c r="F896" s="28"/>
      <c r="G896" s="98"/>
      <c r="H896" s="98"/>
      <c r="I896" s="31"/>
      <c r="J896" s="54" t="s">
        <v>179</v>
      </c>
      <c r="K896" s="55" t="s">
        <v>179</v>
      </c>
      <c r="L896" s="56" t="s">
        <v>179</v>
      </c>
      <c r="M896" s="56" t="s">
        <v>179</v>
      </c>
      <c r="N896" s="28"/>
      <c r="O896" s="28"/>
      <c r="P896" s="52"/>
      <c r="Q896" s="52"/>
      <c r="R896" s="28"/>
      <c r="S896" s="28" t="str">
        <f t="array" ref="S896">IF(C896="","",IFERROR(_xlfn.XLOOKUP(C896,Volunteers!D:D,Volunteers!A:A),""))</f>
        <v/>
      </c>
      <c r="T896" s="28"/>
    </row>
    <row r="897">
      <c r="A897" s="57"/>
      <c r="B897" s="40"/>
      <c r="C897" s="40"/>
      <c r="D897" s="40" t="str">
        <f t="array" ref="D897">IF(B897="","",IFERROR(_xlfn.XLOOKUP(B897,'Lists &amp; Settings'!A:A,'Lists &amp; Settings'!E:E),""))</f>
        <v/>
      </c>
      <c r="E897" s="40"/>
      <c r="F897" s="40"/>
      <c r="G897" s="95"/>
      <c r="H897" s="95"/>
      <c r="I897" s="51"/>
      <c r="J897" s="54" t="s">
        <v>179</v>
      </c>
      <c r="K897" s="55" t="s">
        <v>179</v>
      </c>
      <c r="L897" s="56" t="s">
        <v>179</v>
      </c>
      <c r="M897" s="56" t="s">
        <v>179</v>
      </c>
      <c r="N897" s="40"/>
      <c r="O897" s="40"/>
      <c r="P897" s="57"/>
      <c r="Q897" s="57"/>
      <c r="R897" s="40"/>
      <c r="S897" s="40" t="str">
        <f t="array" ref="S897">IF(C897="","",IFERROR(_xlfn.XLOOKUP(C897,Volunteers!D:D,Volunteers!A:A),""))</f>
        <v/>
      </c>
      <c r="T897" s="40"/>
    </row>
    <row r="898">
      <c r="A898" s="52"/>
      <c r="B898" s="28"/>
      <c r="C898" s="28"/>
      <c r="D898" s="28" t="str">
        <f t="array" ref="D898">IF(B898="","",IFERROR(_xlfn.XLOOKUP(B898,'Lists &amp; Settings'!A:A,'Lists &amp; Settings'!E:E),""))</f>
        <v/>
      </c>
      <c r="E898" s="28"/>
      <c r="F898" s="28"/>
      <c r="G898" s="98"/>
      <c r="H898" s="98"/>
      <c r="I898" s="31"/>
      <c r="J898" s="54" t="s">
        <v>179</v>
      </c>
      <c r="K898" s="55" t="s">
        <v>179</v>
      </c>
      <c r="L898" s="56" t="s">
        <v>179</v>
      </c>
      <c r="M898" s="56" t="s">
        <v>179</v>
      </c>
      <c r="N898" s="28"/>
      <c r="O898" s="28"/>
      <c r="P898" s="52"/>
      <c r="Q898" s="52"/>
      <c r="R898" s="28"/>
      <c r="S898" s="28" t="str">
        <f t="array" ref="S898">IF(C898="","",IFERROR(_xlfn.XLOOKUP(C898,Volunteers!D:D,Volunteers!A:A),""))</f>
        <v/>
      </c>
      <c r="T898" s="28"/>
    </row>
    <row r="899">
      <c r="A899" s="57"/>
      <c r="B899" s="40"/>
      <c r="C899" s="40"/>
      <c r="D899" s="40" t="str">
        <f t="array" ref="D899">IF(B899="","",IFERROR(_xlfn.XLOOKUP(B899,'Lists &amp; Settings'!A:A,'Lists &amp; Settings'!E:E),""))</f>
        <v/>
      </c>
      <c r="E899" s="40"/>
      <c r="F899" s="40"/>
      <c r="G899" s="95"/>
      <c r="H899" s="95"/>
      <c r="I899" s="51"/>
      <c r="J899" s="54" t="s">
        <v>179</v>
      </c>
      <c r="K899" s="55" t="s">
        <v>179</v>
      </c>
      <c r="L899" s="56" t="s">
        <v>179</v>
      </c>
      <c r="M899" s="56" t="s">
        <v>179</v>
      </c>
      <c r="N899" s="40"/>
      <c r="O899" s="40"/>
      <c r="P899" s="57"/>
      <c r="Q899" s="57"/>
      <c r="R899" s="40"/>
      <c r="S899" s="40" t="str">
        <f t="array" ref="S899">IF(C899="","",IFERROR(_xlfn.XLOOKUP(C899,Volunteers!D:D,Volunteers!A:A),""))</f>
        <v/>
      </c>
      <c r="T899" s="40"/>
    </row>
    <row r="900">
      <c r="A900" s="52"/>
      <c r="B900" s="28"/>
      <c r="C900" s="28"/>
      <c r="D900" s="28" t="str">
        <f t="array" ref="D900">IF(B900="","",IFERROR(_xlfn.XLOOKUP(B900,'Lists &amp; Settings'!A:A,'Lists &amp; Settings'!E:E),""))</f>
        <v/>
      </c>
      <c r="E900" s="28"/>
      <c r="F900" s="28"/>
      <c r="G900" s="98"/>
      <c r="H900" s="98"/>
      <c r="I900" s="31"/>
      <c r="J900" s="54" t="s">
        <v>179</v>
      </c>
      <c r="K900" s="55" t="s">
        <v>179</v>
      </c>
      <c r="L900" s="56" t="s">
        <v>179</v>
      </c>
      <c r="M900" s="56" t="s">
        <v>179</v>
      </c>
      <c r="N900" s="28"/>
      <c r="O900" s="28"/>
      <c r="P900" s="52"/>
      <c r="Q900" s="52"/>
      <c r="R900" s="28"/>
      <c r="S900" s="28" t="str">
        <f t="array" ref="S900">IF(C900="","",IFERROR(_xlfn.XLOOKUP(C900,Volunteers!D:D,Volunteers!A:A),""))</f>
        <v/>
      </c>
      <c r="T900" s="28"/>
    </row>
    <row r="901">
      <c r="A901" s="57"/>
      <c r="B901" s="40"/>
      <c r="C901" s="40"/>
      <c r="D901" s="40" t="str">
        <f t="array" ref="D901">IF(B901="","",IFERROR(_xlfn.XLOOKUP(B901,'Lists &amp; Settings'!A:A,'Lists &amp; Settings'!E:E),""))</f>
        <v/>
      </c>
      <c r="E901" s="40"/>
      <c r="F901" s="40"/>
      <c r="G901" s="95"/>
      <c r="H901" s="95"/>
      <c r="I901" s="51"/>
      <c r="J901" s="54" t="s">
        <v>179</v>
      </c>
      <c r="K901" s="55" t="s">
        <v>179</v>
      </c>
      <c r="L901" s="56" t="s">
        <v>179</v>
      </c>
      <c r="M901" s="56" t="s">
        <v>179</v>
      </c>
      <c r="N901" s="40"/>
      <c r="O901" s="40"/>
      <c r="P901" s="57"/>
      <c r="Q901" s="57"/>
      <c r="R901" s="40"/>
      <c r="S901" s="40" t="str">
        <f t="array" ref="S901">IF(C901="","",IFERROR(_xlfn.XLOOKUP(C901,Volunteers!D:D,Volunteers!A:A),""))</f>
        <v/>
      </c>
      <c r="T901" s="40"/>
    </row>
    <row r="902">
      <c r="A902" s="52"/>
      <c r="B902" s="28"/>
      <c r="C902" s="28"/>
      <c r="D902" s="28" t="str">
        <f t="array" ref="D902">IF(B902="","",IFERROR(_xlfn.XLOOKUP(B902,'Lists &amp; Settings'!A:A,'Lists &amp; Settings'!E:E),""))</f>
        <v/>
      </c>
      <c r="E902" s="28"/>
      <c r="F902" s="28"/>
      <c r="G902" s="98"/>
      <c r="H902" s="98"/>
      <c r="I902" s="31"/>
      <c r="J902" s="54" t="s">
        <v>179</v>
      </c>
      <c r="K902" s="55" t="s">
        <v>179</v>
      </c>
      <c r="L902" s="56" t="s">
        <v>179</v>
      </c>
      <c r="M902" s="56" t="s">
        <v>179</v>
      </c>
      <c r="N902" s="28"/>
      <c r="O902" s="28"/>
      <c r="P902" s="52"/>
      <c r="Q902" s="52"/>
      <c r="R902" s="28"/>
      <c r="S902" s="28" t="str">
        <f t="array" ref="S902">IF(C902="","",IFERROR(_xlfn.XLOOKUP(C902,Volunteers!D:D,Volunteers!A:A),""))</f>
        <v/>
      </c>
      <c r="T902" s="28"/>
    </row>
    <row r="903">
      <c r="A903" s="57"/>
      <c r="B903" s="40"/>
      <c r="C903" s="40"/>
      <c r="D903" s="40" t="str">
        <f t="array" ref="D903">IF(B903="","",IFERROR(_xlfn.XLOOKUP(B903,'Lists &amp; Settings'!A:A,'Lists &amp; Settings'!E:E),""))</f>
        <v/>
      </c>
      <c r="E903" s="40"/>
      <c r="F903" s="40"/>
      <c r="G903" s="95"/>
      <c r="H903" s="95"/>
      <c r="I903" s="51"/>
      <c r="J903" s="54" t="s">
        <v>179</v>
      </c>
      <c r="K903" s="55" t="s">
        <v>179</v>
      </c>
      <c r="L903" s="56" t="s">
        <v>179</v>
      </c>
      <c r="M903" s="56" t="s">
        <v>179</v>
      </c>
      <c r="N903" s="40"/>
      <c r="O903" s="40"/>
      <c r="P903" s="57"/>
      <c r="Q903" s="57"/>
      <c r="R903" s="40"/>
      <c r="S903" s="40" t="str">
        <f t="array" ref="S903">IF(C903="","",IFERROR(_xlfn.XLOOKUP(C903,Volunteers!D:D,Volunteers!A:A),""))</f>
        <v/>
      </c>
      <c r="T903" s="40"/>
    </row>
    <row r="904">
      <c r="A904" s="52"/>
      <c r="B904" s="28"/>
      <c r="C904" s="28"/>
      <c r="D904" s="28" t="str">
        <f t="array" ref="D904">IF(B904="","",IFERROR(_xlfn.XLOOKUP(B904,'Lists &amp; Settings'!A:A,'Lists &amp; Settings'!E:E),""))</f>
        <v/>
      </c>
      <c r="E904" s="28"/>
      <c r="F904" s="28"/>
      <c r="G904" s="98"/>
      <c r="H904" s="98"/>
      <c r="I904" s="31"/>
      <c r="J904" s="54" t="s">
        <v>179</v>
      </c>
      <c r="K904" s="55" t="s">
        <v>179</v>
      </c>
      <c r="L904" s="56" t="s">
        <v>179</v>
      </c>
      <c r="M904" s="56" t="s">
        <v>179</v>
      </c>
      <c r="N904" s="28"/>
      <c r="O904" s="28"/>
      <c r="P904" s="52"/>
      <c r="Q904" s="52"/>
      <c r="R904" s="28"/>
      <c r="S904" s="28" t="str">
        <f t="array" ref="S904">IF(C904="","",IFERROR(_xlfn.XLOOKUP(C904,Volunteers!D:D,Volunteers!A:A),""))</f>
        <v/>
      </c>
      <c r="T904" s="28"/>
    </row>
    <row r="905">
      <c r="A905" s="57"/>
      <c r="B905" s="40"/>
      <c r="C905" s="40"/>
      <c r="D905" s="40" t="str">
        <f t="array" ref="D905">IF(B905="","",IFERROR(_xlfn.XLOOKUP(B905,'Lists &amp; Settings'!A:A,'Lists &amp; Settings'!E:E),""))</f>
        <v/>
      </c>
      <c r="E905" s="40"/>
      <c r="F905" s="40"/>
      <c r="G905" s="95"/>
      <c r="H905" s="95"/>
      <c r="I905" s="51"/>
      <c r="J905" s="54" t="s">
        <v>179</v>
      </c>
      <c r="K905" s="55" t="s">
        <v>179</v>
      </c>
      <c r="L905" s="56" t="s">
        <v>179</v>
      </c>
      <c r="M905" s="56" t="s">
        <v>179</v>
      </c>
      <c r="N905" s="40"/>
      <c r="O905" s="40"/>
      <c r="P905" s="57"/>
      <c r="Q905" s="57"/>
      <c r="R905" s="40"/>
      <c r="S905" s="40" t="str">
        <f t="array" ref="S905">IF(C905="","",IFERROR(_xlfn.XLOOKUP(C905,Volunteers!D:D,Volunteers!A:A),""))</f>
        <v/>
      </c>
      <c r="T905" s="40"/>
    </row>
    <row r="906">
      <c r="A906" s="52"/>
      <c r="B906" s="28"/>
      <c r="C906" s="28"/>
      <c r="D906" s="28" t="str">
        <f t="array" ref="D906">IF(B906="","",IFERROR(_xlfn.XLOOKUP(B906,'Lists &amp; Settings'!A:A,'Lists &amp; Settings'!E:E),""))</f>
        <v/>
      </c>
      <c r="E906" s="28"/>
      <c r="F906" s="28"/>
      <c r="G906" s="98"/>
      <c r="H906" s="98"/>
      <c r="I906" s="31"/>
      <c r="J906" s="54" t="s">
        <v>179</v>
      </c>
      <c r="K906" s="55" t="s">
        <v>179</v>
      </c>
      <c r="L906" s="56" t="s">
        <v>179</v>
      </c>
      <c r="M906" s="56" t="s">
        <v>179</v>
      </c>
      <c r="N906" s="28"/>
      <c r="O906" s="28"/>
      <c r="P906" s="52"/>
      <c r="Q906" s="52"/>
      <c r="R906" s="28"/>
      <c r="S906" s="28" t="str">
        <f t="array" ref="S906">IF(C906="","",IFERROR(_xlfn.XLOOKUP(C906,Volunteers!D:D,Volunteers!A:A),""))</f>
        <v/>
      </c>
      <c r="T906" s="28"/>
    </row>
    <row r="907">
      <c r="A907" s="57"/>
      <c r="B907" s="40"/>
      <c r="C907" s="40"/>
      <c r="D907" s="40" t="str">
        <f t="array" ref="D907">IF(B907="","",IFERROR(_xlfn.XLOOKUP(B907,'Lists &amp; Settings'!A:A,'Lists &amp; Settings'!E:E),""))</f>
        <v/>
      </c>
      <c r="E907" s="40"/>
      <c r="F907" s="40"/>
      <c r="G907" s="95"/>
      <c r="H907" s="95"/>
      <c r="I907" s="51"/>
      <c r="J907" s="54" t="s">
        <v>179</v>
      </c>
      <c r="K907" s="55" t="s">
        <v>179</v>
      </c>
      <c r="L907" s="56" t="s">
        <v>179</v>
      </c>
      <c r="M907" s="56" t="s">
        <v>179</v>
      </c>
      <c r="N907" s="40"/>
      <c r="O907" s="40"/>
      <c r="P907" s="57"/>
      <c r="Q907" s="57"/>
      <c r="R907" s="40"/>
      <c r="S907" s="40" t="str">
        <f t="array" ref="S907">IF(C907="","",IFERROR(_xlfn.XLOOKUP(C907,Volunteers!D:D,Volunteers!A:A),""))</f>
        <v/>
      </c>
      <c r="T907" s="40"/>
    </row>
    <row r="908">
      <c r="A908" s="52"/>
      <c r="B908" s="28"/>
      <c r="C908" s="28"/>
      <c r="D908" s="28" t="str">
        <f t="array" ref="D908">IF(B908="","",IFERROR(_xlfn.XLOOKUP(B908,'Lists &amp; Settings'!A:A,'Lists &amp; Settings'!E:E),""))</f>
        <v/>
      </c>
      <c r="E908" s="28"/>
      <c r="F908" s="28"/>
      <c r="G908" s="98"/>
      <c r="H908" s="98"/>
      <c r="I908" s="31"/>
      <c r="J908" s="54" t="s">
        <v>179</v>
      </c>
      <c r="K908" s="55" t="s">
        <v>179</v>
      </c>
      <c r="L908" s="56" t="s">
        <v>179</v>
      </c>
      <c r="M908" s="56" t="s">
        <v>179</v>
      </c>
      <c r="N908" s="28"/>
      <c r="O908" s="28"/>
      <c r="P908" s="52"/>
      <c r="Q908" s="52"/>
      <c r="R908" s="28"/>
      <c r="S908" s="28" t="str">
        <f t="array" ref="S908">IF(C908="","",IFERROR(_xlfn.XLOOKUP(C908,Volunteers!D:D,Volunteers!A:A),""))</f>
        <v/>
      </c>
      <c r="T908" s="28"/>
    </row>
    <row r="909">
      <c r="A909" s="57"/>
      <c r="B909" s="40"/>
      <c r="C909" s="40"/>
      <c r="D909" s="40" t="str">
        <f t="array" ref="D909">IF(B909="","",IFERROR(_xlfn.XLOOKUP(B909,'Lists &amp; Settings'!A:A,'Lists &amp; Settings'!E:E),""))</f>
        <v/>
      </c>
      <c r="E909" s="40"/>
      <c r="F909" s="40"/>
      <c r="G909" s="95"/>
      <c r="H909" s="95"/>
      <c r="I909" s="51"/>
      <c r="J909" s="54" t="s">
        <v>179</v>
      </c>
      <c r="K909" s="55" t="s">
        <v>179</v>
      </c>
      <c r="L909" s="56" t="s">
        <v>179</v>
      </c>
      <c r="M909" s="56" t="s">
        <v>179</v>
      </c>
      <c r="N909" s="40"/>
      <c r="O909" s="40"/>
      <c r="P909" s="57"/>
      <c r="Q909" s="57"/>
      <c r="R909" s="40"/>
      <c r="S909" s="40" t="str">
        <f t="array" ref="S909">IF(C909="","",IFERROR(_xlfn.XLOOKUP(C909,Volunteers!D:D,Volunteers!A:A),""))</f>
        <v/>
      </c>
      <c r="T909" s="40"/>
    </row>
    <row r="910">
      <c r="A910" s="52"/>
      <c r="B910" s="28"/>
      <c r="C910" s="28"/>
      <c r="D910" s="28" t="str">
        <f t="array" ref="D910">IF(B910="","",IFERROR(_xlfn.XLOOKUP(B910,'Lists &amp; Settings'!A:A,'Lists &amp; Settings'!E:E),""))</f>
        <v/>
      </c>
      <c r="E910" s="28"/>
      <c r="F910" s="28"/>
      <c r="G910" s="98"/>
      <c r="H910" s="98"/>
      <c r="I910" s="31"/>
      <c r="J910" s="54" t="s">
        <v>179</v>
      </c>
      <c r="K910" s="55" t="s">
        <v>179</v>
      </c>
      <c r="L910" s="56" t="s">
        <v>179</v>
      </c>
      <c r="M910" s="56" t="s">
        <v>179</v>
      </c>
      <c r="N910" s="28"/>
      <c r="O910" s="28"/>
      <c r="P910" s="52"/>
      <c r="Q910" s="52"/>
      <c r="R910" s="28"/>
      <c r="S910" s="28" t="str">
        <f t="array" ref="S910">IF(C910="","",IFERROR(_xlfn.XLOOKUP(C910,Volunteers!D:D,Volunteers!A:A),""))</f>
        <v/>
      </c>
      <c r="T910" s="28"/>
    </row>
    <row r="911">
      <c r="A911" s="57"/>
      <c r="B911" s="40"/>
      <c r="C911" s="40"/>
      <c r="D911" s="40" t="str">
        <f t="array" ref="D911">IF(B911="","",IFERROR(_xlfn.XLOOKUP(B911,'Lists &amp; Settings'!A:A,'Lists &amp; Settings'!E:E),""))</f>
        <v/>
      </c>
      <c r="E911" s="40"/>
      <c r="F911" s="40"/>
      <c r="G911" s="95"/>
      <c r="H911" s="95"/>
      <c r="I911" s="51"/>
      <c r="J911" s="54" t="s">
        <v>179</v>
      </c>
      <c r="K911" s="55" t="s">
        <v>179</v>
      </c>
      <c r="L911" s="56" t="s">
        <v>179</v>
      </c>
      <c r="M911" s="56" t="s">
        <v>179</v>
      </c>
      <c r="N911" s="40"/>
      <c r="O911" s="40"/>
      <c r="P911" s="57"/>
      <c r="Q911" s="57"/>
      <c r="R911" s="40"/>
      <c r="S911" s="40" t="str">
        <f t="array" ref="S911">IF(C911="","",IFERROR(_xlfn.XLOOKUP(C911,Volunteers!D:D,Volunteers!A:A),""))</f>
        <v/>
      </c>
      <c r="T911" s="40"/>
    </row>
    <row r="912">
      <c r="A912" s="52"/>
      <c r="B912" s="28"/>
      <c r="C912" s="28"/>
      <c r="D912" s="28" t="str">
        <f t="array" ref="D912">IF(B912="","",IFERROR(_xlfn.XLOOKUP(B912,'Lists &amp; Settings'!A:A,'Lists &amp; Settings'!E:E),""))</f>
        <v/>
      </c>
      <c r="E912" s="28"/>
      <c r="F912" s="28"/>
      <c r="G912" s="98"/>
      <c r="H912" s="98"/>
      <c r="I912" s="31"/>
      <c r="J912" s="54" t="s">
        <v>179</v>
      </c>
      <c r="K912" s="55" t="s">
        <v>179</v>
      </c>
      <c r="L912" s="56" t="s">
        <v>179</v>
      </c>
      <c r="M912" s="56" t="s">
        <v>179</v>
      </c>
      <c r="N912" s="28"/>
      <c r="O912" s="28"/>
      <c r="P912" s="52"/>
      <c r="Q912" s="52"/>
      <c r="R912" s="28"/>
      <c r="S912" s="28" t="str">
        <f t="array" ref="S912">IF(C912="","",IFERROR(_xlfn.XLOOKUP(C912,Volunteers!D:D,Volunteers!A:A),""))</f>
        <v/>
      </c>
      <c r="T912" s="28"/>
    </row>
    <row r="913">
      <c r="A913" s="57"/>
      <c r="B913" s="40"/>
      <c r="C913" s="40"/>
      <c r="D913" s="40" t="str">
        <f t="array" ref="D913">IF(B913="","",IFERROR(_xlfn.XLOOKUP(B913,'Lists &amp; Settings'!A:A,'Lists &amp; Settings'!E:E),""))</f>
        <v/>
      </c>
      <c r="E913" s="40"/>
      <c r="F913" s="40"/>
      <c r="G913" s="95"/>
      <c r="H913" s="95"/>
      <c r="I913" s="51"/>
      <c r="J913" s="54" t="s">
        <v>179</v>
      </c>
      <c r="K913" s="55" t="s">
        <v>179</v>
      </c>
      <c r="L913" s="56" t="s">
        <v>179</v>
      </c>
      <c r="M913" s="56" t="s">
        <v>179</v>
      </c>
      <c r="N913" s="40"/>
      <c r="O913" s="40"/>
      <c r="P913" s="57"/>
      <c r="Q913" s="57"/>
      <c r="R913" s="40"/>
      <c r="S913" s="40" t="str">
        <f t="array" ref="S913">IF(C913="","",IFERROR(_xlfn.XLOOKUP(C913,Volunteers!D:D,Volunteers!A:A),""))</f>
        <v/>
      </c>
      <c r="T913" s="40"/>
    </row>
    <row r="914">
      <c r="A914" s="52"/>
      <c r="B914" s="28"/>
      <c r="C914" s="28"/>
      <c r="D914" s="28" t="str">
        <f t="array" ref="D914">IF(B914="","",IFERROR(_xlfn.XLOOKUP(B914,'Lists &amp; Settings'!A:A,'Lists &amp; Settings'!E:E),""))</f>
        <v/>
      </c>
      <c r="E914" s="28"/>
      <c r="F914" s="28"/>
      <c r="G914" s="98"/>
      <c r="H914" s="98"/>
      <c r="I914" s="31"/>
      <c r="J914" s="54" t="s">
        <v>179</v>
      </c>
      <c r="K914" s="55" t="s">
        <v>179</v>
      </c>
      <c r="L914" s="56" t="s">
        <v>179</v>
      </c>
      <c r="M914" s="56" t="s">
        <v>179</v>
      </c>
      <c r="N914" s="28"/>
      <c r="O914" s="28"/>
      <c r="P914" s="52"/>
      <c r="Q914" s="52"/>
      <c r="R914" s="28"/>
      <c r="S914" s="28" t="str">
        <f t="array" ref="S914">IF(C914="","",IFERROR(_xlfn.XLOOKUP(C914,Volunteers!D:D,Volunteers!A:A),""))</f>
        <v/>
      </c>
      <c r="T914" s="28"/>
    </row>
    <row r="915">
      <c r="A915" s="57"/>
      <c r="B915" s="40"/>
      <c r="C915" s="40"/>
      <c r="D915" s="40" t="str">
        <f t="array" ref="D915">IF(B915="","",IFERROR(_xlfn.XLOOKUP(B915,'Lists &amp; Settings'!A:A,'Lists &amp; Settings'!E:E),""))</f>
        <v/>
      </c>
      <c r="E915" s="40"/>
      <c r="F915" s="40"/>
      <c r="G915" s="95"/>
      <c r="H915" s="95"/>
      <c r="I915" s="51"/>
      <c r="J915" s="54" t="s">
        <v>179</v>
      </c>
      <c r="K915" s="55" t="s">
        <v>179</v>
      </c>
      <c r="L915" s="56" t="s">
        <v>179</v>
      </c>
      <c r="M915" s="56" t="s">
        <v>179</v>
      </c>
      <c r="N915" s="40"/>
      <c r="O915" s="40"/>
      <c r="P915" s="57"/>
      <c r="Q915" s="57"/>
      <c r="R915" s="40"/>
      <c r="S915" s="40" t="str">
        <f t="array" ref="S915">IF(C915="","",IFERROR(_xlfn.XLOOKUP(C915,Volunteers!D:D,Volunteers!A:A),""))</f>
        <v/>
      </c>
      <c r="T915" s="40"/>
    </row>
    <row r="916">
      <c r="A916" s="52"/>
      <c r="B916" s="28"/>
      <c r="C916" s="28"/>
      <c r="D916" s="28" t="str">
        <f t="array" ref="D916">IF(B916="","",IFERROR(_xlfn.XLOOKUP(B916,'Lists &amp; Settings'!A:A,'Lists &amp; Settings'!E:E),""))</f>
        <v/>
      </c>
      <c r="E916" s="28"/>
      <c r="F916" s="28"/>
      <c r="G916" s="98"/>
      <c r="H916" s="98"/>
      <c r="I916" s="31"/>
      <c r="J916" s="54" t="s">
        <v>179</v>
      </c>
      <c r="K916" s="55" t="s">
        <v>179</v>
      </c>
      <c r="L916" s="56" t="s">
        <v>179</v>
      </c>
      <c r="M916" s="56" t="s">
        <v>179</v>
      </c>
      <c r="N916" s="28"/>
      <c r="O916" s="28"/>
      <c r="P916" s="52"/>
      <c r="Q916" s="52"/>
      <c r="R916" s="28"/>
      <c r="S916" s="28" t="str">
        <f t="array" ref="S916">IF(C916="","",IFERROR(_xlfn.XLOOKUP(C916,Volunteers!D:D,Volunteers!A:A),""))</f>
        <v/>
      </c>
      <c r="T916" s="28"/>
    </row>
    <row r="917">
      <c r="A917" s="57"/>
      <c r="B917" s="40"/>
      <c r="C917" s="40"/>
      <c r="D917" s="40" t="str">
        <f t="array" ref="D917">IF(B917="","",IFERROR(_xlfn.XLOOKUP(B917,'Lists &amp; Settings'!A:A,'Lists &amp; Settings'!E:E),""))</f>
        <v/>
      </c>
      <c r="E917" s="40"/>
      <c r="F917" s="40"/>
      <c r="G917" s="95"/>
      <c r="H917" s="95"/>
      <c r="I917" s="51"/>
      <c r="J917" s="54" t="s">
        <v>179</v>
      </c>
      <c r="K917" s="55" t="s">
        <v>179</v>
      </c>
      <c r="L917" s="56" t="s">
        <v>179</v>
      </c>
      <c r="M917" s="56" t="s">
        <v>179</v>
      </c>
      <c r="N917" s="40"/>
      <c r="O917" s="40"/>
      <c r="P917" s="57"/>
      <c r="Q917" s="57"/>
      <c r="R917" s="40"/>
      <c r="S917" s="40" t="str">
        <f t="array" ref="S917">IF(C917="","",IFERROR(_xlfn.XLOOKUP(C917,Volunteers!D:D,Volunteers!A:A),""))</f>
        <v/>
      </c>
      <c r="T917" s="40"/>
    </row>
    <row r="918">
      <c r="A918" s="52"/>
      <c r="B918" s="28"/>
      <c r="C918" s="28"/>
      <c r="D918" s="28" t="str">
        <f t="array" ref="D918">IF(B918="","",IFERROR(_xlfn.XLOOKUP(B918,'Lists &amp; Settings'!A:A,'Lists &amp; Settings'!E:E),""))</f>
        <v/>
      </c>
      <c r="E918" s="28"/>
      <c r="F918" s="28"/>
      <c r="G918" s="98"/>
      <c r="H918" s="98"/>
      <c r="I918" s="31"/>
      <c r="J918" s="54" t="s">
        <v>179</v>
      </c>
      <c r="K918" s="55" t="s">
        <v>179</v>
      </c>
      <c r="L918" s="56" t="s">
        <v>179</v>
      </c>
      <c r="M918" s="56" t="s">
        <v>179</v>
      </c>
      <c r="N918" s="28"/>
      <c r="O918" s="28"/>
      <c r="P918" s="52"/>
      <c r="Q918" s="52"/>
      <c r="R918" s="28"/>
      <c r="S918" s="28" t="str">
        <f t="array" ref="S918">IF(C918="","",IFERROR(_xlfn.XLOOKUP(C918,Volunteers!D:D,Volunteers!A:A),""))</f>
        <v/>
      </c>
      <c r="T918" s="28"/>
    </row>
    <row r="919">
      <c r="A919" s="57"/>
      <c r="B919" s="40"/>
      <c r="C919" s="40"/>
      <c r="D919" s="40" t="str">
        <f t="array" ref="D919">IF(B919="","",IFERROR(_xlfn.XLOOKUP(B919,'Lists &amp; Settings'!A:A,'Lists &amp; Settings'!E:E),""))</f>
        <v/>
      </c>
      <c r="E919" s="40"/>
      <c r="F919" s="40"/>
      <c r="G919" s="95"/>
      <c r="H919" s="95"/>
      <c r="I919" s="51"/>
      <c r="J919" s="54" t="s">
        <v>179</v>
      </c>
      <c r="K919" s="55" t="s">
        <v>179</v>
      </c>
      <c r="L919" s="56" t="s">
        <v>179</v>
      </c>
      <c r="M919" s="56" t="s">
        <v>179</v>
      </c>
      <c r="N919" s="40"/>
      <c r="O919" s="40"/>
      <c r="P919" s="57"/>
      <c r="Q919" s="57"/>
      <c r="R919" s="40"/>
      <c r="S919" s="40" t="str">
        <f t="array" ref="S919">IF(C919="","",IFERROR(_xlfn.XLOOKUP(C919,Volunteers!D:D,Volunteers!A:A),""))</f>
        <v/>
      </c>
      <c r="T919" s="40"/>
    </row>
    <row r="920">
      <c r="A920" s="52"/>
      <c r="B920" s="28"/>
      <c r="C920" s="28"/>
      <c r="D920" s="28" t="str">
        <f t="array" ref="D920">IF(B920="","",IFERROR(_xlfn.XLOOKUP(B920,'Lists &amp; Settings'!A:A,'Lists &amp; Settings'!E:E),""))</f>
        <v/>
      </c>
      <c r="E920" s="28"/>
      <c r="F920" s="28"/>
      <c r="G920" s="98"/>
      <c r="H920" s="98"/>
      <c r="I920" s="31"/>
      <c r="J920" s="54" t="s">
        <v>179</v>
      </c>
      <c r="K920" s="55" t="s">
        <v>179</v>
      </c>
      <c r="L920" s="56" t="s">
        <v>179</v>
      </c>
      <c r="M920" s="56" t="s">
        <v>179</v>
      </c>
      <c r="N920" s="28"/>
      <c r="O920" s="28"/>
      <c r="P920" s="52"/>
      <c r="Q920" s="52"/>
      <c r="R920" s="28"/>
      <c r="S920" s="28" t="str">
        <f t="array" ref="S920">IF(C920="","",IFERROR(_xlfn.XLOOKUP(C920,Volunteers!D:D,Volunteers!A:A),""))</f>
        <v/>
      </c>
      <c r="T920" s="28"/>
    </row>
    <row r="921">
      <c r="A921" s="57"/>
      <c r="B921" s="40"/>
      <c r="C921" s="40"/>
      <c r="D921" s="40" t="str">
        <f t="array" ref="D921">IF(B921="","",IFERROR(_xlfn.XLOOKUP(B921,'Lists &amp; Settings'!A:A,'Lists &amp; Settings'!E:E),""))</f>
        <v/>
      </c>
      <c r="E921" s="40"/>
      <c r="F921" s="40"/>
      <c r="G921" s="95"/>
      <c r="H921" s="95"/>
      <c r="I921" s="51"/>
      <c r="J921" s="54" t="s">
        <v>179</v>
      </c>
      <c r="K921" s="55" t="s">
        <v>179</v>
      </c>
      <c r="L921" s="56" t="s">
        <v>179</v>
      </c>
      <c r="M921" s="56" t="s">
        <v>179</v>
      </c>
      <c r="N921" s="40"/>
      <c r="O921" s="40"/>
      <c r="P921" s="57"/>
      <c r="Q921" s="57"/>
      <c r="R921" s="40"/>
      <c r="S921" s="40" t="str">
        <f t="array" ref="S921">IF(C921="","",IFERROR(_xlfn.XLOOKUP(C921,Volunteers!D:D,Volunteers!A:A),""))</f>
        <v/>
      </c>
      <c r="T921" s="40"/>
    </row>
    <row r="922">
      <c r="A922" s="52"/>
      <c r="B922" s="28"/>
      <c r="C922" s="28"/>
      <c r="D922" s="28" t="str">
        <f t="array" ref="D922">IF(B922="","",IFERROR(_xlfn.XLOOKUP(B922,'Lists &amp; Settings'!A:A,'Lists &amp; Settings'!E:E),""))</f>
        <v/>
      </c>
      <c r="E922" s="28"/>
      <c r="F922" s="28"/>
      <c r="G922" s="98"/>
      <c r="H922" s="98"/>
      <c r="I922" s="31"/>
      <c r="J922" s="54" t="s">
        <v>179</v>
      </c>
      <c r="K922" s="55" t="s">
        <v>179</v>
      </c>
      <c r="L922" s="56" t="s">
        <v>179</v>
      </c>
      <c r="M922" s="56" t="s">
        <v>179</v>
      </c>
      <c r="N922" s="28"/>
      <c r="O922" s="28"/>
      <c r="P922" s="52"/>
      <c r="Q922" s="52"/>
      <c r="R922" s="28"/>
      <c r="S922" s="28" t="str">
        <f t="array" ref="S922">IF(C922="","",IFERROR(_xlfn.XLOOKUP(C922,Volunteers!D:D,Volunteers!A:A),""))</f>
        <v/>
      </c>
      <c r="T922" s="28"/>
    </row>
    <row r="923">
      <c r="A923" s="57"/>
      <c r="B923" s="40"/>
      <c r="C923" s="40"/>
      <c r="D923" s="40" t="str">
        <f t="array" ref="D923">IF(B923="","",IFERROR(_xlfn.XLOOKUP(B923,'Lists &amp; Settings'!A:A,'Lists &amp; Settings'!E:E),""))</f>
        <v/>
      </c>
      <c r="E923" s="40"/>
      <c r="F923" s="40"/>
      <c r="G923" s="95"/>
      <c r="H923" s="95"/>
      <c r="I923" s="51"/>
      <c r="J923" s="54" t="s">
        <v>179</v>
      </c>
      <c r="K923" s="55" t="s">
        <v>179</v>
      </c>
      <c r="L923" s="56" t="s">
        <v>179</v>
      </c>
      <c r="M923" s="56" t="s">
        <v>179</v>
      </c>
      <c r="N923" s="40"/>
      <c r="O923" s="40"/>
      <c r="P923" s="57"/>
      <c r="Q923" s="57"/>
      <c r="R923" s="40"/>
      <c r="S923" s="40" t="str">
        <f t="array" ref="S923">IF(C923="","",IFERROR(_xlfn.XLOOKUP(C923,Volunteers!D:D,Volunteers!A:A),""))</f>
        <v/>
      </c>
      <c r="T923" s="40"/>
    </row>
    <row r="924">
      <c r="A924" s="52"/>
      <c r="B924" s="28"/>
      <c r="C924" s="28"/>
      <c r="D924" s="28" t="str">
        <f t="array" ref="D924">IF(B924="","",IFERROR(_xlfn.XLOOKUP(B924,'Lists &amp; Settings'!A:A,'Lists &amp; Settings'!E:E),""))</f>
        <v/>
      </c>
      <c r="E924" s="28"/>
      <c r="F924" s="28"/>
      <c r="G924" s="98"/>
      <c r="H924" s="98"/>
      <c r="I924" s="31"/>
      <c r="J924" s="54" t="s">
        <v>179</v>
      </c>
      <c r="K924" s="55" t="s">
        <v>179</v>
      </c>
      <c r="L924" s="56" t="s">
        <v>179</v>
      </c>
      <c r="M924" s="56" t="s">
        <v>179</v>
      </c>
      <c r="N924" s="28"/>
      <c r="O924" s="28"/>
      <c r="P924" s="52"/>
      <c r="Q924" s="52"/>
      <c r="R924" s="28"/>
      <c r="S924" s="28" t="str">
        <f t="array" ref="S924">IF(C924="","",IFERROR(_xlfn.XLOOKUP(C924,Volunteers!D:D,Volunteers!A:A),""))</f>
        <v/>
      </c>
      <c r="T924" s="28"/>
    </row>
    <row r="925">
      <c r="A925" s="57"/>
      <c r="B925" s="40"/>
      <c r="C925" s="40"/>
      <c r="D925" s="40" t="str">
        <f t="array" ref="D925">IF(B925="","",IFERROR(_xlfn.XLOOKUP(B925,'Lists &amp; Settings'!A:A,'Lists &amp; Settings'!E:E),""))</f>
        <v/>
      </c>
      <c r="E925" s="40"/>
      <c r="F925" s="40"/>
      <c r="G925" s="95"/>
      <c r="H925" s="95"/>
      <c r="I925" s="51"/>
      <c r="J925" s="54" t="s">
        <v>179</v>
      </c>
      <c r="K925" s="55" t="s">
        <v>179</v>
      </c>
      <c r="L925" s="56" t="s">
        <v>179</v>
      </c>
      <c r="M925" s="56" t="s">
        <v>179</v>
      </c>
      <c r="N925" s="40"/>
      <c r="O925" s="40"/>
      <c r="P925" s="57"/>
      <c r="Q925" s="57"/>
      <c r="R925" s="40"/>
      <c r="S925" s="40" t="str">
        <f t="array" ref="S925">IF(C925="","",IFERROR(_xlfn.XLOOKUP(C925,Volunteers!D:D,Volunteers!A:A),""))</f>
        <v/>
      </c>
      <c r="T925" s="40"/>
    </row>
    <row r="926">
      <c r="A926" s="52"/>
      <c r="B926" s="28"/>
      <c r="C926" s="28"/>
      <c r="D926" s="28" t="str">
        <f t="array" ref="D926">IF(B926="","",IFERROR(_xlfn.XLOOKUP(B926,'Lists &amp; Settings'!A:A,'Lists &amp; Settings'!E:E),""))</f>
        <v/>
      </c>
      <c r="E926" s="28"/>
      <c r="F926" s="28"/>
      <c r="G926" s="98"/>
      <c r="H926" s="98"/>
      <c r="I926" s="31"/>
      <c r="J926" s="54" t="s">
        <v>179</v>
      </c>
      <c r="K926" s="55" t="s">
        <v>179</v>
      </c>
      <c r="L926" s="56" t="s">
        <v>179</v>
      </c>
      <c r="M926" s="56" t="s">
        <v>179</v>
      </c>
      <c r="N926" s="28"/>
      <c r="O926" s="28"/>
      <c r="P926" s="52"/>
      <c r="Q926" s="52"/>
      <c r="R926" s="28"/>
      <c r="S926" s="28" t="str">
        <f t="array" ref="S926">IF(C926="","",IFERROR(_xlfn.XLOOKUP(C926,Volunteers!D:D,Volunteers!A:A),""))</f>
        <v/>
      </c>
      <c r="T926" s="28"/>
    </row>
    <row r="927">
      <c r="A927" s="57"/>
      <c r="B927" s="40"/>
      <c r="C927" s="40"/>
      <c r="D927" s="40" t="str">
        <f t="array" ref="D927">IF(B927="","",IFERROR(_xlfn.XLOOKUP(B927,'Lists &amp; Settings'!A:A,'Lists &amp; Settings'!E:E),""))</f>
        <v/>
      </c>
      <c r="E927" s="40"/>
      <c r="F927" s="40"/>
      <c r="G927" s="95"/>
      <c r="H927" s="95"/>
      <c r="I927" s="51"/>
      <c r="J927" s="54" t="s">
        <v>179</v>
      </c>
      <c r="K927" s="55" t="s">
        <v>179</v>
      </c>
      <c r="L927" s="56" t="s">
        <v>179</v>
      </c>
      <c r="M927" s="56" t="s">
        <v>179</v>
      </c>
      <c r="N927" s="40"/>
      <c r="O927" s="40"/>
      <c r="P927" s="57"/>
      <c r="Q927" s="57"/>
      <c r="R927" s="40"/>
      <c r="S927" s="40" t="str">
        <f t="array" ref="S927">IF(C927="","",IFERROR(_xlfn.XLOOKUP(C927,Volunteers!D:D,Volunteers!A:A),""))</f>
        <v/>
      </c>
      <c r="T927" s="40"/>
    </row>
    <row r="928">
      <c r="A928" s="52"/>
      <c r="B928" s="28"/>
      <c r="C928" s="28"/>
      <c r="D928" s="28" t="str">
        <f t="array" ref="D928">IF(B928="","",IFERROR(_xlfn.XLOOKUP(B928,'Lists &amp; Settings'!A:A,'Lists &amp; Settings'!E:E),""))</f>
        <v/>
      </c>
      <c r="E928" s="28"/>
      <c r="F928" s="28"/>
      <c r="G928" s="98"/>
      <c r="H928" s="98"/>
      <c r="I928" s="31"/>
      <c r="J928" s="54" t="s">
        <v>179</v>
      </c>
      <c r="K928" s="55" t="s">
        <v>179</v>
      </c>
      <c r="L928" s="56" t="s">
        <v>179</v>
      </c>
      <c r="M928" s="56" t="s">
        <v>179</v>
      </c>
      <c r="N928" s="28"/>
      <c r="O928" s="28"/>
      <c r="P928" s="52"/>
      <c r="Q928" s="52"/>
      <c r="R928" s="28"/>
      <c r="S928" s="28" t="str">
        <f t="array" ref="S928">IF(C928="","",IFERROR(_xlfn.XLOOKUP(C928,Volunteers!D:D,Volunteers!A:A),""))</f>
        <v/>
      </c>
      <c r="T928" s="28"/>
    </row>
    <row r="929">
      <c r="A929" s="57"/>
      <c r="B929" s="40"/>
      <c r="C929" s="40"/>
      <c r="D929" s="40" t="str">
        <f t="array" ref="D929">IF(B929="","",IFERROR(_xlfn.XLOOKUP(B929,'Lists &amp; Settings'!A:A,'Lists &amp; Settings'!E:E),""))</f>
        <v/>
      </c>
      <c r="E929" s="40"/>
      <c r="F929" s="40"/>
      <c r="G929" s="95"/>
      <c r="H929" s="95"/>
      <c r="I929" s="51"/>
      <c r="J929" s="54" t="s">
        <v>179</v>
      </c>
      <c r="K929" s="55" t="s">
        <v>179</v>
      </c>
      <c r="L929" s="56" t="s">
        <v>179</v>
      </c>
      <c r="M929" s="56" t="s">
        <v>179</v>
      </c>
      <c r="N929" s="40"/>
      <c r="O929" s="40"/>
      <c r="P929" s="57"/>
      <c r="Q929" s="57"/>
      <c r="R929" s="40"/>
      <c r="S929" s="40" t="str">
        <f t="array" ref="S929">IF(C929="","",IFERROR(_xlfn.XLOOKUP(C929,Volunteers!D:D,Volunteers!A:A),""))</f>
        <v/>
      </c>
      <c r="T929" s="40"/>
    </row>
    <row r="930">
      <c r="A930" s="52"/>
      <c r="B930" s="28"/>
      <c r="C930" s="28"/>
      <c r="D930" s="28" t="str">
        <f t="array" ref="D930">IF(B930="","",IFERROR(_xlfn.XLOOKUP(B930,'Lists &amp; Settings'!A:A,'Lists &amp; Settings'!E:E),""))</f>
        <v/>
      </c>
      <c r="E930" s="28"/>
      <c r="F930" s="28"/>
      <c r="G930" s="98"/>
      <c r="H930" s="98"/>
      <c r="I930" s="31"/>
      <c r="J930" s="54" t="s">
        <v>179</v>
      </c>
      <c r="K930" s="55" t="s">
        <v>179</v>
      </c>
      <c r="L930" s="56" t="s">
        <v>179</v>
      </c>
      <c r="M930" s="56" t="s">
        <v>179</v>
      </c>
      <c r="N930" s="28"/>
      <c r="O930" s="28"/>
      <c r="P930" s="52"/>
      <c r="Q930" s="52"/>
      <c r="R930" s="28"/>
      <c r="S930" s="28" t="str">
        <f t="array" ref="S930">IF(C930="","",IFERROR(_xlfn.XLOOKUP(C930,Volunteers!D:D,Volunteers!A:A),""))</f>
        <v/>
      </c>
      <c r="T930" s="28"/>
    </row>
    <row r="931">
      <c r="A931" s="57"/>
      <c r="B931" s="40"/>
      <c r="C931" s="40"/>
      <c r="D931" s="40" t="str">
        <f t="array" ref="D931">IF(B931="","",IFERROR(_xlfn.XLOOKUP(B931,'Lists &amp; Settings'!A:A,'Lists &amp; Settings'!E:E),""))</f>
        <v/>
      </c>
      <c r="E931" s="40"/>
      <c r="F931" s="40"/>
      <c r="G931" s="95"/>
      <c r="H931" s="95"/>
      <c r="I931" s="51"/>
      <c r="J931" s="54" t="s">
        <v>179</v>
      </c>
      <c r="K931" s="55" t="s">
        <v>179</v>
      </c>
      <c r="L931" s="56" t="s">
        <v>179</v>
      </c>
      <c r="M931" s="56" t="s">
        <v>179</v>
      </c>
      <c r="N931" s="40"/>
      <c r="O931" s="40"/>
      <c r="P931" s="57"/>
      <c r="Q931" s="57"/>
      <c r="R931" s="40"/>
      <c r="S931" s="40" t="str">
        <f t="array" ref="S931">IF(C931="","",IFERROR(_xlfn.XLOOKUP(C931,Volunteers!D:D,Volunteers!A:A),""))</f>
        <v/>
      </c>
      <c r="T931" s="40"/>
    </row>
    <row r="932">
      <c r="A932" s="52"/>
      <c r="B932" s="28"/>
      <c r="C932" s="28"/>
      <c r="D932" s="28" t="str">
        <f t="array" ref="D932">IF(B932="","",IFERROR(_xlfn.XLOOKUP(B932,'Lists &amp; Settings'!A:A,'Lists &amp; Settings'!E:E),""))</f>
        <v/>
      </c>
      <c r="E932" s="28"/>
      <c r="F932" s="28"/>
      <c r="G932" s="98"/>
      <c r="H932" s="98"/>
      <c r="I932" s="31"/>
      <c r="J932" s="54" t="s">
        <v>179</v>
      </c>
      <c r="K932" s="55" t="s">
        <v>179</v>
      </c>
      <c r="L932" s="56" t="s">
        <v>179</v>
      </c>
      <c r="M932" s="56" t="s">
        <v>179</v>
      </c>
      <c r="N932" s="28"/>
      <c r="O932" s="28"/>
      <c r="P932" s="52"/>
      <c r="Q932" s="52"/>
      <c r="R932" s="28"/>
      <c r="S932" s="28" t="str">
        <f t="array" ref="S932">IF(C932="","",IFERROR(_xlfn.XLOOKUP(C932,Volunteers!D:D,Volunteers!A:A),""))</f>
        <v/>
      </c>
      <c r="T932" s="28"/>
    </row>
    <row r="933">
      <c r="A933" s="57"/>
      <c r="B933" s="40"/>
      <c r="C933" s="40"/>
      <c r="D933" s="40" t="str">
        <f t="array" ref="D933">IF(B933="","",IFERROR(_xlfn.XLOOKUP(B933,'Lists &amp; Settings'!A:A,'Lists &amp; Settings'!E:E),""))</f>
        <v/>
      </c>
      <c r="E933" s="40"/>
      <c r="F933" s="40"/>
      <c r="G933" s="95"/>
      <c r="H933" s="95"/>
      <c r="I933" s="51"/>
      <c r="J933" s="54" t="s">
        <v>179</v>
      </c>
      <c r="K933" s="55" t="s">
        <v>179</v>
      </c>
      <c r="L933" s="56" t="s">
        <v>179</v>
      </c>
      <c r="M933" s="56" t="s">
        <v>179</v>
      </c>
      <c r="N933" s="40"/>
      <c r="O933" s="40"/>
      <c r="P933" s="57"/>
      <c r="Q933" s="57"/>
      <c r="R933" s="40"/>
      <c r="S933" s="40" t="str">
        <f t="array" ref="S933">IF(C933="","",IFERROR(_xlfn.XLOOKUP(C933,Volunteers!D:D,Volunteers!A:A),""))</f>
        <v/>
      </c>
      <c r="T933" s="40"/>
    </row>
    <row r="934">
      <c r="A934" s="52"/>
      <c r="B934" s="28"/>
      <c r="C934" s="28"/>
      <c r="D934" s="28" t="str">
        <f t="array" ref="D934">IF(B934="","",IFERROR(_xlfn.XLOOKUP(B934,'Lists &amp; Settings'!A:A,'Lists &amp; Settings'!E:E),""))</f>
        <v/>
      </c>
      <c r="E934" s="28"/>
      <c r="F934" s="28"/>
      <c r="G934" s="98"/>
      <c r="H934" s="98"/>
      <c r="I934" s="31"/>
      <c r="J934" s="54" t="s">
        <v>179</v>
      </c>
      <c r="K934" s="55" t="s">
        <v>179</v>
      </c>
      <c r="L934" s="56" t="s">
        <v>179</v>
      </c>
      <c r="M934" s="56" t="s">
        <v>179</v>
      </c>
      <c r="N934" s="28"/>
      <c r="O934" s="28"/>
      <c r="P934" s="52"/>
      <c r="Q934" s="52"/>
      <c r="R934" s="28"/>
      <c r="S934" s="28" t="str">
        <f t="array" ref="S934">IF(C934="","",IFERROR(_xlfn.XLOOKUP(C934,Volunteers!D:D,Volunteers!A:A),""))</f>
        <v/>
      </c>
      <c r="T934" s="28"/>
    </row>
    <row r="935">
      <c r="A935" s="57"/>
      <c r="B935" s="40"/>
      <c r="C935" s="40"/>
      <c r="D935" s="40" t="str">
        <f t="array" ref="D935">IF(B935="","",IFERROR(_xlfn.XLOOKUP(B935,'Lists &amp; Settings'!A:A,'Lists &amp; Settings'!E:E),""))</f>
        <v/>
      </c>
      <c r="E935" s="40"/>
      <c r="F935" s="40"/>
      <c r="G935" s="95"/>
      <c r="H935" s="95"/>
      <c r="I935" s="51"/>
      <c r="J935" s="54" t="s">
        <v>179</v>
      </c>
      <c r="K935" s="55" t="s">
        <v>179</v>
      </c>
      <c r="L935" s="56" t="s">
        <v>179</v>
      </c>
      <c r="M935" s="56" t="s">
        <v>179</v>
      </c>
      <c r="N935" s="40"/>
      <c r="O935" s="40"/>
      <c r="P935" s="57"/>
      <c r="Q935" s="57"/>
      <c r="R935" s="40"/>
      <c r="S935" s="40" t="str">
        <f t="array" ref="S935">IF(C935="","",IFERROR(_xlfn.XLOOKUP(C935,Volunteers!D:D,Volunteers!A:A),""))</f>
        <v/>
      </c>
      <c r="T935" s="40"/>
    </row>
    <row r="936">
      <c r="A936" s="52"/>
      <c r="B936" s="28"/>
      <c r="C936" s="28"/>
      <c r="D936" s="28" t="str">
        <f t="array" ref="D936">IF(B936="","",IFERROR(_xlfn.XLOOKUP(B936,'Lists &amp; Settings'!A:A,'Lists &amp; Settings'!E:E),""))</f>
        <v/>
      </c>
      <c r="E936" s="28"/>
      <c r="F936" s="28"/>
      <c r="G936" s="98"/>
      <c r="H936" s="98"/>
      <c r="I936" s="31"/>
      <c r="J936" s="54" t="s">
        <v>179</v>
      </c>
      <c r="K936" s="55" t="s">
        <v>179</v>
      </c>
      <c r="L936" s="56" t="s">
        <v>179</v>
      </c>
      <c r="M936" s="56" t="s">
        <v>179</v>
      </c>
      <c r="N936" s="28"/>
      <c r="O936" s="28"/>
      <c r="P936" s="52"/>
      <c r="Q936" s="52"/>
      <c r="R936" s="28"/>
      <c r="S936" s="28" t="str">
        <f t="array" ref="S936">IF(C936="","",IFERROR(_xlfn.XLOOKUP(C936,Volunteers!D:D,Volunteers!A:A),""))</f>
        <v/>
      </c>
      <c r="T936" s="28"/>
    </row>
    <row r="937">
      <c r="A937" s="57"/>
      <c r="B937" s="40"/>
      <c r="C937" s="40"/>
      <c r="D937" s="40" t="str">
        <f t="array" ref="D937">IF(B937="","",IFERROR(_xlfn.XLOOKUP(B937,'Lists &amp; Settings'!A:A,'Lists &amp; Settings'!E:E),""))</f>
        <v/>
      </c>
      <c r="E937" s="40"/>
      <c r="F937" s="40"/>
      <c r="G937" s="95"/>
      <c r="H937" s="95"/>
      <c r="I937" s="51"/>
      <c r="J937" s="54" t="s">
        <v>179</v>
      </c>
      <c r="K937" s="55" t="s">
        <v>179</v>
      </c>
      <c r="L937" s="56" t="s">
        <v>179</v>
      </c>
      <c r="M937" s="56" t="s">
        <v>179</v>
      </c>
      <c r="N937" s="40"/>
      <c r="O937" s="40"/>
      <c r="P937" s="57"/>
      <c r="Q937" s="57"/>
      <c r="R937" s="40"/>
      <c r="S937" s="40" t="str">
        <f t="array" ref="S937">IF(C937="","",IFERROR(_xlfn.XLOOKUP(C937,Volunteers!D:D,Volunteers!A:A),""))</f>
        <v/>
      </c>
      <c r="T937" s="40"/>
    </row>
    <row r="938">
      <c r="A938" s="52"/>
      <c r="B938" s="28"/>
      <c r="C938" s="28"/>
      <c r="D938" s="28" t="str">
        <f t="array" ref="D938">IF(B938="","",IFERROR(_xlfn.XLOOKUP(B938,'Lists &amp; Settings'!A:A,'Lists &amp; Settings'!E:E),""))</f>
        <v/>
      </c>
      <c r="E938" s="28"/>
      <c r="F938" s="28"/>
      <c r="G938" s="98"/>
      <c r="H938" s="98"/>
      <c r="I938" s="31"/>
      <c r="J938" s="54" t="s">
        <v>179</v>
      </c>
      <c r="K938" s="55" t="s">
        <v>179</v>
      </c>
      <c r="L938" s="56" t="s">
        <v>179</v>
      </c>
      <c r="M938" s="56" t="s">
        <v>179</v>
      </c>
      <c r="N938" s="28"/>
      <c r="O938" s="28"/>
      <c r="P938" s="52"/>
      <c r="Q938" s="52"/>
      <c r="R938" s="28"/>
      <c r="S938" s="28" t="str">
        <f t="array" ref="S938">IF(C938="","",IFERROR(_xlfn.XLOOKUP(C938,Volunteers!D:D,Volunteers!A:A),""))</f>
        <v/>
      </c>
      <c r="T938" s="28"/>
    </row>
    <row r="939">
      <c r="A939" s="57"/>
      <c r="B939" s="40"/>
      <c r="C939" s="40"/>
      <c r="D939" s="40" t="str">
        <f t="array" ref="D939">IF(B939="","",IFERROR(_xlfn.XLOOKUP(B939,'Lists &amp; Settings'!A:A,'Lists &amp; Settings'!E:E),""))</f>
        <v/>
      </c>
      <c r="E939" s="40"/>
      <c r="F939" s="40"/>
      <c r="G939" s="95"/>
      <c r="H939" s="95"/>
      <c r="I939" s="51"/>
      <c r="J939" s="54" t="s">
        <v>179</v>
      </c>
      <c r="K939" s="55" t="s">
        <v>179</v>
      </c>
      <c r="L939" s="56" t="s">
        <v>179</v>
      </c>
      <c r="M939" s="56" t="s">
        <v>179</v>
      </c>
      <c r="N939" s="40"/>
      <c r="O939" s="40"/>
      <c r="P939" s="57"/>
      <c r="Q939" s="57"/>
      <c r="R939" s="40"/>
      <c r="S939" s="40" t="str">
        <f t="array" ref="S939">IF(C939="","",IFERROR(_xlfn.XLOOKUP(C939,Volunteers!D:D,Volunteers!A:A),""))</f>
        <v/>
      </c>
      <c r="T939" s="40"/>
    </row>
    <row r="940">
      <c r="A940" s="52"/>
      <c r="B940" s="28"/>
      <c r="C940" s="28"/>
      <c r="D940" s="28" t="str">
        <f t="array" ref="D940">IF(B940="","",IFERROR(_xlfn.XLOOKUP(B940,'Lists &amp; Settings'!A:A,'Lists &amp; Settings'!E:E),""))</f>
        <v/>
      </c>
      <c r="E940" s="28"/>
      <c r="F940" s="28"/>
      <c r="G940" s="98"/>
      <c r="H940" s="98"/>
      <c r="I940" s="31"/>
      <c r="J940" s="54" t="s">
        <v>179</v>
      </c>
      <c r="K940" s="55" t="s">
        <v>179</v>
      </c>
      <c r="L940" s="56" t="s">
        <v>179</v>
      </c>
      <c r="M940" s="56" t="s">
        <v>179</v>
      </c>
      <c r="N940" s="28"/>
      <c r="O940" s="28"/>
      <c r="P940" s="52"/>
      <c r="Q940" s="52"/>
      <c r="R940" s="28"/>
      <c r="S940" s="28" t="str">
        <f t="array" ref="S940">IF(C940="","",IFERROR(_xlfn.XLOOKUP(C940,Volunteers!D:D,Volunteers!A:A),""))</f>
        <v/>
      </c>
      <c r="T940" s="28"/>
    </row>
    <row r="941">
      <c r="A941" s="57"/>
      <c r="B941" s="40"/>
      <c r="C941" s="40"/>
      <c r="D941" s="40" t="str">
        <f t="array" ref="D941">IF(B941="","",IFERROR(_xlfn.XLOOKUP(B941,'Lists &amp; Settings'!A:A,'Lists &amp; Settings'!E:E),""))</f>
        <v/>
      </c>
      <c r="E941" s="40"/>
      <c r="F941" s="40"/>
      <c r="G941" s="95"/>
      <c r="H941" s="95"/>
      <c r="I941" s="51"/>
      <c r="J941" s="54" t="s">
        <v>179</v>
      </c>
      <c r="K941" s="55" t="s">
        <v>179</v>
      </c>
      <c r="L941" s="56" t="s">
        <v>179</v>
      </c>
      <c r="M941" s="56" t="s">
        <v>179</v>
      </c>
      <c r="N941" s="40"/>
      <c r="O941" s="40"/>
      <c r="P941" s="57"/>
      <c r="Q941" s="57"/>
      <c r="R941" s="40"/>
      <c r="S941" s="40" t="str">
        <f t="array" ref="S941">IF(C941="","",IFERROR(_xlfn.XLOOKUP(C941,Volunteers!D:D,Volunteers!A:A),""))</f>
        <v/>
      </c>
      <c r="T941" s="40"/>
    </row>
    <row r="942">
      <c r="A942" s="52"/>
      <c r="B942" s="28"/>
      <c r="C942" s="28"/>
      <c r="D942" s="28" t="str">
        <f t="array" ref="D942">IF(B942="","",IFERROR(_xlfn.XLOOKUP(B942,'Lists &amp; Settings'!A:A,'Lists &amp; Settings'!E:E),""))</f>
        <v/>
      </c>
      <c r="E942" s="28"/>
      <c r="F942" s="28"/>
      <c r="G942" s="98"/>
      <c r="H942" s="98"/>
      <c r="I942" s="31"/>
      <c r="J942" s="54" t="s">
        <v>179</v>
      </c>
      <c r="K942" s="55" t="s">
        <v>179</v>
      </c>
      <c r="L942" s="56" t="s">
        <v>179</v>
      </c>
      <c r="M942" s="56" t="s">
        <v>179</v>
      </c>
      <c r="N942" s="28"/>
      <c r="O942" s="28"/>
      <c r="P942" s="52"/>
      <c r="Q942" s="52"/>
      <c r="R942" s="28"/>
      <c r="S942" s="28" t="str">
        <f t="array" ref="S942">IF(C942="","",IFERROR(_xlfn.XLOOKUP(C942,Volunteers!D:D,Volunteers!A:A),""))</f>
        <v/>
      </c>
      <c r="T942" s="28"/>
    </row>
    <row r="943">
      <c r="A943" s="57"/>
      <c r="B943" s="40"/>
      <c r="C943" s="40"/>
      <c r="D943" s="40" t="str">
        <f t="array" ref="D943">IF(B943="","",IFERROR(_xlfn.XLOOKUP(B943,'Lists &amp; Settings'!A:A,'Lists &amp; Settings'!E:E),""))</f>
        <v/>
      </c>
      <c r="E943" s="40"/>
      <c r="F943" s="40"/>
      <c r="G943" s="95"/>
      <c r="H943" s="95"/>
      <c r="I943" s="51"/>
      <c r="J943" s="54" t="s">
        <v>179</v>
      </c>
      <c r="K943" s="55" t="s">
        <v>179</v>
      </c>
      <c r="L943" s="56" t="s">
        <v>179</v>
      </c>
      <c r="M943" s="56" t="s">
        <v>179</v>
      </c>
      <c r="N943" s="40"/>
      <c r="O943" s="40"/>
      <c r="P943" s="57"/>
      <c r="Q943" s="57"/>
      <c r="R943" s="40"/>
      <c r="S943" s="40" t="str">
        <f t="array" ref="S943">IF(C943="","",IFERROR(_xlfn.XLOOKUP(C943,Volunteers!D:D,Volunteers!A:A),""))</f>
        <v/>
      </c>
      <c r="T943" s="40"/>
    </row>
    <row r="944">
      <c r="A944" s="52"/>
      <c r="B944" s="28"/>
      <c r="C944" s="28"/>
      <c r="D944" s="28" t="str">
        <f t="array" ref="D944">IF(B944="","",IFERROR(_xlfn.XLOOKUP(B944,'Lists &amp; Settings'!A:A,'Lists &amp; Settings'!E:E),""))</f>
        <v/>
      </c>
      <c r="E944" s="28"/>
      <c r="F944" s="28"/>
      <c r="G944" s="98"/>
      <c r="H944" s="98"/>
      <c r="I944" s="31"/>
      <c r="J944" s="54" t="s">
        <v>179</v>
      </c>
      <c r="K944" s="55" t="s">
        <v>179</v>
      </c>
      <c r="L944" s="56" t="s">
        <v>179</v>
      </c>
      <c r="M944" s="56" t="s">
        <v>179</v>
      </c>
      <c r="N944" s="28"/>
      <c r="O944" s="28"/>
      <c r="P944" s="52"/>
      <c r="Q944" s="52"/>
      <c r="R944" s="28"/>
      <c r="S944" s="28" t="str">
        <f t="array" ref="S944">IF(C944="","",IFERROR(_xlfn.XLOOKUP(C944,Volunteers!D:D,Volunteers!A:A),""))</f>
        <v/>
      </c>
      <c r="T944" s="28"/>
    </row>
    <row r="945">
      <c r="A945" s="57"/>
      <c r="B945" s="40"/>
      <c r="C945" s="40"/>
      <c r="D945" s="40" t="str">
        <f t="array" ref="D945">IF(B945="","",IFERROR(_xlfn.XLOOKUP(B945,'Lists &amp; Settings'!A:A,'Lists &amp; Settings'!E:E),""))</f>
        <v/>
      </c>
      <c r="E945" s="40"/>
      <c r="F945" s="40"/>
      <c r="G945" s="95"/>
      <c r="H945" s="95"/>
      <c r="I945" s="51"/>
      <c r="J945" s="54" t="s">
        <v>179</v>
      </c>
      <c r="K945" s="55" t="s">
        <v>179</v>
      </c>
      <c r="L945" s="56" t="s">
        <v>179</v>
      </c>
      <c r="M945" s="56" t="s">
        <v>179</v>
      </c>
      <c r="N945" s="40"/>
      <c r="O945" s="40"/>
      <c r="P945" s="57"/>
      <c r="Q945" s="57"/>
      <c r="R945" s="40"/>
      <c r="S945" s="40" t="str">
        <f t="array" ref="S945">IF(C945="","",IFERROR(_xlfn.XLOOKUP(C945,Volunteers!D:D,Volunteers!A:A),""))</f>
        <v/>
      </c>
      <c r="T945" s="40"/>
    </row>
    <row r="946">
      <c r="A946" s="52"/>
      <c r="B946" s="28"/>
      <c r="C946" s="28"/>
      <c r="D946" s="28" t="str">
        <f t="array" ref="D946">IF(B946="","",IFERROR(_xlfn.XLOOKUP(B946,'Lists &amp; Settings'!A:A,'Lists &amp; Settings'!E:E),""))</f>
        <v/>
      </c>
      <c r="E946" s="28"/>
      <c r="F946" s="28"/>
      <c r="G946" s="98"/>
      <c r="H946" s="98"/>
      <c r="I946" s="31"/>
      <c r="J946" s="54" t="s">
        <v>179</v>
      </c>
      <c r="K946" s="55" t="s">
        <v>179</v>
      </c>
      <c r="L946" s="56" t="s">
        <v>179</v>
      </c>
      <c r="M946" s="56" t="s">
        <v>179</v>
      </c>
      <c r="N946" s="28"/>
      <c r="O946" s="28"/>
      <c r="P946" s="52"/>
      <c r="Q946" s="52"/>
      <c r="R946" s="28"/>
      <c r="S946" s="28" t="str">
        <f t="array" ref="S946">IF(C946="","",IFERROR(_xlfn.XLOOKUP(C946,Volunteers!D:D,Volunteers!A:A),""))</f>
        <v/>
      </c>
      <c r="T946" s="28"/>
    </row>
    <row r="947">
      <c r="A947" s="57"/>
      <c r="B947" s="40"/>
      <c r="C947" s="40"/>
      <c r="D947" s="40" t="str">
        <f t="array" ref="D947">IF(B947="","",IFERROR(_xlfn.XLOOKUP(B947,'Lists &amp; Settings'!A:A,'Lists &amp; Settings'!E:E),""))</f>
        <v/>
      </c>
      <c r="E947" s="40"/>
      <c r="F947" s="40"/>
      <c r="G947" s="95"/>
      <c r="H947" s="95"/>
      <c r="I947" s="51"/>
      <c r="J947" s="54" t="s">
        <v>179</v>
      </c>
      <c r="K947" s="55" t="s">
        <v>179</v>
      </c>
      <c r="L947" s="56" t="s">
        <v>179</v>
      </c>
      <c r="M947" s="56" t="s">
        <v>179</v>
      </c>
      <c r="N947" s="40"/>
      <c r="O947" s="40"/>
      <c r="P947" s="57"/>
      <c r="Q947" s="57"/>
      <c r="R947" s="40"/>
      <c r="S947" s="40" t="str">
        <f t="array" ref="S947">IF(C947="","",IFERROR(_xlfn.XLOOKUP(C947,Volunteers!D:D,Volunteers!A:A),""))</f>
        <v/>
      </c>
      <c r="T947" s="40"/>
    </row>
    <row r="948">
      <c r="A948" s="52"/>
      <c r="B948" s="28"/>
      <c r="C948" s="28"/>
      <c r="D948" s="28" t="str">
        <f t="array" ref="D948">IF(B948="","",IFERROR(_xlfn.XLOOKUP(B948,'Lists &amp; Settings'!A:A,'Lists &amp; Settings'!E:E),""))</f>
        <v/>
      </c>
      <c r="E948" s="28"/>
      <c r="F948" s="28"/>
      <c r="G948" s="98"/>
      <c r="H948" s="98"/>
      <c r="I948" s="31"/>
      <c r="J948" s="54" t="s">
        <v>179</v>
      </c>
      <c r="K948" s="55" t="s">
        <v>179</v>
      </c>
      <c r="L948" s="56" t="s">
        <v>179</v>
      </c>
      <c r="M948" s="56" t="s">
        <v>179</v>
      </c>
      <c r="N948" s="28"/>
      <c r="O948" s="28"/>
      <c r="P948" s="52"/>
      <c r="Q948" s="52"/>
      <c r="R948" s="28"/>
      <c r="S948" s="28" t="str">
        <f t="array" ref="S948">IF(C948="","",IFERROR(_xlfn.XLOOKUP(C948,Volunteers!D:D,Volunteers!A:A),""))</f>
        <v/>
      </c>
      <c r="T948" s="28"/>
    </row>
    <row r="949">
      <c r="A949" s="57"/>
      <c r="B949" s="40"/>
      <c r="C949" s="40"/>
      <c r="D949" s="40" t="str">
        <f t="array" ref="D949">IF(B949="","",IFERROR(_xlfn.XLOOKUP(B949,'Lists &amp; Settings'!A:A,'Lists &amp; Settings'!E:E),""))</f>
        <v/>
      </c>
      <c r="E949" s="40"/>
      <c r="F949" s="40"/>
      <c r="G949" s="95"/>
      <c r="H949" s="95"/>
      <c r="I949" s="51"/>
      <c r="J949" s="54" t="s">
        <v>179</v>
      </c>
      <c r="K949" s="55" t="s">
        <v>179</v>
      </c>
      <c r="L949" s="56" t="s">
        <v>179</v>
      </c>
      <c r="M949" s="56" t="s">
        <v>179</v>
      </c>
      <c r="N949" s="40"/>
      <c r="O949" s="40"/>
      <c r="P949" s="57"/>
      <c r="Q949" s="57"/>
      <c r="R949" s="40"/>
      <c r="S949" s="40" t="str">
        <f t="array" ref="S949">IF(C949="","",IFERROR(_xlfn.XLOOKUP(C949,Volunteers!D:D,Volunteers!A:A),""))</f>
        <v/>
      </c>
      <c r="T949" s="40"/>
    </row>
    <row r="950">
      <c r="A950" s="52"/>
      <c r="B950" s="28"/>
      <c r="C950" s="28"/>
      <c r="D950" s="28" t="str">
        <f t="array" ref="D950">IF(B950="","",IFERROR(_xlfn.XLOOKUP(B950,'Lists &amp; Settings'!A:A,'Lists &amp; Settings'!E:E),""))</f>
        <v/>
      </c>
      <c r="E950" s="28"/>
      <c r="F950" s="28"/>
      <c r="G950" s="98"/>
      <c r="H950" s="98"/>
      <c r="I950" s="31"/>
      <c r="J950" s="54" t="s">
        <v>179</v>
      </c>
      <c r="K950" s="55" t="s">
        <v>179</v>
      </c>
      <c r="L950" s="56" t="s">
        <v>179</v>
      </c>
      <c r="M950" s="56" t="s">
        <v>179</v>
      </c>
      <c r="N950" s="28"/>
      <c r="O950" s="28"/>
      <c r="P950" s="52"/>
      <c r="Q950" s="52"/>
      <c r="R950" s="28"/>
      <c r="S950" s="28" t="str">
        <f t="array" ref="S950">IF(C950="","",IFERROR(_xlfn.XLOOKUP(C950,Volunteers!D:D,Volunteers!A:A),""))</f>
        <v/>
      </c>
      <c r="T950" s="28"/>
    </row>
    <row r="951">
      <c r="A951" s="57"/>
      <c r="B951" s="40"/>
      <c r="C951" s="40"/>
      <c r="D951" s="40" t="str">
        <f t="array" ref="D951">IF(B951="","",IFERROR(_xlfn.XLOOKUP(B951,'Lists &amp; Settings'!A:A,'Lists &amp; Settings'!E:E),""))</f>
        <v/>
      </c>
      <c r="E951" s="40"/>
      <c r="F951" s="40"/>
      <c r="G951" s="95"/>
      <c r="H951" s="95"/>
      <c r="I951" s="51"/>
      <c r="J951" s="54" t="s">
        <v>179</v>
      </c>
      <c r="K951" s="55" t="s">
        <v>179</v>
      </c>
      <c r="L951" s="56" t="s">
        <v>179</v>
      </c>
      <c r="M951" s="56" t="s">
        <v>179</v>
      </c>
      <c r="N951" s="40"/>
      <c r="O951" s="40"/>
      <c r="P951" s="57"/>
      <c r="Q951" s="57"/>
      <c r="R951" s="40"/>
      <c r="S951" s="40" t="str">
        <f t="array" ref="S951">IF(C951="","",IFERROR(_xlfn.XLOOKUP(C951,Volunteers!D:D,Volunteers!A:A),""))</f>
        <v/>
      </c>
      <c r="T951" s="40"/>
    </row>
    <row r="952">
      <c r="A952" s="52"/>
      <c r="B952" s="28"/>
      <c r="C952" s="28"/>
      <c r="D952" s="28" t="str">
        <f t="array" ref="D952">IF(B952="","",IFERROR(_xlfn.XLOOKUP(B952,'Lists &amp; Settings'!A:A,'Lists &amp; Settings'!E:E),""))</f>
        <v/>
      </c>
      <c r="E952" s="28"/>
      <c r="F952" s="28"/>
      <c r="G952" s="98"/>
      <c r="H952" s="98"/>
      <c r="I952" s="31"/>
      <c r="J952" s="54" t="s">
        <v>179</v>
      </c>
      <c r="K952" s="55" t="s">
        <v>179</v>
      </c>
      <c r="L952" s="56" t="s">
        <v>179</v>
      </c>
      <c r="M952" s="56" t="s">
        <v>179</v>
      </c>
      <c r="N952" s="28"/>
      <c r="O952" s="28"/>
      <c r="P952" s="52"/>
      <c r="Q952" s="52"/>
      <c r="R952" s="28"/>
      <c r="S952" s="28" t="str">
        <f t="array" ref="S952">IF(C952="","",IFERROR(_xlfn.XLOOKUP(C952,Volunteers!D:D,Volunteers!A:A),""))</f>
        <v/>
      </c>
      <c r="T952" s="28"/>
    </row>
    <row r="953">
      <c r="A953" s="57"/>
      <c r="B953" s="40"/>
      <c r="C953" s="40"/>
      <c r="D953" s="40" t="str">
        <f t="array" ref="D953">IF(B953="","",IFERROR(_xlfn.XLOOKUP(B953,'Lists &amp; Settings'!A:A,'Lists &amp; Settings'!E:E),""))</f>
        <v/>
      </c>
      <c r="E953" s="40"/>
      <c r="F953" s="40"/>
      <c r="G953" s="95"/>
      <c r="H953" s="95"/>
      <c r="I953" s="51"/>
      <c r="J953" s="54" t="s">
        <v>179</v>
      </c>
      <c r="K953" s="55" t="s">
        <v>179</v>
      </c>
      <c r="L953" s="56" t="s">
        <v>179</v>
      </c>
      <c r="M953" s="56" t="s">
        <v>179</v>
      </c>
      <c r="N953" s="40"/>
      <c r="O953" s="40"/>
      <c r="P953" s="57"/>
      <c r="Q953" s="57"/>
      <c r="R953" s="40"/>
      <c r="S953" s="40" t="str">
        <f t="array" ref="S953">IF(C953="","",IFERROR(_xlfn.XLOOKUP(C953,Volunteers!D:D,Volunteers!A:A),""))</f>
        <v/>
      </c>
      <c r="T953" s="40"/>
    </row>
    <row r="954">
      <c r="A954" s="52"/>
      <c r="B954" s="28"/>
      <c r="C954" s="28"/>
      <c r="D954" s="28" t="str">
        <f t="array" ref="D954">IF(B954="","",IFERROR(_xlfn.XLOOKUP(B954,'Lists &amp; Settings'!A:A,'Lists &amp; Settings'!E:E),""))</f>
        <v/>
      </c>
      <c r="E954" s="28"/>
      <c r="F954" s="28"/>
      <c r="G954" s="98"/>
      <c r="H954" s="98"/>
      <c r="I954" s="31"/>
      <c r="J954" s="54" t="s">
        <v>179</v>
      </c>
      <c r="K954" s="55" t="s">
        <v>179</v>
      </c>
      <c r="L954" s="56" t="s">
        <v>179</v>
      </c>
      <c r="M954" s="56" t="s">
        <v>179</v>
      </c>
      <c r="N954" s="28"/>
      <c r="O954" s="28"/>
      <c r="P954" s="52"/>
      <c r="Q954" s="52"/>
      <c r="R954" s="28"/>
      <c r="S954" s="28" t="str">
        <f t="array" ref="S954">IF(C954="","",IFERROR(_xlfn.XLOOKUP(C954,Volunteers!D:D,Volunteers!A:A),""))</f>
        <v/>
      </c>
      <c r="T954" s="28"/>
    </row>
    <row r="955">
      <c r="A955" s="57"/>
      <c r="B955" s="40"/>
      <c r="C955" s="40"/>
      <c r="D955" s="40" t="str">
        <f t="array" ref="D955">IF(B955="","",IFERROR(_xlfn.XLOOKUP(B955,'Lists &amp; Settings'!A:A,'Lists &amp; Settings'!E:E),""))</f>
        <v/>
      </c>
      <c r="E955" s="40"/>
      <c r="F955" s="40"/>
      <c r="G955" s="95"/>
      <c r="H955" s="95"/>
      <c r="I955" s="51"/>
      <c r="J955" s="54" t="s">
        <v>179</v>
      </c>
      <c r="K955" s="55" t="s">
        <v>179</v>
      </c>
      <c r="L955" s="56" t="s">
        <v>179</v>
      </c>
      <c r="M955" s="56" t="s">
        <v>179</v>
      </c>
      <c r="N955" s="40"/>
      <c r="O955" s="40"/>
      <c r="P955" s="57"/>
      <c r="Q955" s="57"/>
      <c r="R955" s="40"/>
      <c r="S955" s="40" t="str">
        <f t="array" ref="S955">IF(C955="","",IFERROR(_xlfn.XLOOKUP(C955,Volunteers!D:D,Volunteers!A:A),""))</f>
        <v/>
      </c>
      <c r="T955" s="40"/>
    </row>
    <row r="956">
      <c r="A956" s="52"/>
      <c r="B956" s="28"/>
      <c r="C956" s="28"/>
      <c r="D956" s="28" t="str">
        <f t="array" ref="D956">IF(B956="","",IFERROR(_xlfn.XLOOKUP(B956,'Lists &amp; Settings'!A:A,'Lists &amp; Settings'!E:E),""))</f>
        <v/>
      </c>
      <c r="E956" s="28"/>
      <c r="F956" s="28"/>
      <c r="G956" s="98"/>
      <c r="H956" s="98"/>
      <c r="I956" s="31"/>
      <c r="J956" s="54" t="s">
        <v>179</v>
      </c>
      <c r="K956" s="55" t="s">
        <v>179</v>
      </c>
      <c r="L956" s="56" t="s">
        <v>179</v>
      </c>
      <c r="M956" s="56" t="s">
        <v>179</v>
      </c>
      <c r="N956" s="28"/>
      <c r="O956" s="28"/>
      <c r="P956" s="52"/>
      <c r="Q956" s="52"/>
      <c r="R956" s="28"/>
      <c r="S956" s="28" t="str">
        <f t="array" ref="S956">IF(C956="","",IFERROR(_xlfn.XLOOKUP(C956,Volunteers!D:D,Volunteers!A:A),""))</f>
        <v/>
      </c>
      <c r="T956" s="28"/>
    </row>
    <row r="957">
      <c r="A957" s="57"/>
      <c r="B957" s="40"/>
      <c r="C957" s="40"/>
      <c r="D957" s="40" t="str">
        <f t="array" ref="D957">IF(B957="","",IFERROR(_xlfn.XLOOKUP(B957,'Lists &amp; Settings'!A:A,'Lists &amp; Settings'!E:E),""))</f>
        <v/>
      </c>
      <c r="E957" s="40"/>
      <c r="F957" s="40"/>
      <c r="G957" s="95"/>
      <c r="H957" s="95"/>
      <c r="I957" s="51"/>
      <c r="J957" s="54" t="s">
        <v>179</v>
      </c>
      <c r="K957" s="55" t="s">
        <v>179</v>
      </c>
      <c r="L957" s="56" t="s">
        <v>179</v>
      </c>
      <c r="M957" s="56" t="s">
        <v>179</v>
      </c>
      <c r="N957" s="40"/>
      <c r="O957" s="40"/>
      <c r="P957" s="57"/>
      <c r="Q957" s="57"/>
      <c r="R957" s="40"/>
      <c r="S957" s="40" t="str">
        <f t="array" ref="S957">IF(C957="","",IFERROR(_xlfn.XLOOKUP(C957,Volunteers!D:D,Volunteers!A:A),""))</f>
        <v/>
      </c>
      <c r="T957" s="40"/>
    </row>
    <row r="958">
      <c r="A958" s="52"/>
      <c r="B958" s="28"/>
      <c r="C958" s="28"/>
      <c r="D958" s="28" t="str">
        <f t="array" ref="D958">IF(B958="","",IFERROR(_xlfn.XLOOKUP(B958,'Lists &amp; Settings'!A:A,'Lists &amp; Settings'!E:E),""))</f>
        <v/>
      </c>
      <c r="E958" s="28"/>
      <c r="F958" s="28"/>
      <c r="G958" s="98"/>
      <c r="H958" s="98"/>
      <c r="I958" s="31"/>
      <c r="J958" s="54" t="s">
        <v>179</v>
      </c>
      <c r="K958" s="55" t="s">
        <v>179</v>
      </c>
      <c r="L958" s="56" t="s">
        <v>179</v>
      </c>
      <c r="M958" s="56" t="s">
        <v>179</v>
      </c>
      <c r="N958" s="28"/>
      <c r="O958" s="28"/>
      <c r="P958" s="52"/>
      <c r="Q958" s="52"/>
      <c r="R958" s="28"/>
      <c r="S958" s="28" t="str">
        <f t="array" ref="S958">IF(C958="","",IFERROR(_xlfn.XLOOKUP(C958,Volunteers!D:D,Volunteers!A:A),""))</f>
        <v/>
      </c>
      <c r="T958" s="28"/>
    </row>
    <row r="959">
      <c r="A959" s="57"/>
      <c r="B959" s="40"/>
      <c r="C959" s="40"/>
      <c r="D959" s="40" t="str">
        <f t="array" ref="D959">IF(B959="","",IFERROR(_xlfn.XLOOKUP(B959,'Lists &amp; Settings'!A:A,'Lists &amp; Settings'!E:E),""))</f>
        <v/>
      </c>
      <c r="E959" s="40"/>
      <c r="F959" s="40"/>
      <c r="G959" s="95"/>
      <c r="H959" s="95"/>
      <c r="I959" s="51"/>
      <c r="J959" s="54" t="s">
        <v>179</v>
      </c>
      <c r="K959" s="55" t="s">
        <v>179</v>
      </c>
      <c r="L959" s="56" t="s">
        <v>179</v>
      </c>
      <c r="M959" s="56" t="s">
        <v>179</v>
      </c>
      <c r="N959" s="40"/>
      <c r="O959" s="40"/>
      <c r="P959" s="57"/>
      <c r="Q959" s="57"/>
      <c r="R959" s="40"/>
      <c r="S959" s="40" t="str">
        <f t="array" ref="S959">IF(C959="","",IFERROR(_xlfn.XLOOKUP(C959,Volunteers!D:D,Volunteers!A:A),""))</f>
        <v/>
      </c>
      <c r="T959" s="40"/>
    </row>
    <row r="960">
      <c r="A960" s="52"/>
      <c r="B960" s="28"/>
      <c r="C960" s="28"/>
      <c r="D960" s="28" t="str">
        <f t="array" ref="D960">IF(B960="","",IFERROR(_xlfn.XLOOKUP(B960,'Lists &amp; Settings'!A:A,'Lists &amp; Settings'!E:E),""))</f>
        <v/>
      </c>
      <c r="E960" s="28"/>
      <c r="F960" s="28"/>
      <c r="G960" s="98"/>
      <c r="H960" s="98"/>
      <c r="I960" s="31"/>
      <c r="J960" s="54" t="s">
        <v>179</v>
      </c>
      <c r="K960" s="55" t="s">
        <v>179</v>
      </c>
      <c r="L960" s="56" t="s">
        <v>179</v>
      </c>
      <c r="M960" s="56" t="s">
        <v>179</v>
      </c>
      <c r="N960" s="28"/>
      <c r="O960" s="28"/>
      <c r="P960" s="52"/>
      <c r="Q960" s="52"/>
      <c r="R960" s="28"/>
      <c r="S960" s="28" t="str">
        <f t="array" ref="S960">IF(C960="","",IFERROR(_xlfn.XLOOKUP(C960,Volunteers!D:D,Volunteers!A:A),""))</f>
        <v/>
      </c>
      <c r="T960" s="28"/>
    </row>
    <row r="961">
      <c r="A961" s="57"/>
      <c r="B961" s="40"/>
      <c r="C961" s="40"/>
      <c r="D961" s="40" t="str">
        <f t="array" ref="D961">IF(B961="","",IFERROR(_xlfn.XLOOKUP(B961,'Lists &amp; Settings'!A:A,'Lists &amp; Settings'!E:E),""))</f>
        <v/>
      </c>
      <c r="E961" s="40"/>
      <c r="F961" s="40"/>
      <c r="G961" s="95"/>
      <c r="H961" s="95"/>
      <c r="I961" s="51"/>
      <c r="J961" s="54" t="s">
        <v>179</v>
      </c>
      <c r="K961" s="55" t="s">
        <v>179</v>
      </c>
      <c r="L961" s="56" t="s">
        <v>179</v>
      </c>
      <c r="M961" s="56" t="s">
        <v>179</v>
      </c>
      <c r="N961" s="40"/>
      <c r="O961" s="40"/>
      <c r="P961" s="57"/>
      <c r="Q961" s="57"/>
      <c r="R961" s="40"/>
      <c r="S961" s="40" t="str">
        <f t="array" ref="S961">IF(C961="","",IFERROR(_xlfn.XLOOKUP(C961,Volunteers!D:D,Volunteers!A:A),""))</f>
        <v/>
      </c>
      <c r="T961" s="40"/>
    </row>
    <row r="962">
      <c r="A962" s="52"/>
      <c r="B962" s="28"/>
      <c r="C962" s="28"/>
      <c r="D962" s="28" t="str">
        <f t="array" ref="D962">IF(B962="","",IFERROR(_xlfn.XLOOKUP(B962,'Lists &amp; Settings'!A:A,'Lists &amp; Settings'!E:E),""))</f>
        <v/>
      </c>
      <c r="E962" s="28"/>
      <c r="F962" s="28"/>
      <c r="G962" s="98"/>
      <c r="H962" s="98"/>
      <c r="I962" s="31"/>
      <c r="J962" s="54" t="s">
        <v>179</v>
      </c>
      <c r="K962" s="55" t="s">
        <v>179</v>
      </c>
      <c r="L962" s="56" t="s">
        <v>179</v>
      </c>
      <c r="M962" s="56" t="s">
        <v>179</v>
      </c>
      <c r="N962" s="28"/>
      <c r="O962" s="28"/>
      <c r="P962" s="52"/>
      <c r="Q962" s="52"/>
      <c r="R962" s="28"/>
      <c r="S962" s="28" t="str">
        <f t="array" ref="S962">IF(C962="","",IFERROR(_xlfn.XLOOKUP(C962,Volunteers!D:D,Volunteers!A:A),""))</f>
        <v/>
      </c>
      <c r="T962" s="28"/>
    </row>
    <row r="963">
      <c r="A963" s="57"/>
      <c r="B963" s="40"/>
      <c r="C963" s="40"/>
      <c r="D963" s="40" t="str">
        <f t="array" ref="D963">IF(B963="","",IFERROR(_xlfn.XLOOKUP(B963,'Lists &amp; Settings'!A:A,'Lists &amp; Settings'!E:E),""))</f>
        <v/>
      </c>
      <c r="E963" s="40"/>
      <c r="F963" s="40"/>
      <c r="G963" s="95"/>
      <c r="H963" s="95"/>
      <c r="I963" s="51"/>
      <c r="J963" s="54" t="s">
        <v>179</v>
      </c>
      <c r="K963" s="55" t="s">
        <v>179</v>
      </c>
      <c r="L963" s="56" t="s">
        <v>179</v>
      </c>
      <c r="M963" s="56" t="s">
        <v>179</v>
      </c>
      <c r="N963" s="40"/>
      <c r="O963" s="40"/>
      <c r="P963" s="57"/>
      <c r="Q963" s="57"/>
      <c r="R963" s="40"/>
      <c r="S963" s="40" t="str">
        <f t="array" ref="S963">IF(C963="","",IFERROR(_xlfn.XLOOKUP(C963,Volunteers!D:D,Volunteers!A:A),""))</f>
        <v/>
      </c>
      <c r="T963" s="40"/>
    </row>
    <row r="964">
      <c r="A964" s="52"/>
      <c r="B964" s="28"/>
      <c r="C964" s="28"/>
      <c r="D964" s="28" t="str">
        <f t="array" ref="D964">IF(B964="","",IFERROR(_xlfn.XLOOKUP(B964,'Lists &amp; Settings'!A:A,'Lists &amp; Settings'!E:E),""))</f>
        <v/>
      </c>
      <c r="E964" s="28"/>
      <c r="F964" s="28"/>
      <c r="G964" s="98"/>
      <c r="H964" s="98"/>
      <c r="I964" s="31"/>
      <c r="J964" s="54" t="s">
        <v>179</v>
      </c>
      <c r="K964" s="55" t="s">
        <v>179</v>
      </c>
      <c r="L964" s="56" t="s">
        <v>179</v>
      </c>
      <c r="M964" s="56" t="s">
        <v>179</v>
      </c>
      <c r="N964" s="28"/>
      <c r="O964" s="28"/>
      <c r="P964" s="52"/>
      <c r="Q964" s="52"/>
      <c r="R964" s="28"/>
      <c r="S964" s="28" t="str">
        <f t="array" ref="S964">IF(C964="","",IFERROR(_xlfn.XLOOKUP(C964,Volunteers!D:D,Volunteers!A:A),""))</f>
        <v/>
      </c>
      <c r="T964" s="28"/>
    </row>
    <row r="965">
      <c r="A965" s="57"/>
      <c r="B965" s="40"/>
      <c r="C965" s="40"/>
      <c r="D965" s="40" t="str">
        <f t="array" ref="D965">IF(B965="","",IFERROR(_xlfn.XLOOKUP(B965,'Lists &amp; Settings'!A:A,'Lists &amp; Settings'!E:E),""))</f>
        <v/>
      </c>
      <c r="E965" s="40"/>
      <c r="F965" s="40"/>
      <c r="G965" s="95"/>
      <c r="H965" s="95"/>
      <c r="I965" s="51"/>
      <c r="J965" s="54" t="s">
        <v>179</v>
      </c>
      <c r="K965" s="55" t="s">
        <v>179</v>
      </c>
      <c r="L965" s="56" t="s">
        <v>179</v>
      </c>
      <c r="M965" s="56" t="s">
        <v>179</v>
      </c>
      <c r="N965" s="40"/>
      <c r="O965" s="40"/>
      <c r="P965" s="57"/>
      <c r="Q965" s="57"/>
      <c r="R965" s="40"/>
      <c r="S965" s="40" t="str">
        <f t="array" ref="S965">IF(C965="","",IFERROR(_xlfn.XLOOKUP(C965,Volunteers!D:D,Volunteers!A:A),""))</f>
        <v/>
      </c>
      <c r="T965" s="40"/>
    </row>
    <row r="966">
      <c r="A966" s="52"/>
      <c r="B966" s="28"/>
      <c r="C966" s="28"/>
      <c r="D966" s="28" t="str">
        <f t="array" ref="D966">IF(B966="","",IFERROR(_xlfn.XLOOKUP(B966,'Lists &amp; Settings'!A:A,'Lists &amp; Settings'!E:E),""))</f>
        <v/>
      </c>
      <c r="E966" s="28"/>
      <c r="F966" s="28"/>
      <c r="G966" s="98"/>
      <c r="H966" s="98"/>
      <c r="I966" s="31"/>
      <c r="J966" s="54" t="s">
        <v>179</v>
      </c>
      <c r="K966" s="55" t="s">
        <v>179</v>
      </c>
      <c r="L966" s="56" t="s">
        <v>179</v>
      </c>
      <c r="M966" s="56" t="s">
        <v>179</v>
      </c>
      <c r="N966" s="28"/>
      <c r="O966" s="28"/>
      <c r="P966" s="52"/>
      <c r="Q966" s="52"/>
      <c r="R966" s="28"/>
      <c r="S966" s="28" t="str">
        <f t="array" ref="S966">IF(C966="","",IFERROR(_xlfn.XLOOKUP(C966,Volunteers!D:D,Volunteers!A:A),""))</f>
        <v/>
      </c>
      <c r="T966" s="28"/>
    </row>
    <row r="967">
      <c r="A967" s="57"/>
      <c r="B967" s="40"/>
      <c r="C967" s="40"/>
      <c r="D967" s="40" t="str">
        <f t="array" ref="D967">IF(B967="","",IFERROR(_xlfn.XLOOKUP(B967,'Lists &amp; Settings'!A:A,'Lists &amp; Settings'!E:E),""))</f>
        <v/>
      </c>
      <c r="E967" s="40"/>
      <c r="F967" s="40"/>
      <c r="G967" s="95"/>
      <c r="H967" s="95"/>
      <c r="I967" s="51"/>
      <c r="J967" s="54" t="s">
        <v>179</v>
      </c>
      <c r="K967" s="55" t="s">
        <v>179</v>
      </c>
      <c r="L967" s="56" t="s">
        <v>179</v>
      </c>
      <c r="M967" s="56" t="s">
        <v>179</v>
      </c>
      <c r="N967" s="40"/>
      <c r="O967" s="40"/>
      <c r="P967" s="57"/>
      <c r="Q967" s="57"/>
      <c r="R967" s="40"/>
      <c r="S967" s="40" t="str">
        <f t="array" ref="S967">IF(C967="","",IFERROR(_xlfn.XLOOKUP(C967,Volunteers!D:D,Volunteers!A:A),""))</f>
        <v/>
      </c>
      <c r="T967" s="40"/>
    </row>
    <row r="968">
      <c r="A968" s="52"/>
      <c r="B968" s="28"/>
      <c r="C968" s="28"/>
      <c r="D968" s="28" t="str">
        <f t="array" ref="D968">IF(B968="","",IFERROR(_xlfn.XLOOKUP(B968,'Lists &amp; Settings'!A:A,'Lists &amp; Settings'!E:E),""))</f>
        <v/>
      </c>
      <c r="E968" s="28"/>
      <c r="F968" s="28"/>
      <c r="G968" s="98"/>
      <c r="H968" s="98"/>
      <c r="I968" s="31"/>
      <c r="J968" s="54" t="s">
        <v>179</v>
      </c>
      <c r="K968" s="55" t="s">
        <v>179</v>
      </c>
      <c r="L968" s="56" t="s">
        <v>179</v>
      </c>
      <c r="M968" s="56" t="s">
        <v>179</v>
      </c>
      <c r="N968" s="28"/>
      <c r="O968" s="28"/>
      <c r="P968" s="52"/>
      <c r="Q968" s="52"/>
      <c r="R968" s="28"/>
      <c r="S968" s="28" t="str">
        <f t="array" ref="S968">IF(C968="","",IFERROR(_xlfn.XLOOKUP(C968,Volunteers!D:D,Volunteers!A:A),""))</f>
        <v/>
      </c>
      <c r="T968" s="28"/>
    </row>
    <row r="969">
      <c r="A969" s="57"/>
      <c r="B969" s="40"/>
      <c r="C969" s="40"/>
      <c r="D969" s="40" t="str">
        <f t="array" ref="D969">IF(B969="","",IFERROR(_xlfn.XLOOKUP(B969,'Lists &amp; Settings'!A:A,'Lists &amp; Settings'!E:E),""))</f>
        <v/>
      </c>
      <c r="E969" s="40"/>
      <c r="F969" s="40"/>
      <c r="G969" s="95"/>
      <c r="H969" s="95"/>
      <c r="I969" s="51"/>
      <c r="J969" s="54" t="s">
        <v>179</v>
      </c>
      <c r="K969" s="55" t="s">
        <v>179</v>
      </c>
      <c r="L969" s="56" t="s">
        <v>179</v>
      </c>
      <c r="M969" s="56" t="s">
        <v>179</v>
      </c>
      <c r="N969" s="40"/>
      <c r="O969" s="40"/>
      <c r="P969" s="57"/>
      <c r="Q969" s="57"/>
      <c r="R969" s="40"/>
      <c r="S969" s="40" t="str">
        <f t="array" ref="S969">IF(C969="","",IFERROR(_xlfn.XLOOKUP(C969,Volunteers!D:D,Volunteers!A:A),""))</f>
        <v/>
      </c>
      <c r="T969" s="40"/>
    </row>
    <row r="970">
      <c r="A970" s="52"/>
      <c r="B970" s="28"/>
      <c r="C970" s="28"/>
      <c r="D970" s="28" t="str">
        <f t="array" ref="D970">IF(B970="","",IFERROR(_xlfn.XLOOKUP(B970,'Lists &amp; Settings'!A:A,'Lists &amp; Settings'!E:E),""))</f>
        <v/>
      </c>
      <c r="E970" s="28"/>
      <c r="F970" s="28"/>
      <c r="G970" s="98"/>
      <c r="H970" s="98"/>
      <c r="I970" s="31"/>
      <c r="J970" s="54" t="s">
        <v>179</v>
      </c>
      <c r="K970" s="55" t="s">
        <v>179</v>
      </c>
      <c r="L970" s="56" t="s">
        <v>179</v>
      </c>
      <c r="M970" s="56" t="s">
        <v>179</v>
      </c>
      <c r="N970" s="28"/>
      <c r="O970" s="28"/>
      <c r="P970" s="52"/>
      <c r="Q970" s="52"/>
      <c r="R970" s="28"/>
      <c r="S970" s="28" t="str">
        <f t="array" ref="S970">IF(C970="","",IFERROR(_xlfn.XLOOKUP(C970,Volunteers!D:D,Volunteers!A:A),""))</f>
        <v/>
      </c>
      <c r="T970" s="28"/>
    </row>
    <row r="971">
      <c r="A971" s="57"/>
      <c r="B971" s="40"/>
      <c r="C971" s="40"/>
      <c r="D971" s="40" t="str">
        <f t="array" ref="D971">IF(B971="","",IFERROR(_xlfn.XLOOKUP(B971,'Lists &amp; Settings'!A:A,'Lists &amp; Settings'!E:E),""))</f>
        <v/>
      </c>
      <c r="E971" s="40"/>
      <c r="F971" s="40"/>
      <c r="G971" s="95"/>
      <c r="H971" s="95"/>
      <c r="I971" s="51"/>
      <c r="J971" s="54" t="s">
        <v>179</v>
      </c>
      <c r="K971" s="55" t="s">
        <v>179</v>
      </c>
      <c r="L971" s="56" t="s">
        <v>179</v>
      </c>
      <c r="M971" s="56" t="s">
        <v>179</v>
      </c>
      <c r="N971" s="40"/>
      <c r="O971" s="40"/>
      <c r="P971" s="57"/>
      <c r="Q971" s="57"/>
      <c r="R971" s="40"/>
      <c r="S971" s="40" t="str">
        <f t="array" ref="S971">IF(C971="","",IFERROR(_xlfn.XLOOKUP(C971,Volunteers!D:D,Volunteers!A:A),""))</f>
        <v/>
      </c>
      <c r="T971" s="40"/>
    </row>
    <row r="972">
      <c r="A972" s="52"/>
      <c r="B972" s="28"/>
      <c r="C972" s="28"/>
      <c r="D972" s="28" t="str">
        <f t="array" ref="D972">IF(B972="","",IFERROR(_xlfn.XLOOKUP(B972,'Lists &amp; Settings'!A:A,'Lists &amp; Settings'!E:E),""))</f>
        <v/>
      </c>
      <c r="E972" s="28"/>
      <c r="F972" s="28"/>
      <c r="G972" s="98"/>
      <c r="H972" s="98"/>
      <c r="I972" s="31"/>
      <c r="J972" s="54" t="s">
        <v>179</v>
      </c>
      <c r="K972" s="55" t="s">
        <v>179</v>
      </c>
      <c r="L972" s="56" t="s">
        <v>179</v>
      </c>
      <c r="M972" s="56" t="s">
        <v>179</v>
      </c>
      <c r="N972" s="28"/>
      <c r="O972" s="28"/>
      <c r="P972" s="52"/>
      <c r="Q972" s="52"/>
      <c r="R972" s="28"/>
      <c r="S972" s="28" t="str">
        <f t="array" ref="S972">IF(C972="","",IFERROR(_xlfn.XLOOKUP(C972,Volunteers!D:D,Volunteers!A:A),""))</f>
        <v/>
      </c>
      <c r="T972" s="28"/>
    </row>
    <row r="973">
      <c r="A973" s="57"/>
      <c r="B973" s="40"/>
      <c r="C973" s="40"/>
      <c r="D973" s="40" t="str">
        <f t="array" ref="D973">IF(B973="","",IFERROR(_xlfn.XLOOKUP(B973,'Lists &amp; Settings'!A:A,'Lists &amp; Settings'!E:E),""))</f>
        <v/>
      </c>
      <c r="E973" s="40"/>
      <c r="F973" s="40"/>
      <c r="G973" s="95"/>
      <c r="H973" s="95"/>
      <c r="I973" s="51"/>
      <c r="J973" s="54" t="s">
        <v>179</v>
      </c>
      <c r="K973" s="55" t="s">
        <v>179</v>
      </c>
      <c r="L973" s="56" t="s">
        <v>179</v>
      </c>
      <c r="M973" s="56" t="s">
        <v>179</v>
      </c>
      <c r="N973" s="40"/>
      <c r="O973" s="40"/>
      <c r="P973" s="57"/>
      <c r="Q973" s="57"/>
      <c r="R973" s="40"/>
      <c r="S973" s="40" t="str">
        <f t="array" ref="S973">IF(C973="","",IFERROR(_xlfn.XLOOKUP(C973,Volunteers!D:D,Volunteers!A:A),""))</f>
        <v/>
      </c>
      <c r="T973" s="40"/>
    </row>
    <row r="974">
      <c r="A974" s="52"/>
      <c r="B974" s="28"/>
      <c r="C974" s="28"/>
      <c r="D974" s="28" t="str">
        <f t="array" ref="D974">IF(B974="","",IFERROR(_xlfn.XLOOKUP(B974,'Lists &amp; Settings'!A:A,'Lists &amp; Settings'!E:E),""))</f>
        <v/>
      </c>
      <c r="E974" s="28"/>
      <c r="F974" s="28"/>
      <c r="G974" s="98"/>
      <c r="H974" s="98"/>
      <c r="I974" s="31"/>
      <c r="J974" s="54" t="s">
        <v>179</v>
      </c>
      <c r="K974" s="55" t="s">
        <v>179</v>
      </c>
      <c r="L974" s="56" t="s">
        <v>179</v>
      </c>
      <c r="M974" s="56" t="s">
        <v>179</v>
      </c>
      <c r="N974" s="28"/>
      <c r="O974" s="28"/>
      <c r="P974" s="52"/>
      <c r="Q974" s="52"/>
      <c r="R974" s="28"/>
      <c r="S974" s="28" t="str">
        <f t="array" ref="S974">IF(C974="","",IFERROR(_xlfn.XLOOKUP(C974,Volunteers!D:D,Volunteers!A:A),""))</f>
        <v/>
      </c>
      <c r="T974" s="28"/>
    </row>
    <row r="975">
      <c r="A975" s="57"/>
      <c r="B975" s="40"/>
      <c r="C975" s="40"/>
      <c r="D975" s="40" t="str">
        <f t="array" ref="D975">IF(B975="","",IFERROR(_xlfn.XLOOKUP(B975,'Lists &amp; Settings'!A:A,'Lists &amp; Settings'!E:E),""))</f>
        <v/>
      </c>
      <c r="E975" s="40"/>
      <c r="F975" s="40"/>
      <c r="G975" s="95"/>
      <c r="H975" s="95"/>
      <c r="I975" s="51"/>
      <c r="J975" s="54" t="s">
        <v>179</v>
      </c>
      <c r="K975" s="55" t="s">
        <v>179</v>
      </c>
      <c r="L975" s="56" t="s">
        <v>179</v>
      </c>
      <c r="M975" s="56" t="s">
        <v>179</v>
      </c>
      <c r="N975" s="40"/>
      <c r="O975" s="40"/>
      <c r="P975" s="57"/>
      <c r="Q975" s="57"/>
      <c r="R975" s="40"/>
      <c r="S975" s="40" t="str">
        <f t="array" ref="S975">IF(C975="","",IFERROR(_xlfn.XLOOKUP(C975,Volunteers!D:D,Volunteers!A:A),""))</f>
        <v/>
      </c>
      <c r="T975" s="40"/>
    </row>
    <row r="976">
      <c r="A976" s="52"/>
      <c r="B976" s="28"/>
      <c r="C976" s="28"/>
      <c r="D976" s="28" t="str">
        <f t="array" ref="D976">IF(B976="","",IFERROR(_xlfn.XLOOKUP(B976,'Lists &amp; Settings'!A:A,'Lists &amp; Settings'!E:E),""))</f>
        <v/>
      </c>
      <c r="E976" s="28"/>
      <c r="F976" s="28"/>
      <c r="G976" s="98"/>
      <c r="H976" s="98"/>
      <c r="I976" s="31"/>
      <c r="J976" s="54" t="s">
        <v>179</v>
      </c>
      <c r="K976" s="55" t="s">
        <v>179</v>
      </c>
      <c r="L976" s="56" t="s">
        <v>179</v>
      </c>
      <c r="M976" s="56" t="s">
        <v>179</v>
      </c>
      <c r="N976" s="28"/>
      <c r="O976" s="28"/>
      <c r="P976" s="52"/>
      <c r="Q976" s="52"/>
      <c r="R976" s="28"/>
      <c r="S976" s="28" t="str">
        <f t="array" ref="S976">IF(C976="","",IFERROR(_xlfn.XLOOKUP(C976,Volunteers!D:D,Volunteers!A:A),""))</f>
        <v/>
      </c>
      <c r="T976" s="28"/>
    </row>
    <row r="977">
      <c r="A977" s="57"/>
      <c r="B977" s="40"/>
      <c r="C977" s="40"/>
      <c r="D977" s="40" t="str">
        <f t="array" ref="D977">IF(B977="","",IFERROR(_xlfn.XLOOKUP(B977,'Lists &amp; Settings'!A:A,'Lists &amp; Settings'!E:E),""))</f>
        <v/>
      </c>
      <c r="E977" s="40"/>
      <c r="F977" s="40"/>
      <c r="G977" s="95"/>
      <c r="H977" s="95"/>
      <c r="I977" s="51"/>
      <c r="J977" s="54" t="s">
        <v>179</v>
      </c>
      <c r="K977" s="55" t="s">
        <v>179</v>
      </c>
      <c r="L977" s="56" t="s">
        <v>179</v>
      </c>
      <c r="M977" s="56" t="s">
        <v>179</v>
      </c>
      <c r="N977" s="40"/>
      <c r="O977" s="40"/>
      <c r="P977" s="57"/>
      <c r="Q977" s="57"/>
      <c r="R977" s="40"/>
      <c r="S977" s="40" t="str">
        <f t="array" ref="S977">IF(C977="","",IFERROR(_xlfn.XLOOKUP(C977,Volunteers!D:D,Volunteers!A:A),""))</f>
        <v/>
      </c>
      <c r="T977" s="40"/>
    </row>
    <row r="978">
      <c r="A978" s="52"/>
      <c r="B978" s="28"/>
      <c r="C978" s="28"/>
      <c r="D978" s="28" t="str">
        <f t="array" ref="D978">IF(B978="","",IFERROR(_xlfn.XLOOKUP(B978,'Lists &amp; Settings'!A:A,'Lists &amp; Settings'!E:E),""))</f>
        <v/>
      </c>
      <c r="E978" s="28"/>
      <c r="F978" s="28"/>
      <c r="G978" s="98"/>
      <c r="H978" s="98"/>
      <c r="I978" s="31"/>
      <c r="J978" s="54" t="s">
        <v>179</v>
      </c>
      <c r="K978" s="55" t="s">
        <v>179</v>
      </c>
      <c r="L978" s="56" t="s">
        <v>179</v>
      </c>
      <c r="M978" s="56" t="s">
        <v>179</v>
      </c>
      <c r="N978" s="28"/>
      <c r="O978" s="28"/>
      <c r="P978" s="52"/>
      <c r="Q978" s="52"/>
      <c r="R978" s="28"/>
      <c r="S978" s="28" t="str">
        <f t="array" ref="S978">IF(C978="","",IFERROR(_xlfn.XLOOKUP(C978,Volunteers!D:D,Volunteers!A:A),""))</f>
        <v/>
      </c>
      <c r="T978" s="28"/>
    </row>
    <row r="979">
      <c r="A979" s="57"/>
      <c r="B979" s="40"/>
      <c r="C979" s="40"/>
      <c r="D979" s="40" t="str">
        <f t="array" ref="D979">IF(B979="","",IFERROR(_xlfn.XLOOKUP(B979,'Lists &amp; Settings'!A:A,'Lists &amp; Settings'!E:E),""))</f>
        <v/>
      </c>
      <c r="E979" s="40"/>
      <c r="F979" s="40"/>
      <c r="G979" s="95"/>
      <c r="H979" s="95"/>
      <c r="I979" s="51"/>
      <c r="J979" s="54" t="s">
        <v>179</v>
      </c>
      <c r="K979" s="55" t="s">
        <v>179</v>
      </c>
      <c r="L979" s="56" t="s">
        <v>179</v>
      </c>
      <c r="M979" s="56" t="s">
        <v>179</v>
      </c>
      <c r="N979" s="40"/>
      <c r="O979" s="40"/>
      <c r="P979" s="57"/>
      <c r="Q979" s="57"/>
      <c r="R979" s="40"/>
      <c r="S979" s="40" t="str">
        <f t="array" ref="S979">IF(C979="","",IFERROR(_xlfn.XLOOKUP(C979,Volunteers!D:D,Volunteers!A:A),""))</f>
        <v/>
      </c>
      <c r="T979" s="40"/>
    </row>
    <row r="980">
      <c r="A980" s="52"/>
      <c r="B980" s="28"/>
      <c r="C980" s="28"/>
      <c r="D980" s="28" t="str">
        <f t="array" ref="D980">IF(B980="","",IFERROR(_xlfn.XLOOKUP(B980,'Lists &amp; Settings'!A:A,'Lists &amp; Settings'!E:E),""))</f>
        <v/>
      </c>
      <c r="E980" s="28"/>
      <c r="F980" s="28"/>
      <c r="G980" s="98"/>
      <c r="H980" s="98"/>
      <c r="I980" s="31"/>
      <c r="J980" s="54" t="s">
        <v>179</v>
      </c>
      <c r="K980" s="55" t="s">
        <v>179</v>
      </c>
      <c r="L980" s="56" t="s">
        <v>179</v>
      </c>
      <c r="M980" s="56" t="s">
        <v>179</v>
      </c>
      <c r="N980" s="28"/>
      <c r="O980" s="28"/>
      <c r="P980" s="52"/>
      <c r="Q980" s="52"/>
      <c r="R980" s="28"/>
      <c r="S980" s="28" t="str">
        <f t="array" ref="S980">IF(C980="","",IFERROR(_xlfn.XLOOKUP(C980,Volunteers!D:D,Volunteers!A:A),""))</f>
        <v/>
      </c>
      <c r="T980" s="28"/>
    </row>
    <row r="981">
      <c r="A981" s="57"/>
      <c r="B981" s="40"/>
      <c r="C981" s="40"/>
      <c r="D981" s="40" t="str">
        <f t="array" ref="D981">IF(B981="","",IFERROR(_xlfn.XLOOKUP(B981,'Lists &amp; Settings'!A:A,'Lists &amp; Settings'!E:E),""))</f>
        <v/>
      </c>
      <c r="E981" s="40"/>
      <c r="F981" s="40"/>
      <c r="G981" s="95"/>
      <c r="H981" s="95"/>
      <c r="I981" s="51"/>
      <c r="J981" s="54" t="s">
        <v>179</v>
      </c>
      <c r="K981" s="55" t="s">
        <v>179</v>
      </c>
      <c r="L981" s="56" t="s">
        <v>179</v>
      </c>
      <c r="M981" s="56" t="s">
        <v>179</v>
      </c>
      <c r="N981" s="40"/>
      <c r="O981" s="40"/>
      <c r="P981" s="57"/>
      <c r="Q981" s="57"/>
      <c r="R981" s="40"/>
      <c r="S981" s="40" t="str">
        <f t="array" ref="S981">IF(C981="","",IFERROR(_xlfn.XLOOKUP(C981,Volunteers!D:D,Volunteers!A:A),""))</f>
        <v/>
      </c>
      <c r="T981" s="40"/>
    </row>
    <row r="982">
      <c r="A982" s="52"/>
      <c r="B982" s="28"/>
      <c r="C982" s="28"/>
      <c r="D982" s="28" t="str">
        <f t="array" ref="D982">IF(B982="","",IFERROR(_xlfn.XLOOKUP(B982,'Lists &amp; Settings'!A:A,'Lists &amp; Settings'!E:E),""))</f>
        <v/>
      </c>
      <c r="E982" s="28"/>
      <c r="F982" s="28"/>
      <c r="G982" s="98"/>
      <c r="H982" s="98"/>
      <c r="I982" s="31"/>
      <c r="J982" s="54" t="s">
        <v>179</v>
      </c>
      <c r="K982" s="55" t="s">
        <v>179</v>
      </c>
      <c r="L982" s="56" t="s">
        <v>179</v>
      </c>
      <c r="M982" s="56" t="s">
        <v>179</v>
      </c>
      <c r="N982" s="28"/>
      <c r="O982" s="28"/>
      <c r="P982" s="52"/>
      <c r="Q982" s="52"/>
      <c r="R982" s="28"/>
      <c r="S982" s="28" t="str">
        <f t="array" ref="S982">IF(C982="","",IFERROR(_xlfn.XLOOKUP(C982,Volunteers!D:D,Volunteers!A:A),""))</f>
        <v/>
      </c>
      <c r="T982" s="28"/>
    </row>
    <row r="983">
      <c r="A983" s="57"/>
      <c r="B983" s="40"/>
      <c r="C983" s="40"/>
      <c r="D983" s="40" t="str">
        <f t="array" ref="D983">IF(B983="","",IFERROR(_xlfn.XLOOKUP(B983,'Lists &amp; Settings'!A:A,'Lists &amp; Settings'!E:E),""))</f>
        <v/>
      </c>
      <c r="E983" s="40"/>
      <c r="F983" s="40"/>
      <c r="G983" s="95"/>
      <c r="H983" s="95"/>
      <c r="I983" s="51"/>
      <c r="J983" s="54" t="s">
        <v>179</v>
      </c>
      <c r="K983" s="55" t="s">
        <v>179</v>
      </c>
      <c r="L983" s="56" t="s">
        <v>179</v>
      </c>
      <c r="M983" s="56" t="s">
        <v>179</v>
      </c>
      <c r="N983" s="40"/>
      <c r="O983" s="40"/>
      <c r="P983" s="57"/>
      <c r="Q983" s="57"/>
      <c r="R983" s="40"/>
      <c r="S983" s="40" t="str">
        <f t="array" ref="S983">IF(C983="","",IFERROR(_xlfn.XLOOKUP(C983,Volunteers!D:D,Volunteers!A:A),""))</f>
        <v/>
      </c>
      <c r="T983" s="40"/>
    </row>
    <row r="984">
      <c r="A984" s="52"/>
      <c r="B984" s="28"/>
      <c r="C984" s="26"/>
      <c r="D984" s="28" t="str">
        <f t="array" ref="D984">IF(B984="","",IFERROR(_xlfn.XLOOKUP(B984,'Lists &amp; Settings'!A:A,'Lists &amp; Settings'!E:E),""))</f>
        <v/>
      </c>
      <c r="E984" s="28"/>
      <c r="F984" s="28"/>
      <c r="G984" s="98"/>
      <c r="H984" s="98"/>
      <c r="I984" s="31"/>
      <c r="J984" s="54" t="s">
        <v>179</v>
      </c>
      <c r="K984" s="55" t="s">
        <v>179</v>
      </c>
      <c r="L984" s="56" t="s">
        <v>179</v>
      </c>
      <c r="M984" s="56" t="s">
        <v>179</v>
      </c>
      <c r="N984" s="28"/>
      <c r="O984" s="28"/>
      <c r="P984" s="52"/>
      <c r="Q984" s="52"/>
      <c r="R984" s="28"/>
      <c r="S984" s="28" t="str">
        <f t="array" ref="S984">IF(C984="","",IFERROR(_xlfn.XLOOKUP(C984,Volunteers!D:D,Volunteers!A:A),""))</f>
        <v/>
      </c>
      <c r="T984" s="28"/>
    </row>
    <row r="985">
      <c r="A985" s="57"/>
      <c r="B985" s="40"/>
      <c r="C985" s="40"/>
      <c r="D985" s="40" t="str">
        <f t="array" ref="D985">IF(B985="","",IFERROR(_xlfn.XLOOKUP(B985,'Lists &amp; Settings'!A:A,'Lists &amp; Settings'!E:E),""))</f>
        <v/>
      </c>
      <c r="E985" s="40"/>
      <c r="F985" s="40"/>
      <c r="G985" s="95"/>
      <c r="H985" s="95"/>
      <c r="I985" s="51"/>
      <c r="J985" s="54" t="s">
        <v>179</v>
      </c>
      <c r="K985" s="55" t="s">
        <v>179</v>
      </c>
      <c r="L985" s="56" t="s">
        <v>179</v>
      </c>
      <c r="M985" s="56" t="s">
        <v>179</v>
      </c>
      <c r="N985" s="40"/>
      <c r="O985" s="40"/>
      <c r="P985" s="57"/>
      <c r="Q985" s="57"/>
      <c r="R985" s="40"/>
      <c r="S985" s="40" t="str">
        <f t="array" ref="S985">IF(C985="","",IFERROR(_xlfn.XLOOKUP(C985,Volunteers!D:D,Volunteers!A:A),""))</f>
        <v/>
      </c>
      <c r="T985" s="40"/>
    </row>
    <row r="986">
      <c r="A986" s="52"/>
      <c r="B986" s="28"/>
      <c r="C986" s="28"/>
      <c r="D986" s="28" t="str">
        <f t="array" ref="D986">IF(B986="","",IFERROR(_xlfn.XLOOKUP(B986,'Lists &amp; Settings'!A:A,'Lists &amp; Settings'!E:E),""))</f>
        <v/>
      </c>
      <c r="E986" s="28"/>
      <c r="F986" s="28"/>
      <c r="G986" s="98"/>
      <c r="H986" s="98"/>
      <c r="I986" s="31"/>
      <c r="J986" s="54" t="s">
        <v>179</v>
      </c>
      <c r="K986" s="55" t="s">
        <v>179</v>
      </c>
      <c r="L986" s="56" t="s">
        <v>179</v>
      </c>
      <c r="M986" s="56" t="s">
        <v>179</v>
      </c>
      <c r="N986" s="28"/>
      <c r="O986" s="28"/>
      <c r="P986" s="52"/>
      <c r="Q986" s="52"/>
      <c r="R986" s="28"/>
      <c r="S986" s="28" t="str">
        <f t="array" ref="S986">IF(C986="","",IFERROR(_xlfn.XLOOKUP(C986,Volunteers!D:D,Volunteers!A:A),""))</f>
        <v/>
      </c>
      <c r="T986" s="28"/>
    </row>
    <row r="987">
      <c r="A987" s="57"/>
      <c r="B987" s="40"/>
      <c r="C987" s="40"/>
      <c r="D987" s="40" t="str">
        <f t="array" ref="D987">IF(B987="","",IFERROR(_xlfn.XLOOKUP(B987,'Lists &amp; Settings'!A:A,'Lists &amp; Settings'!E:E),""))</f>
        <v/>
      </c>
      <c r="E987" s="40"/>
      <c r="F987" s="40"/>
      <c r="G987" s="95"/>
      <c r="H987" s="95"/>
      <c r="I987" s="51"/>
      <c r="J987" s="54" t="s">
        <v>179</v>
      </c>
      <c r="K987" s="55" t="s">
        <v>179</v>
      </c>
      <c r="L987" s="56" t="s">
        <v>179</v>
      </c>
      <c r="M987" s="56" t="s">
        <v>179</v>
      </c>
      <c r="N987" s="40"/>
      <c r="O987" s="40"/>
      <c r="P987" s="57"/>
      <c r="Q987" s="57"/>
      <c r="R987" s="40"/>
      <c r="S987" s="40" t="str">
        <f t="array" ref="S987">IF(C987="","",IFERROR(_xlfn.XLOOKUP(C987,Volunteers!D:D,Volunteers!A:A),""))</f>
        <v/>
      </c>
      <c r="T987" s="40"/>
    </row>
    <row r="988">
      <c r="A988" s="52"/>
      <c r="B988" s="28"/>
      <c r="C988" s="28"/>
      <c r="D988" s="28" t="str">
        <f t="array" ref="D988">IF(B988="","",IFERROR(_xlfn.XLOOKUP(B988,'Lists &amp; Settings'!A:A,'Lists &amp; Settings'!E:E),""))</f>
        <v/>
      </c>
      <c r="E988" s="28"/>
      <c r="F988" s="28"/>
      <c r="G988" s="98"/>
      <c r="H988" s="98"/>
      <c r="I988" s="31"/>
      <c r="J988" s="54" t="s">
        <v>179</v>
      </c>
      <c r="K988" s="55" t="s">
        <v>179</v>
      </c>
      <c r="L988" s="56" t="s">
        <v>179</v>
      </c>
      <c r="M988" s="56" t="s">
        <v>179</v>
      </c>
      <c r="N988" s="28"/>
      <c r="O988" s="28"/>
      <c r="P988" s="52"/>
      <c r="Q988" s="52"/>
      <c r="R988" s="28"/>
      <c r="S988" s="28" t="str">
        <f t="array" ref="S988">IF(C988="","",IFERROR(_xlfn.XLOOKUP(C988,Volunteers!D:D,Volunteers!A:A),""))</f>
        <v/>
      </c>
      <c r="T988" s="28"/>
    </row>
    <row r="989">
      <c r="A989" s="57"/>
      <c r="B989" s="40"/>
      <c r="C989" s="40"/>
      <c r="D989" s="40" t="str">
        <f t="array" ref="D989">IF(B989="","",IFERROR(_xlfn.XLOOKUP(B989,'Lists &amp; Settings'!A:A,'Lists &amp; Settings'!E:E),""))</f>
        <v/>
      </c>
      <c r="E989" s="40"/>
      <c r="F989" s="40"/>
      <c r="G989" s="95"/>
      <c r="H989" s="95"/>
      <c r="I989" s="51"/>
      <c r="J989" s="54" t="s">
        <v>179</v>
      </c>
      <c r="K989" s="55" t="s">
        <v>179</v>
      </c>
      <c r="L989" s="56" t="s">
        <v>179</v>
      </c>
      <c r="M989" s="56" t="s">
        <v>179</v>
      </c>
      <c r="N989" s="40"/>
      <c r="O989" s="40"/>
      <c r="P989" s="57"/>
      <c r="Q989" s="57"/>
      <c r="R989" s="40"/>
      <c r="S989" s="40" t="str">
        <f t="array" ref="S989">IF(C989="","",IFERROR(_xlfn.XLOOKUP(C989,Volunteers!D:D,Volunteers!A:A),""))</f>
        <v/>
      </c>
      <c r="T989" s="40"/>
    </row>
    <row r="990">
      <c r="A990" s="52"/>
      <c r="B990" s="28"/>
      <c r="C990" s="28"/>
      <c r="D990" s="28" t="str">
        <f t="array" ref="D990">IF(B990="","",IFERROR(_xlfn.XLOOKUP(B990,'Lists &amp; Settings'!A:A,'Lists &amp; Settings'!E:E),""))</f>
        <v/>
      </c>
      <c r="E990" s="28"/>
      <c r="F990" s="28"/>
      <c r="G990" s="98"/>
      <c r="H990" s="98"/>
      <c r="I990" s="31"/>
      <c r="J990" s="54" t="s">
        <v>179</v>
      </c>
      <c r="K990" s="55" t="s">
        <v>179</v>
      </c>
      <c r="L990" s="56" t="s">
        <v>179</v>
      </c>
      <c r="M990" s="56" t="s">
        <v>179</v>
      </c>
      <c r="N990" s="28"/>
      <c r="O990" s="28"/>
      <c r="P990" s="52"/>
      <c r="Q990" s="52"/>
      <c r="R990" s="28"/>
      <c r="S990" s="28" t="str">
        <f t="array" ref="S990">IF(C990="","",IFERROR(_xlfn.XLOOKUP(C990,Volunteers!D:D,Volunteers!A:A),""))</f>
        <v/>
      </c>
      <c r="T990" s="28"/>
    </row>
  </sheetData>
  <autoFilter ref="$A$1:$AC$238"/>
  <conditionalFormatting sqref="C2:C990">
    <cfRule type="expression" dxfId="3" priority="1">
      <formula>AND($A2&lt;&gt;"",$C2="",$R2="Individual")</formula>
    </cfRule>
  </conditionalFormatting>
  <conditionalFormatting sqref="J2:J990">
    <cfRule type="expression" dxfId="3" priority="2">
      <formula>AND($A2&lt;&gt;"",$J2="")</formula>
    </cfRule>
  </conditionalFormatting>
  <conditionalFormatting sqref="O2:O990">
    <cfRule type="expression" dxfId="3" priority="3">
      <formula>AND($J2&lt;&gt;"",$O2="")</formula>
    </cfRule>
  </conditionalFormatting>
  <conditionalFormatting sqref="P2:Q990">
    <cfRule type="expression" dxfId="3" priority="4">
      <formula>AND($J2&lt;&gt;"",$P2="")</formula>
    </cfRule>
  </conditionalFormatting>
  <conditionalFormatting sqref="L2:L990">
    <cfRule type="expression" dxfId="3" priority="5">
      <formula>AND($K2="Professional Billing Rate",$L2="")</formula>
    </cfRule>
  </conditionalFormatting>
  <conditionalFormatting sqref="B2:B990">
    <cfRule type="expression" dxfId="6" priority="6">
      <formula>AND($A2&lt;&gt;"",$B2="")</formula>
    </cfRule>
  </conditionalFormatting>
  <conditionalFormatting sqref="D2:D990">
    <cfRule type="expression" dxfId="3" priority="7">
      <formula>AND($A2&lt;&gt;"",$D2="")</formula>
    </cfRule>
  </conditionalFormatting>
  <conditionalFormatting sqref="E2:E990">
    <cfRule type="expression" dxfId="3" priority="8">
      <formula>AND($A2&lt;&gt;"",$E2="")</formula>
    </cfRule>
  </conditionalFormatting>
  <conditionalFormatting sqref="F2:F990">
    <cfRule type="expression" dxfId="3" priority="9">
      <formula>AND($A2&lt;&gt;"",$F2="")</formula>
    </cfRule>
  </conditionalFormatting>
  <conditionalFormatting sqref="G2:H990">
    <cfRule type="expression" dxfId="3" priority="10">
      <formula>AND($F2="Start / End Time",OR($G2="",$H2=""))</formula>
    </cfRule>
  </conditionalFormatting>
  <conditionalFormatting sqref="I2:I990">
    <cfRule type="expression" dxfId="3" priority="11">
      <formula>AND($F2="Total Hours",$I2="")</formula>
    </cfRule>
  </conditionalFormatting>
  <conditionalFormatting sqref="J2:J990">
    <cfRule type="expression" dxfId="3" priority="12">
      <formula>AND($J2&lt;&gt;"",$J2&lt;=0)</formula>
    </cfRule>
  </conditionalFormatting>
  <conditionalFormatting sqref="J2:J990">
    <cfRule type="expression" dxfId="5" priority="13">
      <formula>AND($J2&lt;&gt;"",$J2&gt;12)</formula>
    </cfRule>
  </conditionalFormatting>
  <conditionalFormatting sqref="A2:R990">
    <cfRule type="expression" dxfId="7" priority="14">
      <formula>AND($A2&lt;&gt;"",$C2&lt;&gt;"",$J2&lt;&gt;"")</formula>
    </cfRule>
  </conditionalFormatting>
  <conditionalFormatting sqref="T13">
    <cfRule type="notContainsBlanks" dxfId="8" priority="15">
      <formula>LEN(TRIM(T13))&gt;0</formula>
    </cfRule>
  </conditionalFormatting>
  <dataValidations>
    <dataValidation type="list" allowBlank="1" showErrorMessage="1" sqref="C2:C990 O2:O990">
      <formula1>Volunteers!$D$2:$D990</formula1>
    </dataValidation>
    <dataValidation type="list" allowBlank="1" showErrorMessage="1" sqref="N2:N990">
      <formula1>'Lists &amp; Settings'!$J$2:$J$5</formula1>
    </dataValidation>
    <dataValidation type="list" allowBlank="1" showErrorMessage="1" sqref="E2:E990">
      <formula1>'Lists &amp; Settings'!$J$2:$J990</formula1>
    </dataValidation>
    <dataValidation type="list" allowBlank="1" showErrorMessage="1" sqref="Q2:Q990">
      <formula1>"Individual,Group Only"</formula1>
    </dataValidation>
    <dataValidation type="decimal" operator="greaterThan" allowBlank="1" showDropDown="1" showErrorMessage="1" sqref="J2:J990">
      <formula1>0.0</formula1>
    </dataValidation>
    <dataValidation type="list" allowBlank="1" showErrorMessage="1" sqref="F2:F990">
      <formula1>'Lists &amp; Settings'!$P$2:$P990</formula1>
    </dataValidation>
    <dataValidation type="list" allowBlank="1" showErrorMessage="1" sqref="B2:B990">
      <formula1>'Lists &amp; Settings'!$H$21:$H$999</formula1>
    </dataValidation>
    <dataValidation type="custom" allowBlank="1" showDropDown="1" sqref="P2:P990">
      <formula1>OR(NOT(ISERROR(DATEVALUE(P2))), AND(ISNUMBER(P2), LEFT(CELL("format", P2))="D"))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2.13"/>
    <col customWidth="1" min="3" max="3" width="11.88"/>
    <col customWidth="1" min="4" max="4" width="14.38"/>
    <col customWidth="1" min="5" max="5" width="8.0"/>
    <col customWidth="1" min="6" max="6" width="10.63"/>
    <col customWidth="1" min="7" max="7" width="26.13"/>
    <col customWidth="1" min="8" max="8" width="9.5"/>
    <col customWidth="1" min="9" max="9" width="20.88"/>
    <col customWidth="1" min="10" max="10" width="23.13"/>
    <col customWidth="1" min="11" max="11" width="20.25"/>
    <col customWidth="1" min="12" max="12" width="107.13"/>
    <col customWidth="1" min="13" max="13" width="5.63"/>
  </cols>
  <sheetData>
    <row r="1">
      <c r="A1" s="5" t="s">
        <v>4</v>
      </c>
      <c r="B1" s="5" t="s">
        <v>9</v>
      </c>
      <c r="C1" s="5" t="s">
        <v>16</v>
      </c>
      <c r="D1" s="5" t="s">
        <v>18</v>
      </c>
      <c r="E1" s="5" t="s">
        <v>20</v>
      </c>
      <c r="F1" s="13" t="s">
        <v>21</v>
      </c>
      <c r="G1" s="5" t="s">
        <v>23</v>
      </c>
      <c r="H1" s="5" t="s">
        <v>27</v>
      </c>
      <c r="I1" s="5" t="s">
        <v>25</v>
      </c>
      <c r="J1" s="17" t="s">
        <v>31</v>
      </c>
      <c r="K1" s="17" t="s">
        <v>38</v>
      </c>
      <c r="L1" s="5" t="s">
        <v>41</v>
      </c>
      <c r="M1" s="1"/>
      <c r="N1" s="3"/>
      <c r="O1" s="3"/>
      <c r="P1" s="3"/>
      <c r="Q1" s="3"/>
      <c r="R1" s="3"/>
      <c r="S1" s="3"/>
      <c r="T1" s="3"/>
      <c r="U1" s="3"/>
      <c r="V1" s="3"/>
      <c r="W1" s="3"/>
      <c r="X1" s="3"/>
      <c r="Y1" s="3"/>
      <c r="Z1" s="3"/>
      <c r="AA1" s="3"/>
    </row>
    <row r="2">
      <c r="A2" s="28" t="str">
        <f t="shared" ref="A2:A999" si="1">IF(B2="","",TEXT(ROW()-1,"000"))</f>
        <v>001</v>
      </c>
      <c r="B2" s="26" t="s">
        <v>70</v>
      </c>
      <c r="C2" s="26" t="s">
        <v>74</v>
      </c>
      <c r="D2" s="26" t="str">
        <f t="shared" ref="D2:D999" si="2">IF(OR(B2="",C2=""),"",B2&amp;" "&amp;C2)</f>
        <v>Alex Moffitt</v>
      </c>
      <c r="E2" s="28"/>
      <c r="F2" s="35"/>
      <c r="G2" s="26" t="s">
        <v>65</v>
      </c>
      <c r="H2" s="26" t="s">
        <v>87</v>
      </c>
      <c r="I2" s="26" t="s">
        <v>29</v>
      </c>
      <c r="J2" s="37"/>
      <c r="K2" s="37">
        <f>IF(I2="Professional Billing Rate",J2,'Lists &amp; Settings'!$E$2)</f>
        <v>35.47</v>
      </c>
      <c r="L2" s="28"/>
    </row>
    <row r="3">
      <c r="A3" s="40" t="str">
        <f t="shared" si="1"/>
        <v>002</v>
      </c>
      <c r="B3" s="41" t="s">
        <v>97</v>
      </c>
      <c r="C3" s="41" t="s">
        <v>99</v>
      </c>
      <c r="D3" s="41" t="str">
        <f t="shared" si="2"/>
        <v>Anna Nelson</v>
      </c>
      <c r="E3" s="40"/>
      <c r="F3" s="42"/>
      <c r="G3" s="41" t="s">
        <v>53</v>
      </c>
      <c r="H3" s="41" t="s">
        <v>87</v>
      </c>
      <c r="I3" s="41" t="s">
        <v>29</v>
      </c>
      <c r="J3" s="43"/>
      <c r="K3" s="43">
        <f>IF(I3="Professional Billing Rate",J3,'Lists &amp; Settings'!$E$2)</f>
        <v>35.47</v>
      </c>
      <c r="L3" s="40"/>
    </row>
    <row r="4">
      <c r="A4" s="28" t="str">
        <f t="shared" si="1"/>
        <v>003</v>
      </c>
      <c r="B4" s="26" t="s">
        <v>103</v>
      </c>
      <c r="C4" s="26" t="s">
        <v>104</v>
      </c>
      <c r="D4" s="26" t="str">
        <f t="shared" si="2"/>
        <v>Briana Thaxton</v>
      </c>
      <c r="E4" s="28"/>
      <c r="F4" s="35"/>
      <c r="G4" s="26" t="s">
        <v>53</v>
      </c>
      <c r="H4" s="26" t="s">
        <v>105</v>
      </c>
      <c r="I4" s="26" t="s">
        <v>29</v>
      </c>
      <c r="J4" s="37"/>
      <c r="K4" s="37">
        <f>IF(I4="Professional Billing Rate",J4,'Lists &amp; Settings'!$E$2)</f>
        <v>35.47</v>
      </c>
      <c r="L4" s="28"/>
    </row>
    <row r="5">
      <c r="A5" s="40" t="str">
        <f t="shared" si="1"/>
        <v>004</v>
      </c>
      <c r="B5" s="41" t="s">
        <v>108</v>
      </c>
      <c r="C5" s="41" t="s">
        <v>109</v>
      </c>
      <c r="D5" s="41" t="str">
        <f t="shared" si="2"/>
        <v>Brook Mann</v>
      </c>
      <c r="E5" s="40"/>
      <c r="F5" s="42"/>
      <c r="G5" s="41" t="s">
        <v>65</v>
      </c>
      <c r="H5" s="41" t="s">
        <v>87</v>
      </c>
      <c r="I5" s="41" t="s">
        <v>29</v>
      </c>
      <c r="J5" s="43"/>
      <c r="K5" s="43">
        <f>IF(I5="Professional Billing Rate",J5,'Lists &amp; Settings'!$E$2)</f>
        <v>35.47</v>
      </c>
      <c r="L5" s="40"/>
    </row>
    <row r="6">
      <c r="A6" s="28" t="str">
        <f t="shared" si="1"/>
        <v>005</v>
      </c>
      <c r="B6" s="26" t="s">
        <v>112</v>
      </c>
      <c r="C6" s="26" t="s">
        <v>114</v>
      </c>
      <c r="D6" s="26" t="str">
        <f t="shared" si="2"/>
        <v>Chelsea McGee</v>
      </c>
      <c r="E6" s="28"/>
      <c r="F6" s="35"/>
      <c r="G6" s="26" t="s">
        <v>33</v>
      </c>
      <c r="H6" s="26" t="s">
        <v>87</v>
      </c>
      <c r="I6" s="26" t="s">
        <v>29</v>
      </c>
      <c r="J6" s="37"/>
      <c r="K6" s="37">
        <f>IF(I6="Professional Billing Rate",J6,'Lists &amp; Settings'!$E$2)</f>
        <v>35.47</v>
      </c>
      <c r="L6" s="28"/>
    </row>
    <row r="7">
      <c r="A7" s="40" t="str">
        <f t="shared" si="1"/>
        <v>006</v>
      </c>
      <c r="B7" s="41" t="s">
        <v>118</v>
      </c>
      <c r="C7" s="41" t="s">
        <v>119</v>
      </c>
      <c r="D7" s="41" t="str">
        <f t="shared" si="2"/>
        <v>Clockify Import</v>
      </c>
      <c r="E7" s="40"/>
      <c r="F7" s="42"/>
      <c r="G7" s="41" t="s">
        <v>33</v>
      </c>
      <c r="H7" s="41" t="s">
        <v>105</v>
      </c>
      <c r="I7" s="41" t="s">
        <v>29</v>
      </c>
      <c r="J7" s="43"/>
      <c r="K7" s="43">
        <f>IF(I7="Professional Billing Rate",J7,'Lists &amp; Settings'!$E$2)</f>
        <v>35.47</v>
      </c>
      <c r="L7" s="40"/>
    </row>
    <row r="8">
      <c r="A8" s="28" t="str">
        <f t="shared" si="1"/>
        <v>007</v>
      </c>
      <c r="B8" s="26" t="s">
        <v>124</v>
      </c>
      <c r="C8" s="26" t="s">
        <v>126</v>
      </c>
      <c r="D8" s="26" t="str">
        <f t="shared" si="2"/>
        <v>Diana Larsen</v>
      </c>
      <c r="E8" s="28"/>
      <c r="F8" s="35"/>
      <c r="G8" s="26" t="s">
        <v>60</v>
      </c>
      <c r="H8" s="26" t="s">
        <v>87</v>
      </c>
      <c r="I8" s="26" t="s">
        <v>29</v>
      </c>
      <c r="J8" s="37"/>
      <c r="K8" s="37">
        <f>IF(I8="Professional Billing Rate",J8,'Lists &amp; Settings'!$E$2)</f>
        <v>35.47</v>
      </c>
      <c r="L8" s="28"/>
    </row>
    <row r="9">
      <c r="A9" s="40" t="str">
        <f t="shared" si="1"/>
        <v>008</v>
      </c>
      <c r="B9" s="41" t="s">
        <v>130</v>
      </c>
      <c r="C9" s="41" t="s">
        <v>132</v>
      </c>
      <c r="D9" s="41" t="str">
        <f t="shared" si="2"/>
        <v>Janessa Kimball</v>
      </c>
      <c r="E9" s="40"/>
      <c r="F9" s="42"/>
      <c r="G9" s="41" t="s">
        <v>33</v>
      </c>
      <c r="H9" s="41" t="s">
        <v>87</v>
      </c>
      <c r="I9" s="41" t="s">
        <v>29</v>
      </c>
      <c r="J9" s="43"/>
      <c r="K9" s="43">
        <f>IF(I9="Professional Billing Rate",J9,'Lists &amp; Settings'!$E$2)</f>
        <v>35.47</v>
      </c>
      <c r="L9" s="40"/>
    </row>
    <row r="10">
      <c r="A10" s="28" t="str">
        <f t="shared" si="1"/>
        <v>009</v>
      </c>
      <c r="B10" s="26" t="s">
        <v>136</v>
      </c>
      <c r="C10" s="26" t="s">
        <v>137</v>
      </c>
      <c r="D10" s="26" t="str">
        <f t="shared" si="2"/>
        <v>Jen Crabb</v>
      </c>
      <c r="E10" s="28"/>
      <c r="F10" s="35"/>
      <c r="G10" s="26" t="s">
        <v>49</v>
      </c>
      <c r="H10" s="26" t="s">
        <v>87</v>
      </c>
      <c r="I10" s="26" t="s">
        <v>29</v>
      </c>
      <c r="J10" s="37"/>
      <c r="K10" s="37">
        <f>IF(I10="Professional Billing Rate",J10,'Lists &amp; Settings'!$E$2)</f>
        <v>35.47</v>
      </c>
      <c r="L10" s="28"/>
    </row>
    <row r="11">
      <c r="A11" s="40" t="str">
        <f t="shared" si="1"/>
        <v>010</v>
      </c>
      <c r="B11" s="41" t="s">
        <v>142</v>
      </c>
      <c r="C11" s="41" t="s">
        <v>143</v>
      </c>
      <c r="D11" s="41" t="str">
        <f t="shared" si="2"/>
        <v>Kirstin Hoyt</v>
      </c>
      <c r="E11" s="40"/>
      <c r="F11" s="42"/>
      <c r="G11" s="41" t="s">
        <v>60</v>
      </c>
      <c r="H11" s="41" t="s">
        <v>87</v>
      </c>
      <c r="I11" s="41" t="s">
        <v>29</v>
      </c>
      <c r="J11" s="43"/>
      <c r="K11" s="43">
        <f>IF(I11="Professional Billing Rate",J11,'Lists &amp; Settings'!$E$2)</f>
        <v>35.47</v>
      </c>
      <c r="L11" s="40"/>
    </row>
    <row r="12">
      <c r="A12" s="28" t="str">
        <f t="shared" si="1"/>
        <v>011</v>
      </c>
      <c r="B12" s="26" t="s">
        <v>147</v>
      </c>
      <c r="C12" s="26" t="s">
        <v>148</v>
      </c>
      <c r="D12" s="26" t="str">
        <f t="shared" si="2"/>
        <v>Lynette Owens</v>
      </c>
      <c r="E12" s="28"/>
      <c r="F12" s="35"/>
      <c r="G12" s="26" t="s">
        <v>33</v>
      </c>
      <c r="H12" s="26" t="s">
        <v>87</v>
      </c>
      <c r="I12" s="26" t="s">
        <v>29</v>
      </c>
      <c r="J12" s="37"/>
      <c r="K12" s="37">
        <f>IF(I12="Professional Billing Rate",J12,'Lists &amp; Settings'!$E$2)</f>
        <v>35.47</v>
      </c>
      <c r="L12" s="28"/>
    </row>
    <row r="13">
      <c r="A13" s="40" t="str">
        <f t="shared" si="1"/>
        <v>012</v>
      </c>
      <c r="B13" s="41" t="s">
        <v>149</v>
      </c>
      <c r="C13" s="41" t="s">
        <v>150</v>
      </c>
      <c r="D13" s="41" t="str">
        <f t="shared" si="2"/>
        <v>Marche Weffer</v>
      </c>
      <c r="E13" s="40"/>
      <c r="F13" s="42"/>
      <c r="G13" s="41" t="s">
        <v>60</v>
      </c>
      <c r="H13" s="41" t="s">
        <v>87</v>
      </c>
      <c r="I13" s="41" t="s">
        <v>29</v>
      </c>
      <c r="J13" s="43"/>
      <c r="K13" s="43">
        <f>IF(I13="Professional Billing Rate",J13,'Lists &amp; Settings'!$E$2)</f>
        <v>35.47</v>
      </c>
      <c r="L13" s="40"/>
    </row>
    <row r="14">
      <c r="A14" s="28" t="str">
        <f t="shared" si="1"/>
        <v>013</v>
      </c>
      <c r="B14" s="26" t="s">
        <v>154</v>
      </c>
      <c r="C14" s="26" t="s">
        <v>155</v>
      </c>
      <c r="D14" s="26" t="str">
        <f t="shared" si="2"/>
        <v>Maya Collinwood</v>
      </c>
      <c r="E14" s="28"/>
      <c r="F14" s="35"/>
      <c r="G14" s="26" t="s">
        <v>53</v>
      </c>
      <c r="H14" s="26" t="s">
        <v>87</v>
      </c>
      <c r="I14" s="26" t="s">
        <v>29</v>
      </c>
      <c r="J14" s="37"/>
      <c r="K14" s="37">
        <f>IF(I14="Professional Billing Rate",J14,'Lists &amp; Settings'!$E$2)</f>
        <v>35.47</v>
      </c>
      <c r="L14" s="28"/>
    </row>
    <row r="15">
      <c r="A15" s="40" t="str">
        <f t="shared" si="1"/>
        <v>014</v>
      </c>
      <c r="B15" s="41" t="s">
        <v>156</v>
      </c>
      <c r="C15" s="41" t="s">
        <v>157</v>
      </c>
      <c r="D15" s="41" t="str">
        <f t="shared" si="2"/>
        <v>Rachel O'Crowley</v>
      </c>
      <c r="E15" s="40"/>
      <c r="F15" s="42"/>
      <c r="G15" s="41" t="s">
        <v>33</v>
      </c>
      <c r="H15" s="41" t="s">
        <v>87</v>
      </c>
      <c r="I15" s="41" t="s">
        <v>29</v>
      </c>
      <c r="J15" s="43"/>
      <c r="K15" s="43">
        <f>IF(I15="Professional Billing Rate",J15,'Lists &amp; Settings'!$E$2)</f>
        <v>35.47</v>
      </c>
      <c r="L15" s="40"/>
    </row>
    <row r="16">
      <c r="A16" s="28" t="str">
        <f t="shared" si="1"/>
        <v>015</v>
      </c>
      <c r="B16" s="26" t="s">
        <v>159</v>
      </c>
      <c r="C16" s="26" t="s">
        <v>160</v>
      </c>
      <c r="D16" s="26" t="str">
        <f t="shared" si="2"/>
        <v>Samuel Abramson</v>
      </c>
      <c r="E16" s="28"/>
      <c r="F16" s="35"/>
      <c r="G16" s="26" t="s">
        <v>60</v>
      </c>
      <c r="H16" s="26" t="s">
        <v>87</v>
      </c>
      <c r="I16" s="26" t="s">
        <v>29</v>
      </c>
      <c r="J16" s="37"/>
      <c r="K16" s="37">
        <f>IF(I16="Professional Billing Rate",J16,'Lists &amp; Settings'!$E$2)</f>
        <v>35.47</v>
      </c>
      <c r="L16" s="28"/>
    </row>
    <row r="17">
      <c r="A17" s="40" t="str">
        <f t="shared" si="1"/>
        <v>016</v>
      </c>
      <c r="B17" s="41" t="s">
        <v>162</v>
      </c>
      <c r="C17" s="41" t="s">
        <v>163</v>
      </c>
      <c r="D17" s="41" t="str">
        <f t="shared" si="2"/>
        <v>Trevor McFarland</v>
      </c>
      <c r="E17" s="40"/>
      <c r="F17" s="42"/>
      <c r="G17" s="41" t="s">
        <v>60</v>
      </c>
      <c r="H17" s="41" t="s">
        <v>87</v>
      </c>
      <c r="I17" s="41" t="s">
        <v>29</v>
      </c>
      <c r="J17" s="43"/>
      <c r="K17" s="43">
        <f>IF(I17="Professional Billing Rate",J17,'Lists &amp; Settings'!$E$2)</f>
        <v>35.47</v>
      </c>
      <c r="L17" s="40"/>
    </row>
    <row r="18">
      <c r="A18" s="28" t="str">
        <f t="shared" si="1"/>
        <v>017</v>
      </c>
      <c r="B18" s="26" t="s">
        <v>166</v>
      </c>
      <c r="C18" s="26" t="s">
        <v>167</v>
      </c>
      <c r="D18" s="26" t="str">
        <f t="shared" si="2"/>
        <v>Michael Goodman</v>
      </c>
      <c r="E18" s="28"/>
      <c r="F18" s="35"/>
      <c r="G18" s="28"/>
      <c r="H18" s="26" t="s">
        <v>87</v>
      </c>
      <c r="I18" s="26" t="s">
        <v>29</v>
      </c>
      <c r="J18" s="37"/>
      <c r="K18" s="37">
        <f>IF(I18="Professional Billing Rate",J18,'Lists &amp; Settings'!$E$2)</f>
        <v>35.47</v>
      </c>
      <c r="L18" s="28"/>
    </row>
    <row r="19">
      <c r="A19" s="40" t="str">
        <f t="shared" si="1"/>
        <v/>
      </c>
      <c r="B19" s="40"/>
      <c r="C19" s="40"/>
      <c r="D19" s="41" t="str">
        <f t="shared" si="2"/>
        <v/>
      </c>
      <c r="E19" s="40"/>
      <c r="F19" s="42"/>
      <c r="G19" s="40"/>
      <c r="H19" s="40"/>
      <c r="I19" s="40"/>
      <c r="J19" s="43"/>
      <c r="K19" s="43">
        <f>IF(I19="Professional Billing Rate",J19,'Lists &amp; Settings'!$E$2)</f>
        <v>35.47</v>
      </c>
      <c r="L19" s="40"/>
    </row>
    <row r="20">
      <c r="A20" s="28" t="str">
        <f t="shared" si="1"/>
        <v/>
      </c>
      <c r="B20" s="28"/>
      <c r="C20" s="28"/>
      <c r="D20" s="26" t="str">
        <f t="shared" si="2"/>
        <v/>
      </c>
      <c r="E20" s="28"/>
      <c r="F20" s="35"/>
      <c r="G20" s="28"/>
      <c r="H20" s="28"/>
      <c r="I20" s="28"/>
      <c r="J20" s="37"/>
      <c r="K20" s="37">
        <f>IF(I20="Professional Billing Rate",J20,'Lists &amp; Settings'!$E$2)</f>
        <v>35.47</v>
      </c>
      <c r="L20" s="28"/>
    </row>
    <row r="21">
      <c r="A21" s="40" t="str">
        <f t="shared" si="1"/>
        <v/>
      </c>
      <c r="B21" s="40"/>
      <c r="C21" s="40"/>
      <c r="D21" s="41" t="str">
        <f t="shared" si="2"/>
        <v/>
      </c>
      <c r="E21" s="40"/>
      <c r="F21" s="42"/>
      <c r="G21" s="40"/>
      <c r="H21" s="40"/>
      <c r="I21" s="40"/>
      <c r="J21" s="43"/>
      <c r="K21" s="43">
        <f>IF(I21="Professional Billing Rate",J21,'Lists &amp; Settings'!$E$2)</f>
        <v>35.47</v>
      </c>
      <c r="L21" s="40"/>
    </row>
    <row r="22">
      <c r="A22" s="28" t="str">
        <f t="shared" si="1"/>
        <v/>
      </c>
      <c r="B22" s="28"/>
      <c r="C22" s="28"/>
      <c r="D22" s="26" t="str">
        <f t="shared" si="2"/>
        <v/>
      </c>
      <c r="E22" s="28"/>
      <c r="F22" s="35"/>
      <c r="G22" s="28"/>
      <c r="H22" s="28"/>
      <c r="I22" s="28"/>
      <c r="J22" s="37"/>
      <c r="K22" s="37">
        <f>IF(I22="Professional Billing Rate",J22,'Lists &amp; Settings'!$E$2)</f>
        <v>35.47</v>
      </c>
      <c r="L22" s="28"/>
    </row>
    <row r="23">
      <c r="A23" s="40" t="str">
        <f t="shared" si="1"/>
        <v/>
      </c>
      <c r="B23" s="40"/>
      <c r="C23" s="40"/>
      <c r="D23" s="41" t="str">
        <f t="shared" si="2"/>
        <v/>
      </c>
      <c r="E23" s="40"/>
      <c r="F23" s="42"/>
      <c r="G23" s="40"/>
      <c r="H23" s="40"/>
      <c r="I23" s="40"/>
      <c r="J23" s="43"/>
      <c r="K23" s="43">
        <f>IF(I23="Professional Billing Rate",J23,'Lists &amp; Settings'!$E$2)</f>
        <v>35.47</v>
      </c>
      <c r="L23" s="40"/>
    </row>
    <row r="24">
      <c r="A24" s="28" t="str">
        <f t="shared" si="1"/>
        <v/>
      </c>
      <c r="B24" s="28"/>
      <c r="C24" s="28"/>
      <c r="D24" s="26" t="str">
        <f t="shared" si="2"/>
        <v/>
      </c>
      <c r="E24" s="28"/>
      <c r="F24" s="35"/>
      <c r="G24" s="28"/>
      <c r="H24" s="28"/>
      <c r="I24" s="28"/>
      <c r="J24" s="37"/>
      <c r="K24" s="37">
        <f>IF(I24="Professional Billing Rate",J24,'Lists &amp; Settings'!$E$2)</f>
        <v>35.47</v>
      </c>
      <c r="L24" s="28"/>
    </row>
    <row r="25">
      <c r="A25" s="40" t="str">
        <f t="shared" si="1"/>
        <v/>
      </c>
      <c r="B25" s="40"/>
      <c r="C25" s="40"/>
      <c r="D25" s="41" t="str">
        <f t="shared" si="2"/>
        <v/>
      </c>
      <c r="E25" s="40"/>
      <c r="F25" s="42"/>
      <c r="G25" s="40"/>
      <c r="H25" s="40"/>
      <c r="I25" s="40"/>
      <c r="J25" s="43"/>
      <c r="K25" s="43">
        <f>IF(I25="Professional Billing Rate",J25,'Lists &amp; Settings'!$E$2)</f>
        <v>35.47</v>
      </c>
      <c r="L25" s="40"/>
    </row>
    <row r="26">
      <c r="A26" s="28" t="str">
        <f t="shared" si="1"/>
        <v/>
      </c>
      <c r="B26" s="28"/>
      <c r="C26" s="28"/>
      <c r="D26" s="26" t="str">
        <f t="shared" si="2"/>
        <v/>
      </c>
      <c r="E26" s="28"/>
      <c r="F26" s="35"/>
      <c r="G26" s="28"/>
      <c r="H26" s="28"/>
      <c r="I26" s="28"/>
      <c r="J26" s="37"/>
      <c r="K26" s="37">
        <f>IF(I26="Professional Billing Rate",J26,'Lists &amp; Settings'!$E$2)</f>
        <v>35.47</v>
      </c>
      <c r="L26" s="28"/>
    </row>
    <row r="27">
      <c r="A27" s="40" t="str">
        <f t="shared" si="1"/>
        <v/>
      </c>
      <c r="B27" s="40"/>
      <c r="C27" s="40"/>
      <c r="D27" s="41" t="str">
        <f t="shared" si="2"/>
        <v/>
      </c>
      <c r="E27" s="40"/>
      <c r="F27" s="42"/>
      <c r="G27" s="40"/>
      <c r="H27" s="40"/>
      <c r="I27" s="40"/>
      <c r="J27" s="43"/>
      <c r="K27" s="43">
        <f>IF(I27="Professional Billing Rate",J27,'Lists &amp; Settings'!$E$2)</f>
        <v>35.47</v>
      </c>
      <c r="L27" s="40"/>
    </row>
    <row r="28">
      <c r="A28" s="28" t="str">
        <f t="shared" si="1"/>
        <v/>
      </c>
      <c r="B28" s="28"/>
      <c r="C28" s="28"/>
      <c r="D28" s="26" t="str">
        <f t="shared" si="2"/>
        <v/>
      </c>
      <c r="E28" s="28"/>
      <c r="F28" s="35"/>
      <c r="G28" s="28"/>
      <c r="H28" s="28"/>
      <c r="I28" s="28"/>
      <c r="J28" s="37"/>
      <c r="K28" s="37">
        <f>IF(I28="Professional Billing Rate",J28,'Lists &amp; Settings'!$E$2)</f>
        <v>35.47</v>
      </c>
      <c r="L28" s="28"/>
    </row>
    <row r="29">
      <c r="A29" s="40" t="str">
        <f t="shared" si="1"/>
        <v/>
      </c>
      <c r="B29" s="40"/>
      <c r="C29" s="40"/>
      <c r="D29" s="41" t="str">
        <f t="shared" si="2"/>
        <v/>
      </c>
      <c r="E29" s="40"/>
      <c r="F29" s="42"/>
      <c r="G29" s="40"/>
      <c r="H29" s="40"/>
      <c r="I29" s="40"/>
      <c r="J29" s="43"/>
      <c r="K29" s="43">
        <f>IF(I29="Professional Billing Rate",J29,'Lists &amp; Settings'!$E$2)</f>
        <v>35.47</v>
      </c>
      <c r="L29" s="40"/>
    </row>
    <row r="30">
      <c r="A30" s="28" t="str">
        <f t="shared" si="1"/>
        <v/>
      </c>
      <c r="B30" s="28"/>
      <c r="C30" s="28"/>
      <c r="D30" s="26" t="str">
        <f t="shared" si="2"/>
        <v/>
      </c>
      <c r="E30" s="28"/>
      <c r="F30" s="35"/>
      <c r="G30" s="28"/>
      <c r="H30" s="28"/>
      <c r="I30" s="28"/>
      <c r="J30" s="37"/>
      <c r="K30" s="37">
        <f>IF(I30="Professional Billing Rate",J30,'Lists &amp; Settings'!$E$2)</f>
        <v>35.47</v>
      </c>
      <c r="L30" s="28"/>
    </row>
    <row r="31">
      <c r="A31" s="40" t="str">
        <f t="shared" si="1"/>
        <v/>
      </c>
      <c r="B31" s="40"/>
      <c r="C31" s="40"/>
      <c r="D31" s="41" t="str">
        <f t="shared" si="2"/>
        <v/>
      </c>
      <c r="E31" s="40"/>
      <c r="F31" s="42"/>
      <c r="G31" s="40"/>
      <c r="H31" s="40"/>
      <c r="I31" s="40"/>
      <c r="J31" s="43"/>
      <c r="K31" s="43">
        <f>IF(I31="Professional Billing Rate",J31,'Lists &amp; Settings'!$E$2)</f>
        <v>35.47</v>
      </c>
      <c r="L31" s="40"/>
    </row>
    <row r="32">
      <c r="A32" s="28" t="str">
        <f t="shared" si="1"/>
        <v/>
      </c>
      <c r="B32" s="28"/>
      <c r="C32" s="28"/>
      <c r="D32" s="26" t="str">
        <f t="shared" si="2"/>
        <v/>
      </c>
      <c r="E32" s="28"/>
      <c r="F32" s="35"/>
      <c r="G32" s="28"/>
      <c r="H32" s="28"/>
      <c r="I32" s="28"/>
      <c r="J32" s="37"/>
      <c r="K32" s="37">
        <f>IF(I32="Professional Billing Rate",J32,'Lists &amp; Settings'!$E$2)</f>
        <v>35.47</v>
      </c>
      <c r="L32" s="28"/>
    </row>
    <row r="33">
      <c r="A33" s="40" t="str">
        <f t="shared" si="1"/>
        <v/>
      </c>
      <c r="B33" s="40"/>
      <c r="C33" s="40"/>
      <c r="D33" s="41" t="str">
        <f t="shared" si="2"/>
        <v/>
      </c>
      <c r="E33" s="40"/>
      <c r="F33" s="42"/>
      <c r="G33" s="40"/>
      <c r="H33" s="40"/>
      <c r="I33" s="40"/>
      <c r="J33" s="43"/>
      <c r="K33" s="43">
        <f>IF(I33="Professional Billing Rate",J33,'Lists &amp; Settings'!$E$2)</f>
        <v>35.47</v>
      </c>
      <c r="L33" s="40"/>
    </row>
    <row r="34">
      <c r="A34" s="28" t="str">
        <f t="shared" si="1"/>
        <v/>
      </c>
      <c r="B34" s="28"/>
      <c r="C34" s="28"/>
      <c r="D34" s="26" t="str">
        <f t="shared" si="2"/>
        <v/>
      </c>
      <c r="E34" s="28"/>
      <c r="F34" s="35"/>
      <c r="G34" s="28"/>
      <c r="H34" s="28"/>
      <c r="I34" s="28"/>
      <c r="J34" s="37"/>
      <c r="K34" s="37">
        <f>IF(I34="Professional Billing Rate",J34,'Lists &amp; Settings'!$E$2)</f>
        <v>35.47</v>
      </c>
      <c r="L34" s="28"/>
    </row>
    <row r="35">
      <c r="A35" s="40" t="str">
        <f t="shared" si="1"/>
        <v/>
      </c>
      <c r="B35" s="40"/>
      <c r="C35" s="40"/>
      <c r="D35" s="41" t="str">
        <f t="shared" si="2"/>
        <v/>
      </c>
      <c r="E35" s="40"/>
      <c r="F35" s="42"/>
      <c r="G35" s="40"/>
      <c r="H35" s="40"/>
      <c r="I35" s="40"/>
      <c r="J35" s="43"/>
      <c r="K35" s="43">
        <f>IF(I35="Professional Billing Rate",J35,'Lists &amp; Settings'!$E$2)</f>
        <v>35.47</v>
      </c>
      <c r="L35" s="40"/>
    </row>
    <row r="36">
      <c r="A36" s="28" t="str">
        <f t="shared" si="1"/>
        <v/>
      </c>
      <c r="B36" s="28"/>
      <c r="C36" s="28"/>
      <c r="D36" s="26" t="str">
        <f t="shared" si="2"/>
        <v/>
      </c>
      <c r="E36" s="28"/>
      <c r="F36" s="35"/>
      <c r="G36" s="28"/>
      <c r="H36" s="28"/>
      <c r="I36" s="28"/>
      <c r="J36" s="37"/>
      <c r="K36" s="37">
        <f>IF(I36="Professional Billing Rate",J36,'Lists &amp; Settings'!$E$2)</f>
        <v>35.47</v>
      </c>
      <c r="L36" s="28"/>
    </row>
    <row r="37">
      <c r="A37" s="40" t="str">
        <f t="shared" si="1"/>
        <v/>
      </c>
      <c r="B37" s="40"/>
      <c r="C37" s="40"/>
      <c r="D37" s="41" t="str">
        <f t="shared" si="2"/>
        <v/>
      </c>
      <c r="E37" s="40"/>
      <c r="F37" s="42"/>
      <c r="G37" s="40"/>
      <c r="H37" s="40"/>
      <c r="I37" s="40"/>
      <c r="J37" s="43"/>
      <c r="K37" s="43">
        <f>IF(I37="Professional Billing Rate",J37,'Lists &amp; Settings'!$E$2)</f>
        <v>35.47</v>
      </c>
      <c r="L37" s="40"/>
    </row>
    <row r="38">
      <c r="A38" s="28" t="str">
        <f t="shared" si="1"/>
        <v/>
      </c>
      <c r="B38" s="28"/>
      <c r="C38" s="28"/>
      <c r="D38" s="26" t="str">
        <f t="shared" si="2"/>
        <v/>
      </c>
      <c r="E38" s="28"/>
      <c r="F38" s="35"/>
      <c r="G38" s="28"/>
      <c r="H38" s="28"/>
      <c r="I38" s="28"/>
      <c r="J38" s="37"/>
      <c r="K38" s="37">
        <f>IF(I38="Professional Billing Rate",J38,'Lists &amp; Settings'!$E$2)</f>
        <v>35.47</v>
      </c>
      <c r="L38" s="28"/>
    </row>
    <row r="39">
      <c r="A39" s="40" t="str">
        <f t="shared" si="1"/>
        <v/>
      </c>
      <c r="B39" s="40"/>
      <c r="C39" s="40"/>
      <c r="D39" s="41" t="str">
        <f t="shared" si="2"/>
        <v/>
      </c>
      <c r="E39" s="40"/>
      <c r="F39" s="42"/>
      <c r="G39" s="40"/>
      <c r="H39" s="40"/>
      <c r="I39" s="40"/>
      <c r="J39" s="43"/>
      <c r="K39" s="43">
        <f>IF(I39="Professional Billing Rate",J39,'Lists &amp; Settings'!$E$2)</f>
        <v>35.47</v>
      </c>
      <c r="L39" s="40"/>
    </row>
    <row r="40">
      <c r="A40" s="28" t="str">
        <f t="shared" si="1"/>
        <v/>
      </c>
      <c r="B40" s="28"/>
      <c r="C40" s="28"/>
      <c r="D40" s="26" t="str">
        <f t="shared" si="2"/>
        <v/>
      </c>
      <c r="E40" s="28"/>
      <c r="F40" s="35"/>
      <c r="G40" s="28"/>
      <c r="H40" s="28"/>
      <c r="I40" s="28"/>
      <c r="J40" s="37"/>
      <c r="K40" s="37">
        <f>IF(I40="Professional Billing Rate",J40,'Lists &amp; Settings'!$E$2)</f>
        <v>35.47</v>
      </c>
      <c r="L40" s="28"/>
    </row>
    <row r="41">
      <c r="A41" s="40" t="str">
        <f t="shared" si="1"/>
        <v/>
      </c>
      <c r="B41" s="40"/>
      <c r="C41" s="40"/>
      <c r="D41" s="41" t="str">
        <f t="shared" si="2"/>
        <v/>
      </c>
      <c r="E41" s="40"/>
      <c r="F41" s="42"/>
      <c r="G41" s="40"/>
      <c r="H41" s="40"/>
      <c r="I41" s="40"/>
      <c r="J41" s="43"/>
      <c r="K41" s="43">
        <f>IF(I41="Professional Billing Rate",J41,'Lists &amp; Settings'!$E$2)</f>
        <v>35.47</v>
      </c>
      <c r="L41" s="40"/>
    </row>
    <row r="42">
      <c r="A42" s="28" t="str">
        <f t="shared" si="1"/>
        <v/>
      </c>
      <c r="B42" s="28"/>
      <c r="C42" s="28"/>
      <c r="D42" s="26" t="str">
        <f t="shared" si="2"/>
        <v/>
      </c>
      <c r="E42" s="28"/>
      <c r="F42" s="35"/>
      <c r="G42" s="28"/>
      <c r="H42" s="28"/>
      <c r="I42" s="28"/>
      <c r="J42" s="37"/>
      <c r="K42" s="37">
        <f>IF(I42="Professional Billing Rate",J42,'Lists &amp; Settings'!$E$2)</f>
        <v>35.47</v>
      </c>
      <c r="L42" s="28"/>
    </row>
    <row r="43">
      <c r="A43" s="40" t="str">
        <f t="shared" si="1"/>
        <v/>
      </c>
      <c r="B43" s="40"/>
      <c r="C43" s="40"/>
      <c r="D43" s="41" t="str">
        <f t="shared" si="2"/>
        <v/>
      </c>
      <c r="E43" s="40"/>
      <c r="F43" s="42"/>
      <c r="G43" s="40"/>
      <c r="H43" s="40"/>
      <c r="I43" s="40"/>
      <c r="J43" s="43"/>
      <c r="K43" s="43">
        <f>IF(I43="Professional Billing Rate",J43,'Lists &amp; Settings'!$E$2)</f>
        <v>35.47</v>
      </c>
      <c r="L43" s="40"/>
    </row>
    <row r="44">
      <c r="A44" s="28" t="str">
        <f t="shared" si="1"/>
        <v/>
      </c>
      <c r="B44" s="28"/>
      <c r="C44" s="28"/>
      <c r="D44" s="26" t="str">
        <f t="shared" si="2"/>
        <v/>
      </c>
      <c r="E44" s="28"/>
      <c r="F44" s="35"/>
      <c r="G44" s="28"/>
      <c r="H44" s="28"/>
      <c r="I44" s="28"/>
      <c r="J44" s="37"/>
      <c r="K44" s="37">
        <f>IF(I44="Professional Billing Rate",J44,'Lists &amp; Settings'!$E$2)</f>
        <v>35.47</v>
      </c>
      <c r="L44" s="28"/>
    </row>
    <row r="45">
      <c r="A45" s="40" t="str">
        <f t="shared" si="1"/>
        <v/>
      </c>
      <c r="B45" s="40"/>
      <c r="C45" s="40"/>
      <c r="D45" s="41" t="str">
        <f t="shared" si="2"/>
        <v/>
      </c>
      <c r="E45" s="40"/>
      <c r="F45" s="42"/>
      <c r="G45" s="40"/>
      <c r="H45" s="40"/>
      <c r="I45" s="40"/>
      <c r="J45" s="43"/>
      <c r="K45" s="43">
        <f>IF(I45="Professional Billing Rate",J45,'Lists &amp; Settings'!$E$2)</f>
        <v>35.47</v>
      </c>
      <c r="L45" s="40"/>
    </row>
    <row r="46">
      <c r="A46" s="28" t="str">
        <f t="shared" si="1"/>
        <v/>
      </c>
      <c r="B46" s="28"/>
      <c r="C46" s="28"/>
      <c r="D46" s="26" t="str">
        <f t="shared" si="2"/>
        <v/>
      </c>
      <c r="E46" s="28"/>
      <c r="F46" s="35"/>
      <c r="G46" s="28"/>
      <c r="H46" s="28"/>
      <c r="I46" s="28"/>
      <c r="J46" s="37"/>
      <c r="K46" s="37">
        <f>IF(I46="Professional Billing Rate",J46,'Lists &amp; Settings'!$E$2)</f>
        <v>35.47</v>
      </c>
      <c r="L46" s="28"/>
    </row>
    <row r="47">
      <c r="A47" s="40" t="str">
        <f t="shared" si="1"/>
        <v/>
      </c>
      <c r="B47" s="40"/>
      <c r="C47" s="40"/>
      <c r="D47" s="41" t="str">
        <f t="shared" si="2"/>
        <v/>
      </c>
      <c r="E47" s="40"/>
      <c r="F47" s="42"/>
      <c r="G47" s="40"/>
      <c r="H47" s="40"/>
      <c r="I47" s="40"/>
      <c r="J47" s="43"/>
      <c r="K47" s="43">
        <f>IF(I47="Professional Billing Rate",J47,'Lists &amp; Settings'!$E$2)</f>
        <v>35.47</v>
      </c>
      <c r="L47" s="40"/>
    </row>
    <row r="48">
      <c r="A48" s="28" t="str">
        <f t="shared" si="1"/>
        <v/>
      </c>
      <c r="B48" s="28"/>
      <c r="C48" s="28"/>
      <c r="D48" s="26" t="str">
        <f t="shared" si="2"/>
        <v/>
      </c>
      <c r="E48" s="28"/>
      <c r="F48" s="35"/>
      <c r="G48" s="28"/>
      <c r="H48" s="28"/>
      <c r="I48" s="28"/>
      <c r="J48" s="37"/>
      <c r="K48" s="37">
        <f>IF(I48="Professional Billing Rate",J48,'Lists &amp; Settings'!$E$2)</f>
        <v>35.47</v>
      </c>
      <c r="L48" s="28"/>
    </row>
    <row r="49">
      <c r="A49" s="40" t="str">
        <f t="shared" si="1"/>
        <v/>
      </c>
      <c r="B49" s="40"/>
      <c r="C49" s="40"/>
      <c r="D49" s="41" t="str">
        <f t="shared" si="2"/>
        <v/>
      </c>
      <c r="E49" s="40"/>
      <c r="F49" s="42"/>
      <c r="G49" s="40"/>
      <c r="H49" s="40"/>
      <c r="I49" s="40"/>
      <c r="J49" s="43"/>
      <c r="K49" s="43">
        <f>IF(I49="Professional Billing Rate",J49,'Lists &amp; Settings'!$E$2)</f>
        <v>35.47</v>
      </c>
      <c r="L49" s="40"/>
    </row>
    <row r="50">
      <c r="A50" s="28" t="str">
        <f t="shared" si="1"/>
        <v/>
      </c>
      <c r="B50" s="28"/>
      <c r="C50" s="28"/>
      <c r="D50" s="26" t="str">
        <f t="shared" si="2"/>
        <v/>
      </c>
      <c r="E50" s="28"/>
      <c r="F50" s="35"/>
      <c r="G50" s="28"/>
      <c r="H50" s="28"/>
      <c r="I50" s="28"/>
      <c r="J50" s="37"/>
      <c r="K50" s="37">
        <f>IF(I50="Professional Billing Rate",J50,'Lists &amp; Settings'!$E$2)</f>
        <v>35.47</v>
      </c>
      <c r="L50" s="28"/>
    </row>
    <row r="51">
      <c r="A51" s="40" t="str">
        <f t="shared" si="1"/>
        <v/>
      </c>
      <c r="B51" s="40"/>
      <c r="C51" s="40"/>
      <c r="D51" s="41" t="str">
        <f t="shared" si="2"/>
        <v/>
      </c>
      <c r="E51" s="40"/>
      <c r="F51" s="42"/>
      <c r="G51" s="40"/>
      <c r="H51" s="40"/>
      <c r="I51" s="40"/>
      <c r="J51" s="43"/>
      <c r="K51" s="43">
        <f>IF(I51="Professional Billing Rate",J51,'Lists &amp; Settings'!$E$2)</f>
        <v>35.47</v>
      </c>
      <c r="L51" s="40"/>
    </row>
    <row r="52">
      <c r="A52" s="28" t="str">
        <f t="shared" si="1"/>
        <v/>
      </c>
      <c r="B52" s="28"/>
      <c r="C52" s="28"/>
      <c r="D52" s="26" t="str">
        <f t="shared" si="2"/>
        <v/>
      </c>
      <c r="E52" s="28"/>
      <c r="F52" s="35"/>
      <c r="G52" s="28"/>
      <c r="H52" s="28"/>
      <c r="I52" s="28"/>
      <c r="J52" s="37"/>
      <c r="K52" s="37">
        <f>IF(I52="Professional Billing Rate",J52,'Lists &amp; Settings'!$E$2)</f>
        <v>35.47</v>
      </c>
      <c r="L52" s="28"/>
    </row>
    <row r="53">
      <c r="A53" s="40" t="str">
        <f t="shared" si="1"/>
        <v/>
      </c>
      <c r="B53" s="40"/>
      <c r="C53" s="40"/>
      <c r="D53" s="41" t="str">
        <f t="shared" si="2"/>
        <v/>
      </c>
      <c r="E53" s="40"/>
      <c r="F53" s="42"/>
      <c r="G53" s="40"/>
      <c r="H53" s="40"/>
      <c r="I53" s="40"/>
      <c r="J53" s="43"/>
      <c r="K53" s="43">
        <f>IF(I53="Professional Billing Rate",J53,'Lists &amp; Settings'!$E$2)</f>
        <v>35.47</v>
      </c>
      <c r="L53" s="40"/>
    </row>
    <row r="54">
      <c r="A54" s="28" t="str">
        <f t="shared" si="1"/>
        <v/>
      </c>
      <c r="B54" s="28"/>
      <c r="C54" s="28"/>
      <c r="D54" s="26" t="str">
        <f t="shared" si="2"/>
        <v/>
      </c>
      <c r="E54" s="28"/>
      <c r="F54" s="35"/>
      <c r="G54" s="28"/>
      <c r="H54" s="28"/>
      <c r="I54" s="28"/>
      <c r="J54" s="37"/>
      <c r="K54" s="37">
        <f>IF(I54="Professional Billing Rate",J54,'Lists &amp; Settings'!$E$2)</f>
        <v>35.47</v>
      </c>
      <c r="L54" s="28"/>
    </row>
    <row r="55">
      <c r="A55" s="40" t="str">
        <f t="shared" si="1"/>
        <v/>
      </c>
      <c r="B55" s="40"/>
      <c r="C55" s="40"/>
      <c r="D55" s="41" t="str">
        <f t="shared" si="2"/>
        <v/>
      </c>
      <c r="E55" s="40"/>
      <c r="F55" s="42"/>
      <c r="G55" s="40"/>
      <c r="H55" s="40"/>
      <c r="I55" s="40"/>
      <c r="J55" s="43"/>
      <c r="K55" s="43">
        <f>IF(I55="Professional Billing Rate",J55,'Lists &amp; Settings'!$E$2)</f>
        <v>35.47</v>
      </c>
      <c r="L55" s="40"/>
    </row>
    <row r="56">
      <c r="A56" s="28" t="str">
        <f t="shared" si="1"/>
        <v/>
      </c>
      <c r="B56" s="28"/>
      <c r="C56" s="28"/>
      <c r="D56" s="26" t="str">
        <f t="shared" si="2"/>
        <v/>
      </c>
      <c r="E56" s="28"/>
      <c r="F56" s="35"/>
      <c r="G56" s="28"/>
      <c r="H56" s="28"/>
      <c r="I56" s="28"/>
      <c r="J56" s="37"/>
      <c r="K56" s="37">
        <f>IF(I56="Professional Billing Rate",J56,'Lists &amp; Settings'!$E$2)</f>
        <v>35.47</v>
      </c>
      <c r="L56" s="28"/>
    </row>
    <row r="57">
      <c r="A57" s="40" t="str">
        <f t="shared" si="1"/>
        <v/>
      </c>
      <c r="B57" s="40"/>
      <c r="C57" s="40"/>
      <c r="D57" s="41" t="str">
        <f t="shared" si="2"/>
        <v/>
      </c>
      <c r="E57" s="40"/>
      <c r="F57" s="42"/>
      <c r="G57" s="40"/>
      <c r="H57" s="40"/>
      <c r="I57" s="40"/>
      <c r="J57" s="43"/>
      <c r="K57" s="43">
        <f>IF(I57="Professional Billing Rate",J57,'Lists &amp; Settings'!$E$2)</f>
        <v>35.47</v>
      </c>
      <c r="L57" s="40"/>
    </row>
    <row r="58">
      <c r="A58" s="28" t="str">
        <f t="shared" si="1"/>
        <v/>
      </c>
      <c r="B58" s="28"/>
      <c r="C58" s="28"/>
      <c r="D58" s="26" t="str">
        <f t="shared" si="2"/>
        <v/>
      </c>
      <c r="E58" s="28"/>
      <c r="F58" s="35"/>
      <c r="G58" s="28"/>
      <c r="H58" s="28"/>
      <c r="I58" s="28"/>
      <c r="J58" s="37"/>
      <c r="K58" s="37">
        <f>IF(I58="Professional Billing Rate",J58,'Lists &amp; Settings'!$E$2)</f>
        <v>35.47</v>
      </c>
      <c r="L58" s="28"/>
    </row>
    <row r="59">
      <c r="A59" s="40" t="str">
        <f t="shared" si="1"/>
        <v/>
      </c>
      <c r="B59" s="40"/>
      <c r="C59" s="40"/>
      <c r="D59" s="41" t="str">
        <f t="shared" si="2"/>
        <v/>
      </c>
      <c r="E59" s="40"/>
      <c r="F59" s="42"/>
      <c r="G59" s="40"/>
      <c r="H59" s="40"/>
      <c r="I59" s="40"/>
      <c r="J59" s="43"/>
      <c r="K59" s="43">
        <f>IF(I59="Professional Billing Rate",J59,'Lists &amp; Settings'!$E$2)</f>
        <v>35.47</v>
      </c>
      <c r="L59" s="40"/>
    </row>
    <row r="60">
      <c r="A60" s="28" t="str">
        <f t="shared" si="1"/>
        <v/>
      </c>
      <c r="B60" s="28"/>
      <c r="C60" s="28"/>
      <c r="D60" s="26" t="str">
        <f t="shared" si="2"/>
        <v/>
      </c>
      <c r="E60" s="28"/>
      <c r="F60" s="35"/>
      <c r="G60" s="28"/>
      <c r="H60" s="28"/>
      <c r="I60" s="28"/>
      <c r="J60" s="37"/>
      <c r="K60" s="37">
        <f>IF(I60="Professional Billing Rate",J60,'Lists &amp; Settings'!$E$2)</f>
        <v>35.47</v>
      </c>
      <c r="L60" s="28"/>
    </row>
    <row r="61">
      <c r="A61" s="40" t="str">
        <f t="shared" si="1"/>
        <v/>
      </c>
      <c r="B61" s="40"/>
      <c r="C61" s="40"/>
      <c r="D61" s="41" t="str">
        <f t="shared" si="2"/>
        <v/>
      </c>
      <c r="E61" s="40"/>
      <c r="F61" s="42"/>
      <c r="G61" s="40"/>
      <c r="H61" s="40"/>
      <c r="I61" s="40"/>
      <c r="J61" s="43"/>
      <c r="K61" s="43">
        <f>IF(I61="Professional Billing Rate",J61,'Lists &amp; Settings'!$E$2)</f>
        <v>35.47</v>
      </c>
      <c r="L61" s="40"/>
    </row>
    <row r="62">
      <c r="A62" s="28" t="str">
        <f t="shared" si="1"/>
        <v/>
      </c>
      <c r="B62" s="28"/>
      <c r="C62" s="28"/>
      <c r="D62" s="26" t="str">
        <f t="shared" si="2"/>
        <v/>
      </c>
      <c r="E62" s="28"/>
      <c r="F62" s="35"/>
      <c r="G62" s="28"/>
      <c r="H62" s="28"/>
      <c r="I62" s="28"/>
      <c r="J62" s="37"/>
      <c r="K62" s="37">
        <f>IF(I62="Professional Billing Rate",J62,'Lists &amp; Settings'!$E$2)</f>
        <v>35.47</v>
      </c>
      <c r="L62" s="28"/>
    </row>
    <row r="63">
      <c r="A63" s="40" t="str">
        <f t="shared" si="1"/>
        <v/>
      </c>
      <c r="B63" s="40"/>
      <c r="C63" s="40"/>
      <c r="D63" s="41" t="str">
        <f t="shared" si="2"/>
        <v/>
      </c>
      <c r="E63" s="40"/>
      <c r="F63" s="42"/>
      <c r="G63" s="40"/>
      <c r="H63" s="40"/>
      <c r="I63" s="40"/>
      <c r="J63" s="43"/>
      <c r="K63" s="43">
        <f>IF(I63="Professional Billing Rate",J63,'Lists &amp; Settings'!$E$2)</f>
        <v>35.47</v>
      </c>
      <c r="L63" s="40"/>
    </row>
    <row r="64">
      <c r="A64" s="28" t="str">
        <f t="shared" si="1"/>
        <v/>
      </c>
      <c r="B64" s="28"/>
      <c r="C64" s="28"/>
      <c r="D64" s="26" t="str">
        <f t="shared" si="2"/>
        <v/>
      </c>
      <c r="E64" s="28"/>
      <c r="F64" s="35"/>
      <c r="G64" s="28"/>
      <c r="H64" s="28"/>
      <c r="I64" s="28"/>
      <c r="J64" s="37"/>
      <c r="K64" s="37">
        <f>IF(I64="Professional Billing Rate",J64,'Lists &amp; Settings'!$E$2)</f>
        <v>35.47</v>
      </c>
      <c r="L64" s="28"/>
    </row>
    <row r="65">
      <c r="A65" s="40" t="str">
        <f t="shared" si="1"/>
        <v/>
      </c>
      <c r="B65" s="40"/>
      <c r="C65" s="40"/>
      <c r="D65" s="41" t="str">
        <f t="shared" si="2"/>
        <v/>
      </c>
      <c r="E65" s="40"/>
      <c r="F65" s="42"/>
      <c r="G65" s="40"/>
      <c r="H65" s="40"/>
      <c r="I65" s="40"/>
      <c r="J65" s="43"/>
      <c r="K65" s="43">
        <f>IF(I65="Professional Billing Rate",J65,'Lists &amp; Settings'!$E$2)</f>
        <v>35.47</v>
      </c>
      <c r="L65" s="40"/>
    </row>
    <row r="66">
      <c r="A66" s="28" t="str">
        <f t="shared" si="1"/>
        <v/>
      </c>
      <c r="B66" s="28"/>
      <c r="C66" s="28"/>
      <c r="D66" s="26" t="str">
        <f t="shared" si="2"/>
        <v/>
      </c>
      <c r="E66" s="28"/>
      <c r="F66" s="35"/>
      <c r="G66" s="28"/>
      <c r="H66" s="28"/>
      <c r="I66" s="28"/>
      <c r="J66" s="37"/>
      <c r="K66" s="37">
        <f>IF(I66="Professional Billing Rate",J66,'Lists &amp; Settings'!$E$2)</f>
        <v>35.47</v>
      </c>
      <c r="L66" s="28"/>
    </row>
    <row r="67">
      <c r="A67" s="40" t="str">
        <f t="shared" si="1"/>
        <v/>
      </c>
      <c r="B67" s="40"/>
      <c r="C67" s="40"/>
      <c r="D67" s="41" t="str">
        <f t="shared" si="2"/>
        <v/>
      </c>
      <c r="E67" s="40"/>
      <c r="F67" s="42"/>
      <c r="G67" s="40"/>
      <c r="H67" s="40"/>
      <c r="I67" s="40"/>
      <c r="J67" s="43"/>
      <c r="K67" s="43">
        <f>IF(I67="Professional Billing Rate",J67,'Lists &amp; Settings'!$E$2)</f>
        <v>35.47</v>
      </c>
      <c r="L67" s="40"/>
    </row>
    <row r="68">
      <c r="A68" s="28" t="str">
        <f t="shared" si="1"/>
        <v/>
      </c>
      <c r="B68" s="28"/>
      <c r="C68" s="28"/>
      <c r="D68" s="26" t="str">
        <f t="shared" si="2"/>
        <v/>
      </c>
      <c r="E68" s="28"/>
      <c r="F68" s="35"/>
      <c r="G68" s="28"/>
      <c r="H68" s="28"/>
      <c r="I68" s="28"/>
      <c r="J68" s="37"/>
      <c r="K68" s="37">
        <f>IF(I68="Professional Billing Rate",J68,'Lists &amp; Settings'!$E$2)</f>
        <v>35.47</v>
      </c>
      <c r="L68" s="28"/>
    </row>
    <row r="69">
      <c r="A69" s="40" t="str">
        <f t="shared" si="1"/>
        <v/>
      </c>
      <c r="B69" s="40"/>
      <c r="C69" s="40"/>
      <c r="D69" s="41" t="str">
        <f t="shared" si="2"/>
        <v/>
      </c>
      <c r="E69" s="40"/>
      <c r="F69" s="42"/>
      <c r="G69" s="40"/>
      <c r="H69" s="40"/>
      <c r="I69" s="40"/>
      <c r="J69" s="43"/>
      <c r="K69" s="43">
        <f>IF(I69="Professional Billing Rate",J69,'Lists &amp; Settings'!$E$2)</f>
        <v>35.47</v>
      </c>
      <c r="L69" s="40"/>
    </row>
    <row r="70">
      <c r="A70" s="28" t="str">
        <f t="shared" si="1"/>
        <v/>
      </c>
      <c r="B70" s="28"/>
      <c r="C70" s="28"/>
      <c r="D70" s="26" t="str">
        <f t="shared" si="2"/>
        <v/>
      </c>
      <c r="E70" s="28"/>
      <c r="F70" s="35"/>
      <c r="G70" s="28"/>
      <c r="H70" s="28"/>
      <c r="I70" s="28"/>
      <c r="J70" s="37"/>
      <c r="K70" s="37">
        <f>IF(I70="Professional Billing Rate",J70,'Lists &amp; Settings'!$E$2)</f>
        <v>35.47</v>
      </c>
      <c r="L70" s="28"/>
    </row>
    <row r="71">
      <c r="A71" s="40" t="str">
        <f t="shared" si="1"/>
        <v/>
      </c>
      <c r="B71" s="40"/>
      <c r="C71" s="40"/>
      <c r="D71" s="41" t="str">
        <f t="shared" si="2"/>
        <v/>
      </c>
      <c r="E71" s="40"/>
      <c r="F71" s="42"/>
      <c r="G71" s="40"/>
      <c r="H71" s="40"/>
      <c r="I71" s="40"/>
      <c r="J71" s="43"/>
      <c r="K71" s="43">
        <f>IF(I71="Professional Billing Rate",J71,'Lists &amp; Settings'!$E$2)</f>
        <v>35.47</v>
      </c>
      <c r="L71" s="40"/>
    </row>
    <row r="72">
      <c r="A72" s="28" t="str">
        <f t="shared" si="1"/>
        <v/>
      </c>
      <c r="B72" s="28"/>
      <c r="C72" s="28"/>
      <c r="D72" s="26" t="str">
        <f t="shared" si="2"/>
        <v/>
      </c>
      <c r="E72" s="28"/>
      <c r="F72" s="35"/>
      <c r="G72" s="28"/>
      <c r="H72" s="28"/>
      <c r="I72" s="28"/>
      <c r="J72" s="37"/>
      <c r="K72" s="37">
        <f>IF(I72="Professional Billing Rate",J72,'Lists &amp; Settings'!$E$2)</f>
        <v>35.47</v>
      </c>
      <c r="L72" s="28"/>
    </row>
    <row r="73">
      <c r="A73" s="40" t="str">
        <f t="shared" si="1"/>
        <v/>
      </c>
      <c r="B73" s="40"/>
      <c r="C73" s="40"/>
      <c r="D73" s="41" t="str">
        <f t="shared" si="2"/>
        <v/>
      </c>
      <c r="E73" s="40"/>
      <c r="F73" s="42"/>
      <c r="G73" s="40"/>
      <c r="H73" s="40"/>
      <c r="I73" s="40"/>
      <c r="J73" s="43"/>
      <c r="K73" s="43">
        <f>IF(I73="Professional Billing Rate",J73,'Lists &amp; Settings'!$E$2)</f>
        <v>35.47</v>
      </c>
      <c r="L73" s="40"/>
    </row>
    <row r="74">
      <c r="A74" s="28" t="str">
        <f t="shared" si="1"/>
        <v/>
      </c>
      <c r="B74" s="28"/>
      <c r="C74" s="28"/>
      <c r="D74" s="26" t="str">
        <f t="shared" si="2"/>
        <v/>
      </c>
      <c r="E74" s="28"/>
      <c r="F74" s="35"/>
      <c r="G74" s="28"/>
      <c r="H74" s="28"/>
      <c r="I74" s="28"/>
      <c r="J74" s="37"/>
      <c r="K74" s="37">
        <f>IF(I74="Professional Billing Rate",J74,'Lists &amp; Settings'!$E$2)</f>
        <v>35.47</v>
      </c>
      <c r="L74" s="28"/>
    </row>
    <row r="75">
      <c r="A75" s="40" t="str">
        <f t="shared" si="1"/>
        <v/>
      </c>
      <c r="B75" s="40"/>
      <c r="C75" s="40"/>
      <c r="D75" s="41" t="str">
        <f t="shared" si="2"/>
        <v/>
      </c>
      <c r="E75" s="40"/>
      <c r="F75" s="42"/>
      <c r="G75" s="40"/>
      <c r="H75" s="40"/>
      <c r="I75" s="40"/>
      <c r="J75" s="43"/>
      <c r="K75" s="43">
        <f>IF(I75="Professional Billing Rate",J75,'Lists &amp; Settings'!$E$2)</f>
        <v>35.47</v>
      </c>
      <c r="L75" s="40"/>
    </row>
    <row r="76">
      <c r="A76" s="28" t="str">
        <f t="shared" si="1"/>
        <v/>
      </c>
      <c r="B76" s="28"/>
      <c r="C76" s="28"/>
      <c r="D76" s="26" t="str">
        <f t="shared" si="2"/>
        <v/>
      </c>
      <c r="E76" s="28"/>
      <c r="F76" s="35"/>
      <c r="G76" s="28"/>
      <c r="H76" s="28"/>
      <c r="I76" s="28"/>
      <c r="J76" s="37"/>
      <c r="K76" s="37">
        <f>IF(I76="Professional Billing Rate",J76,'Lists &amp; Settings'!$E$2)</f>
        <v>35.47</v>
      </c>
      <c r="L76" s="28"/>
    </row>
    <row r="77">
      <c r="A77" s="40" t="str">
        <f t="shared" si="1"/>
        <v/>
      </c>
      <c r="B77" s="40"/>
      <c r="C77" s="40"/>
      <c r="D77" s="41" t="str">
        <f t="shared" si="2"/>
        <v/>
      </c>
      <c r="E77" s="40"/>
      <c r="F77" s="42"/>
      <c r="G77" s="40"/>
      <c r="H77" s="40"/>
      <c r="I77" s="40"/>
      <c r="J77" s="43"/>
      <c r="K77" s="43">
        <f>IF(I77="Professional Billing Rate",J77,'Lists &amp; Settings'!$E$2)</f>
        <v>35.47</v>
      </c>
      <c r="L77" s="40"/>
    </row>
    <row r="78">
      <c r="A78" s="28" t="str">
        <f t="shared" si="1"/>
        <v/>
      </c>
      <c r="B78" s="28"/>
      <c r="C78" s="28"/>
      <c r="D78" s="26" t="str">
        <f t="shared" si="2"/>
        <v/>
      </c>
      <c r="E78" s="28"/>
      <c r="F78" s="35"/>
      <c r="G78" s="28"/>
      <c r="H78" s="28"/>
      <c r="I78" s="28"/>
      <c r="J78" s="37"/>
      <c r="K78" s="37">
        <f>IF(I78="Professional Billing Rate",J78,'Lists &amp; Settings'!$E$2)</f>
        <v>35.47</v>
      </c>
      <c r="L78" s="28"/>
    </row>
    <row r="79">
      <c r="A79" s="40" t="str">
        <f t="shared" si="1"/>
        <v/>
      </c>
      <c r="B79" s="40"/>
      <c r="C79" s="40"/>
      <c r="D79" s="41" t="str">
        <f t="shared" si="2"/>
        <v/>
      </c>
      <c r="E79" s="40"/>
      <c r="F79" s="42"/>
      <c r="G79" s="40"/>
      <c r="H79" s="40"/>
      <c r="I79" s="40"/>
      <c r="J79" s="43"/>
      <c r="K79" s="43">
        <f>IF(I79="Professional Billing Rate",J79,'Lists &amp; Settings'!$E$2)</f>
        <v>35.47</v>
      </c>
      <c r="L79" s="40"/>
    </row>
    <row r="80">
      <c r="A80" s="28" t="str">
        <f t="shared" si="1"/>
        <v/>
      </c>
      <c r="B80" s="28"/>
      <c r="C80" s="28"/>
      <c r="D80" s="26" t="str">
        <f t="shared" si="2"/>
        <v/>
      </c>
      <c r="E80" s="28"/>
      <c r="F80" s="35"/>
      <c r="G80" s="28"/>
      <c r="H80" s="28"/>
      <c r="I80" s="28"/>
      <c r="J80" s="37"/>
      <c r="K80" s="37">
        <f>IF(I80="Professional Billing Rate",J80,'Lists &amp; Settings'!$E$2)</f>
        <v>35.47</v>
      </c>
      <c r="L80" s="28"/>
    </row>
    <row r="81">
      <c r="A81" s="40" t="str">
        <f t="shared" si="1"/>
        <v/>
      </c>
      <c r="B81" s="40"/>
      <c r="C81" s="40"/>
      <c r="D81" s="41" t="str">
        <f t="shared" si="2"/>
        <v/>
      </c>
      <c r="E81" s="40"/>
      <c r="F81" s="42"/>
      <c r="G81" s="40"/>
      <c r="H81" s="40"/>
      <c r="I81" s="40"/>
      <c r="J81" s="43"/>
      <c r="K81" s="43">
        <f>IF(I81="Professional Billing Rate",J81,'Lists &amp; Settings'!$E$2)</f>
        <v>35.47</v>
      </c>
      <c r="L81" s="40"/>
    </row>
    <row r="82">
      <c r="A82" s="28" t="str">
        <f t="shared" si="1"/>
        <v/>
      </c>
      <c r="B82" s="28"/>
      <c r="C82" s="28"/>
      <c r="D82" s="26" t="str">
        <f t="shared" si="2"/>
        <v/>
      </c>
      <c r="E82" s="28"/>
      <c r="F82" s="35"/>
      <c r="G82" s="28"/>
      <c r="H82" s="28"/>
      <c r="I82" s="28"/>
      <c r="J82" s="37"/>
      <c r="K82" s="37">
        <f>IF(I82="Professional Billing Rate",J82,'Lists &amp; Settings'!$E$2)</f>
        <v>35.47</v>
      </c>
      <c r="L82" s="28"/>
    </row>
    <row r="83">
      <c r="A83" s="40" t="str">
        <f t="shared" si="1"/>
        <v/>
      </c>
      <c r="B83" s="40"/>
      <c r="C83" s="40"/>
      <c r="D83" s="41" t="str">
        <f t="shared" si="2"/>
        <v/>
      </c>
      <c r="E83" s="40"/>
      <c r="F83" s="42"/>
      <c r="G83" s="40"/>
      <c r="H83" s="40"/>
      <c r="I83" s="40"/>
      <c r="J83" s="43"/>
      <c r="K83" s="43">
        <f>IF(I83="Professional Billing Rate",J83,'Lists &amp; Settings'!$E$2)</f>
        <v>35.47</v>
      </c>
      <c r="L83" s="40"/>
    </row>
    <row r="84">
      <c r="A84" s="28" t="str">
        <f t="shared" si="1"/>
        <v/>
      </c>
      <c r="B84" s="28"/>
      <c r="C84" s="28"/>
      <c r="D84" s="26" t="str">
        <f t="shared" si="2"/>
        <v/>
      </c>
      <c r="E84" s="28"/>
      <c r="F84" s="35"/>
      <c r="G84" s="28"/>
      <c r="H84" s="28"/>
      <c r="I84" s="28"/>
      <c r="J84" s="37"/>
      <c r="K84" s="37">
        <f>IF(I84="Professional Billing Rate",J84,'Lists &amp; Settings'!$E$2)</f>
        <v>35.47</v>
      </c>
      <c r="L84" s="28"/>
    </row>
    <row r="85">
      <c r="A85" s="40" t="str">
        <f t="shared" si="1"/>
        <v/>
      </c>
      <c r="B85" s="40"/>
      <c r="C85" s="40"/>
      <c r="D85" s="41" t="str">
        <f t="shared" si="2"/>
        <v/>
      </c>
      <c r="E85" s="40"/>
      <c r="F85" s="42"/>
      <c r="G85" s="40"/>
      <c r="H85" s="40"/>
      <c r="I85" s="40"/>
      <c r="J85" s="43"/>
      <c r="K85" s="43">
        <f>IF(I85="Professional Billing Rate",J85,'Lists &amp; Settings'!$E$2)</f>
        <v>35.47</v>
      </c>
      <c r="L85" s="40"/>
    </row>
    <row r="86">
      <c r="A86" s="28" t="str">
        <f t="shared" si="1"/>
        <v/>
      </c>
      <c r="B86" s="28"/>
      <c r="C86" s="28"/>
      <c r="D86" s="26" t="str">
        <f t="shared" si="2"/>
        <v/>
      </c>
      <c r="E86" s="28"/>
      <c r="F86" s="35"/>
      <c r="G86" s="28"/>
      <c r="H86" s="28"/>
      <c r="I86" s="28"/>
      <c r="J86" s="37"/>
      <c r="K86" s="37">
        <f>IF(I86="Professional Billing Rate",J86,'Lists &amp; Settings'!$E$2)</f>
        <v>35.47</v>
      </c>
      <c r="L86" s="28"/>
    </row>
    <row r="87">
      <c r="A87" s="40" t="str">
        <f t="shared" si="1"/>
        <v/>
      </c>
      <c r="B87" s="40"/>
      <c r="C87" s="40"/>
      <c r="D87" s="41" t="str">
        <f t="shared" si="2"/>
        <v/>
      </c>
      <c r="E87" s="40"/>
      <c r="F87" s="42"/>
      <c r="G87" s="40"/>
      <c r="H87" s="40"/>
      <c r="I87" s="40"/>
      <c r="J87" s="43"/>
      <c r="K87" s="43">
        <f>IF(I87="Professional Billing Rate",J87,'Lists &amp; Settings'!$E$2)</f>
        <v>35.47</v>
      </c>
      <c r="L87" s="40"/>
    </row>
    <row r="88">
      <c r="A88" s="28" t="str">
        <f t="shared" si="1"/>
        <v/>
      </c>
      <c r="B88" s="28"/>
      <c r="C88" s="28"/>
      <c r="D88" s="26" t="str">
        <f t="shared" si="2"/>
        <v/>
      </c>
      <c r="E88" s="28"/>
      <c r="F88" s="35"/>
      <c r="G88" s="28"/>
      <c r="H88" s="28"/>
      <c r="I88" s="28"/>
      <c r="J88" s="37"/>
      <c r="K88" s="37">
        <f>IF(I88="Professional Billing Rate",J88,'Lists &amp; Settings'!$E$2)</f>
        <v>35.47</v>
      </c>
      <c r="L88" s="28"/>
    </row>
    <row r="89">
      <c r="A89" s="40" t="str">
        <f t="shared" si="1"/>
        <v/>
      </c>
      <c r="B89" s="40"/>
      <c r="C89" s="40"/>
      <c r="D89" s="41" t="str">
        <f t="shared" si="2"/>
        <v/>
      </c>
      <c r="E89" s="40"/>
      <c r="F89" s="42"/>
      <c r="G89" s="40"/>
      <c r="H89" s="40"/>
      <c r="I89" s="40"/>
      <c r="J89" s="43"/>
      <c r="K89" s="43">
        <f>IF(I89="Professional Billing Rate",J89,'Lists &amp; Settings'!$E$2)</f>
        <v>35.47</v>
      </c>
      <c r="L89" s="40"/>
    </row>
    <row r="90">
      <c r="A90" s="28" t="str">
        <f t="shared" si="1"/>
        <v/>
      </c>
      <c r="B90" s="28"/>
      <c r="C90" s="28"/>
      <c r="D90" s="26" t="str">
        <f t="shared" si="2"/>
        <v/>
      </c>
      <c r="E90" s="28"/>
      <c r="F90" s="35"/>
      <c r="G90" s="28"/>
      <c r="H90" s="28"/>
      <c r="I90" s="28"/>
      <c r="J90" s="37"/>
      <c r="K90" s="37">
        <f>IF(I90="Professional Billing Rate",J90,'Lists &amp; Settings'!$E$2)</f>
        <v>35.47</v>
      </c>
      <c r="L90" s="28"/>
    </row>
    <row r="91">
      <c r="A91" s="40" t="str">
        <f t="shared" si="1"/>
        <v/>
      </c>
      <c r="B91" s="40"/>
      <c r="C91" s="40"/>
      <c r="D91" s="41" t="str">
        <f t="shared" si="2"/>
        <v/>
      </c>
      <c r="E91" s="40"/>
      <c r="F91" s="42"/>
      <c r="G91" s="40"/>
      <c r="H91" s="40"/>
      <c r="I91" s="40"/>
      <c r="J91" s="43"/>
      <c r="K91" s="43">
        <f>IF(I91="Professional Billing Rate",J91,'Lists &amp; Settings'!$E$2)</f>
        <v>35.47</v>
      </c>
      <c r="L91" s="40"/>
    </row>
    <row r="92">
      <c r="A92" s="28" t="str">
        <f t="shared" si="1"/>
        <v/>
      </c>
      <c r="B92" s="28"/>
      <c r="C92" s="28"/>
      <c r="D92" s="26" t="str">
        <f t="shared" si="2"/>
        <v/>
      </c>
      <c r="E92" s="28"/>
      <c r="F92" s="35"/>
      <c r="G92" s="28"/>
      <c r="H92" s="28"/>
      <c r="I92" s="28"/>
      <c r="J92" s="37"/>
      <c r="K92" s="37">
        <f>IF(I92="Professional Billing Rate",J92,'Lists &amp; Settings'!$E$2)</f>
        <v>35.47</v>
      </c>
      <c r="L92" s="28"/>
    </row>
    <row r="93">
      <c r="A93" s="40" t="str">
        <f t="shared" si="1"/>
        <v/>
      </c>
      <c r="B93" s="40"/>
      <c r="C93" s="40"/>
      <c r="D93" s="41" t="str">
        <f t="shared" si="2"/>
        <v/>
      </c>
      <c r="E93" s="40"/>
      <c r="F93" s="42"/>
      <c r="G93" s="40"/>
      <c r="H93" s="40"/>
      <c r="I93" s="40"/>
      <c r="J93" s="43"/>
      <c r="K93" s="43">
        <f>IF(I93="Professional Billing Rate",J93,'Lists &amp; Settings'!$E$2)</f>
        <v>35.47</v>
      </c>
      <c r="L93" s="40"/>
    </row>
    <row r="94">
      <c r="A94" s="28" t="str">
        <f t="shared" si="1"/>
        <v/>
      </c>
      <c r="B94" s="28"/>
      <c r="C94" s="28"/>
      <c r="D94" s="26" t="str">
        <f t="shared" si="2"/>
        <v/>
      </c>
      <c r="E94" s="28"/>
      <c r="F94" s="35"/>
      <c r="G94" s="28"/>
      <c r="H94" s="28"/>
      <c r="I94" s="28"/>
      <c r="J94" s="37"/>
      <c r="K94" s="37">
        <f>IF(I94="Professional Billing Rate",J94,'Lists &amp; Settings'!$E$2)</f>
        <v>35.47</v>
      </c>
      <c r="L94" s="28"/>
    </row>
    <row r="95">
      <c r="A95" s="40" t="str">
        <f t="shared" si="1"/>
        <v/>
      </c>
      <c r="B95" s="40"/>
      <c r="C95" s="40"/>
      <c r="D95" s="41" t="str">
        <f t="shared" si="2"/>
        <v/>
      </c>
      <c r="E95" s="40"/>
      <c r="F95" s="42"/>
      <c r="G95" s="40"/>
      <c r="H95" s="40"/>
      <c r="I95" s="40"/>
      <c r="J95" s="43"/>
      <c r="K95" s="43">
        <f>IF(I95="Professional Billing Rate",J95,'Lists &amp; Settings'!$E$2)</f>
        <v>35.47</v>
      </c>
      <c r="L95" s="40"/>
    </row>
    <row r="96">
      <c r="A96" s="28" t="str">
        <f t="shared" si="1"/>
        <v/>
      </c>
      <c r="B96" s="28"/>
      <c r="C96" s="28"/>
      <c r="D96" s="26" t="str">
        <f t="shared" si="2"/>
        <v/>
      </c>
      <c r="E96" s="28"/>
      <c r="F96" s="35"/>
      <c r="G96" s="28"/>
      <c r="H96" s="28"/>
      <c r="I96" s="28"/>
      <c r="J96" s="37"/>
      <c r="K96" s="37">
        <f>IF(I96="Professional Billing Rate",J96,'Lists &amp; Settings'!$E$2)</f>
        <v>35.47</v>
      </c>
      <c r="L96" s="28"/>
    </row>
    <row r="97">
      <c r="A97" s="40" t="str">
        <f t="shared" si="1"/>
        <v/>
      </c>
      <c r="B97" s="40"/>
      <c r="C97" s="40"/>
      <c r="D97" s="41" t="str">
        <f t="shared" si="2"/>
        <v/>
      </c>
      <c r="E97" s="40"/>
      <c r="F97" s="42"/>
      <c r="G97" s="40"/>
      <c r="H97" s="40"/>
      <c r="I97" s="40"/>
      <c r="J97" s="43"/>
      <c r="K97" s="43">
        <f>IF(I97="Professional Billing Rate",J97,'Lists &amp; Settings'!$E$2)</f>
        <v>35.47</v>
      </c>
      <c r="L97" s="40"/>
    </row>
    <row r="98">
      <c r="A98" s="28" t="str">
        <f t="shared" si="1"/>
        <v/>
      </c>
      <c r="B98" s="28"/>
      <c r="C98" s="28"/>
      <c r="D98" s="26" t="str">
        <f t="shared" si="2"/>
        <v/>
      </c>
      <c r="E98" s="28"/>
      <c r="F98" s="35"/>
      <c r="G98" s="28"/>
      <c r="H98" s="28"/>
      <c r="I98" s="28"/>
      <c r="J98" s="37"/>
      <c r="K98" s="37">
        <f>IF(I98="Professional Billing Rate",J98,'Lists &amp; Settings'!$E$2)</f>
        <v>35.47</v>
      </c>
      <c r="L98" s="28"/>
    </row>
    <row r="99">
      <c r="A99" s="40" t="str">
        <f t="shared" si="1"/>
        <v/>
      </c>
      <c r="B99" s="40"/>
      <c r="C99" s="40"/>
      <c r="D99" s="41" t="str">
        <f t="shared" si="2"/>
        <v/>
      </c>
      <c r="E99" s="40"/>
      <c r="F99" s="42"/>
      <c r="G99" s="40"/>
      <c r="H99" s="40"/>
      <c r="I99" s="40"/>
      <c r="J99" s="43"/>
      <c r="K99" s="43">
        <f>IF(I99="Professional Billing Rate",J99,'Lists &amp; Settings'!$E$2)</f>
        <v>35.47</v>
      </c>
      <c r="L99" s="40"/>
    </row>
    <row r="100">
      <c r="A100" s="28" t="str">
        <f t="shared" si="1"/>
        <v/>
      </c>
      <c r="B100" s="28"/>
      <c r="C100" s="28"/>
      <c r="D100" s="26" t="str">
        <f t="shared" si="2"/>
        <v/>
      </c>
      <c r="E100" s="28"/>
      <c r="F100" s="35"/>
      <c r="G100" s="28"/>
      <c r="H100" s="28"/>
      <c r="I100" s="28"/>
      <c r="J100" s="37"/>
      <c r="K100" s="37">
        <f>IF(I100="Professional Billing Rate",J100,'Lists &amp; Settings'!$E$2)</f>
        <v>35.47</v>
      </c>
      <c r="L100" s="28"/>
    </row>
    <row r="101">
      <c r="A101" s="40" t="str">
        <f t="shared" si="1"/>
        <v/>
      </c>
      <c r="B101" s="40"/>
      <c r="C101" s="40"/>
      <c r="D101" s="41" t="str">
        <f t="shared" si="2"/>
        <v/>
      </c>
      <c r="E101" s="40"/>
      <c r="F101" s="42"/>
      <c r="G101" s="40"/>
      <c r="H101" s="40"/>
      <c r="I101" s="40"/>
      <c r="J101" s="43"/>
      <c r="K101" s="43">
        <f>IF(I101="Professional Billing Rate",J101,'Lists &amp; Settings'!$E$2)</f>
        <v>35.47</v>
      </c>
      <c r="L101" s="40"/>
    </row>
    <row r="102">
      <c r="A102" s="28" t="str">
        <f t="shared" si="1"/>
        <v/>
      </c>
      <c r="B102" s="28"/>
      <c r="C102" s="28"/>
      <c r="D102" s="26" t="str">
        <f t="shared" si="2"/>
        <v/>
      </c>
      <c r="E102" s="28"/>
      <c r="F102" s="35"/>
      <c r="G102" s="28"/>
      <c r="H102" s="28"/>
      <c r="I102" s="28"/>
      <c r="J102" s="37"/>
      <c r="K102" s="37">
        <f>IF(I102="Professional Billing Rate",J102,'Lists &amp; Settings'!$E$2)</f>
        <v>35.47</v>
      </c>
      <c r="L102" s="28"/>
    </row>
    <row r="103">
      <c r="A103" s="40" t="str">
        <f t="shared" si="1"/>
        <v/>
      </c>
      <c r="B103" s="40"/>
      <c r="C103" s="40"/>
      <c r="D103" s="41" t="str">
        <f t="shared" si="2"/>
        <v/>
      </c>
      <c r="E103" s="40"/>
      <c r="F103" s="42"/>
      <c r="G103" s="40"/>
      <c r="H103" s="40"/>
      <c r="I103" s="40"/>
      <c r="J103" s="43"/>
      <c r="K103" s="43">
        <f>IF(I103="Professional Billing Rate",J103,'Lists &amp; Settings'!$E$2)</f>
        <v>35.47</v>
      </c>
      <c r="L103" s="40"/>
    </row>
    <row r="104">
      <c r="A104" s="28" t="str">
        <f t="shared" si="1"/>
        <v/>
      </c>
      <c r="B104" s="28"/>
      <c r="C104" s="28"/>
      <c r="D104" s="26" t="str">
        <f t="shared" si="2"/>
        <v/>
      </c>
      <c r="E104" s="28"/>
      <c r="F104" s="35"/>
      <c r="G104" s="28"/>
      <c r="H104" s="28"/>
      <c r="I104" s="28"/>
      <c r="J104" s="37"/>
      <c r="K104" s="37">
        <f>IF(I104="Professional Billing Rate",J104,'Lists &amp; Settings'!$E$2)</f>
        <v>35.47</v>
      </c>
      <c r="L104" s="28"/>
    </row>
    <row r="105">
      <c r="A105" s="40" t="str">
        <f t="shared" si="1"/>
        <v/>
      </c>
      <c r="B105" s="40"/>
      <c r="C105" s="40"/>
      <c r="D105" s="41" t="str">
        <f t="shared" si="2"/>
        <v/>
      </c>
      <c r="E105" s="40"/>
      <c r="F105" s="42"/>
      <c r="G105" s="40"/>
      <c r="H105" s="40"/>
      <c r="I105" s="40"/>
      <c r="J105" s="43"/>
      <c r="K105" s="43">
        <f>IF(I105="Professional Billing Rate",J105,'Lists &amp; Settings'!$E$2)</f>
        <v>35.47</v>
      </c>
      <c r="L105" s="40"/>
    </row>
    <row r="106">
      <c r="A106" s="28" t="str">
        <f t="shared" si="1"/>
        <v/>
      </c>
      <c r="B106" s="28"/>
      <c r="C106" s="28"/>
      <c r="D106" s="26" t="str">
        <f t="shared" si="2"/>
        <v/>
      </c>
      <c r="E106" s="28"/>
      <c r="F106" s="35"/>
      <c r="G106" s="28"/>
      <c r="H106" s="28"/>
      <c r="I106" s="28"/>
      <c r="J106" s="37"/>
      <c r="K106" s="37">
        <f>IF(I106="Professional Billing Rate",J106,'Lists &amp; Settings'!$E$2)</f>
        <v>35.47</v>
      </c>
      <c r="L106" s="28"/>
    </row>
    <row r="107">
      <c r="A107" s="40" t="str">
        <f t="shared" si="1"/>
        <v/>
      </c>
      <c r="B107" s="40"/>
      <c r="C107" s="40"/>
      <c r="D107" s="41" t="str">
        <f t="shared" si="2"/>
        <v/>
      </c>
      <c r="E107" s="40"/>
      <c r="F107" s="42"/>
      <c r="G107" s="40"/>
      <c r="H107" s="40"/>
      <c r="I107" s="40"/>
      <c r="J107" s="43"/>
      <c r="K107" s="43">
        <f>IF(I107="Professional Billing Rate",J107,'Lists &amp; Settings'!$E$2)</f>
        <v>35.47</v>
      </c>
      <c r="L107" s="40"/>
    </row>
    <row r="108">
      <c r="A108" s="28" t="str">
        <f t="shared" si="1"/>
        <v/>
      </c>
      <c r="B108" s="28"/>
      <c r="C108" s="28"/>
      <c r="D108" s="26" t="str">
        <f t="shared" si="2"/>
        <v/>
      </c>
      <c r="E108" s="28"/>
      <c r="F108" s="35"/>
      <c r="G108" s="28"/>
      <c r="H108" s="28"/>
      <c r="I108" s="28"/>
      <c r="J108" s="37"/>
      <c r="K108" s="37">
        <f>IF(I108="Professional Billing Rate",J108,'Lists &amp; Settings'!$E$2)</f>
        <v>35.47</v>
      </c>
      <c r="L108" s="28"/>
    </row>
    <row r="109">
      <c r="A109" s="40" t="str">
        <f t="shared" si="1"/>
        <v/>
      </c>
      <c r="B109" s="40"/>
      <c r="C109" s="40"/>
      <c r="D109" s="41" t="str">
        <f t="shared" si="2"/>
        <v/>
      </c>
      <c r="E109" s="40"/>
      <c r="F109" s="42"/>
      <c r="G109" s="40"/>
      <c r="H109" s="40"/>
      <c r="I109" s="40"/>
      <c r="J109" s="43"/>
      <c r="K109" s="43">
        <f>IF(I109="Professional Billing Rate",J109,'Lists &amp; Settings'!$E$2)</f>
        <v>35.47</v>
      </c>
      <c r="L109" s="40"/>
    </row>
    <row r="110">
      <c r="A110" s="28" t="str">
        <f t="shared" si="1"/>
        <v/>
      </c>
      <c r="B110" s="28"/>
      <c r="C110" s="28"/>
      <c r="D110" s="26" t="str">
        <f t="shared" si="2"/>
        <v/>
      </c>
      <c r="E110" s="28"/>
      <c r="F110" s="35"/>
      <c r="G110" s="28"/>
      <c r="H110" s="28"/>
      <c r="I110" s="28"/>
      <c r="J110" s="37"/>
      <c r="K110" s="37">
        <f>IF(I110="Professional Billing Rate",J110,'Lists &amp; Settings'!$E$2)</f>
        <v>35.47</v>
      </c>
      <c r="L110" s="28"/>
    </row>
    <row r="111">
      <c r="A111" s="40" t="str">
        <f t="shared" si="1"/>
        <v/>
      </c>
      <c r="B111" s="40"/>
      <c r="C111" s="40"/>
      <c r="D111" s="41" t="str">
        <f t="shared" si="2"/>
        <v/>
      </c>
      <c r="E111" s="40"/>
      <c r="F111" s="42"/>
      <c r="G111" s="40"/>
      <c r="H111" s="40"/>
      <c r="I111" s="40"/>
      <c r="J111" s="43"/>
      <c r="K111" s="43">
        <f>IF(I111="Professional Billing Rate",J111,'Lists &amp; Settings'!$E$2)</f>
        <v>35.47</v>
      </c>
      <c r="L111" s="40"/>
    </row>
    <row r="112">
      <c r="A112" s="28" t="str">
        <f t="shared" si="1"/>
        <v/>
      </c>
      <c r="B112" s="28"/>
      <c r="C112" s="28"/>
      <c r="D112" s="26" t="str">
        <f t="shared" si="2"/>
        <v/>
      </c>
      <c r="E112" s="28"/>
      <c r="F112" s="35"/>
      <c r="G112" s="28"/>
      <c r="H112" s="28"/>
      <c r="I112" s="28"/>
      <c r="J112" s="37"/>
      <c r="K112" s="37">
        <f>IF(I112="Professional Billing Rate",J112,'Lists &amp; Settings'!$E$2)</f>
        <v>35.47</v>
      </c>
      <c r="L112" s="28"/>
    </row>
    <row r="113">
      <c r="A113" s="40" t="str">
        <f t="shared" si="1"/>
        <v/>
      </c>
      <c r="B113" s="40"/>
      <c r="C113" s="40"/>
      <c r="D113" s="41" t="str">
        <f t="shared" si="2"/>
        <v/>
      </c>
      <c r="E113" s="40"/>
      <c r="F113" s="42"/>
      <c r="G113" s="40"/>
      <c r="H113" s="40"/>
      <c r="I113" s="40"/>
      <c r="J113" s="43"/>
      <c r="K113" s="43">
        <f>IF(I113="Professional Billing Rate",J113,'Lists &amp; Settings'!$E$2)</f>
        <v>35.47</v>
      </c>
      <c r="L113" s="40"/>
    </row>
    <row r="114">
      <c r="A114" s="28" t="str">
        <f t="shared" si="1"/>
        <v/>
      </c>
      <c r="B114" s="28"/>
      <c r="C114" s="28"/>
      <c r="D114" s="26" t="str">
        <f t="shared" si="2"/>
        <v/>
      </c>
      <c r="E114" s="28"/>
      <c r="F114" s="35"/>
      <c r="G114" s="28"/>
      <c r="H114" s="28"/>
      <c r="I114" s="28"/>
      <c r="J114" s="37"/>
      <c r="K114" s="37">
        <f>IF(I114="Professional Billing Rate",J114,'Lists &amp; Settings'!$E$2)</f>
        <v>35.47</v>
      </c>
      <c r="L114" s="28"/>
    </row>
    <row r="115">
      <c r="A115" s="40" t="str">
        <f t="shared" si="1"/>
        <v/>
      </c>
      <c r="B115" s="40"/>
      <c r="C115" s="40"/>
      <c r="D115" s="41" t="str">
        <f t="shared" si="2"/>
        <v/>
      </c>
      <c r="E115" s="40"/>
      <c r="F115" s="42"/>
      <c r="G115" s="40"/>
      <c r="H115" s="40"/>
      <c r="I115" s="40"/>
      <c r="J115" s="43"/>
      <c r="K115" s="43">
        <f>IF(I115="Professional Billing Rate",J115,'Lists &amp; Settings'!$E$2)</f>
        <v>35.47</v>
      </c>
      <c r="L115" s="40"/>
    </row>
    <row r="116">
      <c r="A116" s="28" t="str">
        <f t="shared" si="1"/>
        <v/>
      </c>
      <c r="B116" s="28"/>
      <c r="C116" s="28"/>
      <c r="D116" s="26" t="str">
        <f t="shared" si="2"/>
        <v/>
      </c>
      <c r="E116" s="28"/>
      <c r="F116" s="35"/>
      <c r="G116" s="28"/>
      <c r="H116" s="28"/>
      <c r="I116" s="28"/>
      <c r="J116" s="37"/>
      <c r="K116" s="37">
        <f>IF(I116="Professional Billing Rate",J116,'Lists &amp; Settings'!$E$2)</f>
        <v>35.47</v>
      </c>
      <c r="L116" s="28"/>
    </row>
    <row r="117">
      <c r="A117" s="40" t="str">
        <f t="shared" si="1"/>
        <v/>
      </c>
      <c r="B117" s="40"/>
      <c r="C117" s="40"/>
      <c r="D117" s="41" t="str">
        <f t="shared" si="2"/>
        <v/>
      </c>
      <c r="E117" s="40"/>
      <c r="F117" s="42"/>
      <c r="G117" s="40"/>
      <c r="H117" s="40"/>
      <c r="I117" s="40"/>
      <c r="J117" s="43"/>
      <c r="K117" s="43">
        <f>IF(I117="Professional Billing Rate",J117,'Lists &amp; Settings'!$E$2)</f>
        <v>35.47</v>
      </c>
      <c r="L117" s="40"/>
    </row>
    <row r="118">
      <c r="A118" s="28" t="str">
        <f t="shared" si="1"/>
        <v/>
      </c>
      <c r="B118" s="28"/>
      <c r="C118" s="28"/>
      <c r="D118" s="26" t="str">
        <f t="shared" si="2"/>
        <v/>
      </c>
      <c r="E118" s="28"/>
      <c r="F118" s="35"/>
      <c r="G118" s="28"/>
      <c r="H118" s="28"/>
      <c r="I118" s="28"/>
      <c r="J118" s="37"/>
      <c r="K118" s="37">
        <f>IF(I118="Professional Billing Rate",J118,'Lists &amp; Settings'!$E$2)</f>
        <v>35.47</v>
      </c>
      <c r="L118" s="28"/>
    </row>
    <row r="119">
      <c r="A119" s="40" t="str">
        <f t="shared" si="1"/>
        <v/>
      </c>
      <c r="B119" s="40"/>
      <c r="C119" s="40"/>
      <c r="D119" s="41" t="str">
        <f t="shared" si="2"/>
        <v/>
      </c>
      <c r="E119" s="40"/>
      <c r="F119" s="42"/>
      <c r="G119" s="40"/>
      <c r="H119" s="40"/>
      <c r="I119" s="40"/>
      <c r="J119" s="43"/>
      <c r="K119" s="43">
        <f>IF(I119="Professional Billing Rate",J119,'Lists &amp; Settings'!$E$2)</f>
        <v>35.47</v>
      </c>
      <c r="L119" s="40"/>
    </row>
    <row r="120">
      <c r="A120" s="28" t="str">
        <f t="shared" si="1"/>
        <v/>
      </c>
      <c r="B120" s="28"/>
      <c r="C120" s="28"/>
      <c r="D120" s="26" t="str">
        <f t="shared" si="2"/>
        <v/>
      </c>
      <c r="E120" s="28"/>
      <c r="F120" s="35"/>
      <c r="G120" s="28"/>
      <c r="H120" s="28"/>
      <c r="I120" s="28"/>
      <c r="J120" s="37"/>
      <c r="K120" s="37">
        <f>IF(I120="Professional Billing Rate",J120,'Lists &amp; Settings'!$E$2)</f>
        <v>35.47</v>
      </c>
      <c r="L120" s="28"/>
    </row>
    <row r="121">
      <c r="A121" s="40" t="str">
        <f t="shared" si="1"/>
        <v/>
      </c>
      <c r="B121" s="40"/>
      <c r="C121" s="40"/>
      <c r="D121" s="41" t="str">
        <f t="shared" si="2"/>
        <v/>
      </c>
      <c r="E121" s="40"/>
      <c r="F121" s="42"/>
      <c r="G121" s="40"/>
      <c r="H121" s="40"/>
      <c r="I121" s="40"/>
      <c r="J121" s="43"/>
      <c r="K121" s="43">
        <f>IF(I121="Professional Billing Rate",J121,'Lists &amp; Settings'!$E$2)</f>
        <v>35.47</v>
      </c>
      <c r="L121" s="40"/>
    </row>
    <row r="122">
      <c r="A122" s="28" t="str">
        <f t="shared" si="1"/>
        <v/>
      </c>
      <c r="B122" s="28"/>
      <c r="C122" s="28"/>
      <c r="D122" s="26" t="str">
        <f t="shared" si="2"/>
        <v/>
      </c>
      <c r="E122" s="28"/>
      <c r="F122" s="35"/>
      <c r="G122" s="28"/>
      <c r="H122" s="28"/>
      <c r="I122" s="28"/>
      <c r="J122" s="37"/>
      <c r="K122" s="37">
        <f>IF(I122="Professional Billing Rate",J122,'Lists &amp; Settings'!$E$2)</f>
        <v>35.47</v>
      </c>
      <c r="L122" s="28"/>
    </row>
    <row r="123">
      <c r="A123" s="40" t="str">
        <f t="shared" si="1"/>
        <v/>
      </c>
      <c r="B123" s="40"/>
      <c r="C123" s="40"/>
      <c r="D123" s="41" t="str">
        <f t="shared" si="2"/>
        <v/>
      </c>
      <c r="E123" s="40"/>
      <c r="F123" s="42"/>
      <c r="G123" s="40"/>
      <c r="H123" s="40"/>
      <c r="I123" s="40"/>
      <c r="J123" s="43"/>
      <c r="K123" s="43">
        <f>IF(I123="Professional Billing Rate",J123,'Lists &amp; Settings'!$E$2)</f>
        <v>35.47</v>
      </c>
      <c r="L123" s="40"/>
    </row>
    <row r="124">
      <c r="A124" s="28" t="str">
        <f t="shared" si="1"/>
        <v/>
      </c>
      <c r="B124" s="28"/>
      <c r="C124" s="28"/>
      <c r="D124" s="26" t="str">
        <f t="shared" si="2"/>
        <v/>
      </c>
      <c r="E124" s="28"/>
      <c r="F124" s="35"/>
      <c r="G124" s="28"/>
      <c r="H124" s="28"/>
      <c r="I124" s="28"/>
      <c r="J124" s="37"/>
      <c r="K124" s="37">
        <f>IF(I124="Professional Billing Rate",J124,'Lists &amp; Settings'!$E$2)</f>
        <v>35.47</v>
      </c>
      <c r="L124" s="28"/>
    </row>
    <row r="125">
      <c r="A125" s="40" t="str">
        <f t="shared" si="1"/>
        <v/>
      </c>
      <c r="B125" s="40"/>
      <c r="C125" s="40"/>
      <c r="D125" s="41" t="str">
        <f t="shared" si="2"/>
        <v/>
      </c>
      <c r="E125" s="40"/>
      <c r="F125" s="42"/>
      <c r="G125" s="40"/>
      <c r="H125" s="40"/>
      <c r="I125" s="40"/>
      <c r="J125" s="43"/>
      <c r="K125" s="43">
        <f>IF(I125="Professional Billing Rate",J125,'Lists &amp; Settings'!$E$2)</f>
        <v>35.47</v>
      </c>
      <c r="L125" s="40"/>
    </row>
    <row r="126">
      <c r="A126" s="28" t="str">
        <f t="shared" si="1"/>
        <v/>
      </c>
      <c r="B126" s="28"/>
      <c r="C126" s="28"/>
      <c r="D126" s="26" t="str">
        <f t="shared" si="2"/>
        <v/>
      </c>
      <c r="E126" s="28"/>
      <c r="F126" s="35"/>
      <c r="G126" s="28"/>
      <c r="H126" s="28"/>
      <c r="I126" s="28"/>
      <c r="J126" s="37"/>
      <c r="K126" s="37">
        <f>IF(I126="Professional Billing Rate",J126,'Lists &amp; Settings'!$E$2)</f>
        <v>35.47</v>
      </c>
      <c r="L126" s="28"/>
    </row>
    <row r="127">
      <c r="A127" s="40" t="str">
        <f t="shared" si="1"/>
        <v/>
      </c>
      <c r="B127" s="40"/>
      <c r="C127" s="40"/>
      <c r="D127" s="41" t="str">
        <f t="shared" si="2"/>
        <v/>
      </c>
      <c r="E127" s="40"/>
      <c r="F127" s="42"/>
      <c r="G127" s="40"/>
      <c r="H127" s="40"/>
      <c r="I127" s="40"/>
      <c r="J127" s="43"/>
      <c r="K127" s="43">
        <f>IF(I127="Professional Billing Rate",J127,'Lists &amp; Settings'!$E$2)</f>
        <v>35.47</v>
      </c>
      <c r="L127" s="40"/>
    </row>
    <row r="128">
      <c r="A128" s="28" t="str">
        <f t="shared" si="1"/>
        <v/>
      </c>
      <c r="B128" s="28"/>
      <c r="C128" s="28"/>
      <c r="D128" s="26" t="str">
        <f t="shared" si="2"/>
        <v/>
      </c>
      <c r="E128" s="28"/>
      <c r="F128" s="35"/>
      <c r="G128" s="28"/>
      <c r="H128" s="28"/>
      <c r="I128" s="28"/>
      <c r="J128" s="37"/>
      <c r="K128" s="37">
        <f>IF(I128="Professional Billing Rate",J128,'Lists &amp; Settings'!$E$2)</f>
        <v>35.47</v>
      </c>
      <c r="L128" s="28"/>
    </row>
    <row r="129">
      <c r="A129" s="40" t="str">
        <f t="shared" si="1"/>
        <v/>
      </c>
      <c r="B129" s="40"/>
      <c r="C129" s="40"/>
      <c r="D129" s="41" t="str">
        <f t="shared" si="2"/>
        <v/>
      </c>
      <c r="E129" s="40"/>
      <c r="F129" s="42"/>
      <c r="G129" s="40"/>
      <c r="H129" s="40"/>
      <c r="I129" s="40"/>
      <c r="J129" s="43"/>
      <c r="K129" s="43">
        <f>IF(I129="Professional Billing Rate",J129,'Lists &amp; Settings'!$E$2)</f>
        <v>35.47</v>
      </c>
      <c r="L129" s="40"/>
    </row>
    <row r="130">
      <c r="A130" s="28" t="str">
        <f t="shared" si="1"/>
        <v/>
      </c>
      <c r="B130" s="28"/>
      <c r="C130" s="28"/>
      <c r="D130" s="26" t="str">
        <f t="shared" si="2"/>
        <v/>
      </c>
      <c r="E130" s="28"/>
      <c r="F130" s="35"/>
      <c r="G130" s="28"/>
      <c r="H130" s="28"/>
      <c r="I130" s="28"/>
      <c r="J130" s="37"/>
      <c r="K130" s="37">
        <f>IF(I130="Professional Billing Rate",J130,'Lists &amp; Settings'!$E$2)</f>
        <v>35.47</v>
      </c>
      <c r="L130" s="28"/>
    </row>
    <row r="131">
      <c r="A131" s="40" t="str">
        <f t="shared" si="1"/>
        <v/>
      </c>
      <c r="B131" s="40"/>
      <c r="C131" s="40"/>
      <c r="D131" s="41" t="str">
        <f t="shared" si="2"/>
        <v/>
      </c>
      <c r="E131" s="40"/>
      <c r="F131" s="42"/>
      <c r="G131" s="40"/>
      <c r="H131" s="40"/>
      <c r="I131" s="40"/>
      <c r="J131" s="43"/>
      <c r="K131" s="43">
        <f>IF(I131="Professional Billing Rate",J131,'Lists &amp; Settings'!$E$2)</f>
        <v>35.47</v>
      </c>
      <c r="L131" s="40"/>
    </row>
    <row r="132">
      <c r="A132" s="28" t="str">
        <f t="shared" si="1"/>
        <v/>
      </c>
      <c r="B132" s="28"/>
      <c r="C132" s="28"/>
      <c r="D132" s="26" t="str">
        <f t="shared" si="2"/>
        <v/>
      </c>
      <c r="E132" s="28"/>
      <c r="F132" s="35"/>
      <c r="G132" s="28"/>
      <c r="H132" s="28"/>
      <c r="I132" s="28"/>
      <c r="J132" s="37"/>
      <c r="K132" s="37">
        <f>IF(I132="Professional Billing Rate",J132,'Lists &amp; Settings'!$E$2)</f>
        <v>35.47</v>
      </c>
      <c r="L132" s="28"/>
    </row>
    <row r="133">
      <c r="A133" s="40" t="str">
        <f t="shared" si="1"/>
        <v/>
      </c>
      <c r="B133" s="40"/>
      <c r="C133" s="40"/>
      <c r="D133" s="41" t="str">
        <f t="shared" si="2"/>
        <v/>
      </c>
      <c r="E133" s="40"/>
      <c r="F133" s="42"/>
      <c r="G133" s="40"/>
      <c r="H133" s="40"/>
      <c r="I133" s="40"/>
      <c r="J133" s="43"/>
      <c r="K133" s="43">
        <f>IF(I133="Professional Billing Rate",J133,'Lists &amp; Settings'!$E$2)</f>
        <v>35.47</v>
      </c>
      <c r="L133" s="40"/>
    </row>
    <row r="134">
      <c r="A134" s="28" t="str">
        <f t="shared" si="1"/>
        <v/>
      </c>
      <c r="B134" s="28"/>
      <c r="C134" s="28"/>
      <c r="D134" s="26" t="str">
        <f t="shared" si="2"/>
        <v/>
      </c>
      <c r="E134" s="28"/>
      <c r="F134" s="35"/>
      <c r="G134" s="28"/>
      <c r="H134" s="28"/>
      <c r="I134" s="28"/>
      <c r="J134" s="37"/>
      <c r="K134" s="37">
        <f>IF(I134="Professional Billing Rate",J134,'Lists &amp; Settings'!$E$2)</f>
        <v>35.47</v>
      </c>
      <c r="L134" s="28"/>
    </row>
    <row r="135">
      <c r="A135" s="40" t="str">
        <f t="shared" si="1"/>
        <v/>
      </c>
      <c r="B135" s="40"/>
      <c r="C135" s="40"/>
      <c r="D135" s="41" t="str">
        <f t="shared" si="2"/>
        <v/>
      </c>
      <c r="E135" s="40"/>
      <c r="F135" s="42"/>
      <c r="G135" s="40"/>
      <c r="H135" s="40"/>
      <c r="I135" s="40"/>
      <c r="J135" s="43"/>
      <c r="K135" s="43">
        <f>IF(I135="Professional Billing Rate",J135,'Lists &amp; Settings'!$E$2)</f>
        <v>35.47</v>
      </c>
      <c r="L135" s="40"/>
    </row>
    <row r="136">
      <c r="A136" s="28" t="str">
        <f t="shared" si="1"/>
        <v/>
      </c>
      <c r="B136" s="28"/>
      <c r="C136" s="28"/>
      <c r="D136" s="26" t="str">
        <f t="shared" si="2"/>
        <v/>
      </c>
      <c r="E136" s="28"/>
      <c r="F136" s="35"/>
      <c r="G136" s="28"/>
      <c r="H136" s="28"/>
      <c r="I136" s="28"/>
      <c r="J136" s="37"/>
      <c r="K136" s="37">
        <f>IF(I136="Professional Billing Rate",J136,'Lists &amp; Settings'!$E$2)</f>
        <v>35.47</v>
      </c>
      <c r="L136" s="28"/>
    </row>
    <row r="137">
      <c r="A137" s="40" t="str">
        <f t="shared" si="1"/>
        <v/>
      </c>
      <c r="B137" s="40"/>
      <c r="C137" s="40"/>
      <c r="D137" s="41" t="str">
        <f t="shared" si="2"/>
        <v/>
      </c>
      <c r="E137" s="40"/>
      <c r="F137" s="42"/>
      <c r="G137" s="40"/>
      <c r="H137" s="40"/>
      <c r="I137" s="40"/>
      <c r="J137" s="43"/>
      <c r="K137" s="43">
        <f>IF(I137="Professional Billing Rate",J137,'Lists &amp; Settings'!$E$2)</f>
        <v>35.47</v>
      </c>
      <c r="L137" s="40"/>
    </row>
    <row r="138">
      <c r="A138" s="28" t="str">
        <f t="shared" si="1"/>
        <v/>
      </c>
      <c r="B138" s="28"/>
      <c r="C138" s="28"/>
      <c r="D138" s="26" t="str">
        <f t="shared" si="2"/>
        <v/>
      </c>
      <c r="E138" s="28"/>
      <c r="F138" s="35"/>
      <c r="G138" s="28"/>
      <c r="H138" s="28"/>
      <c r="I138" s="28"/>
      <c r="J138" s="37"/>
      <c r="K138" s="37">
        <f>IF(I138="Professional Billing Rate",J138,'Lists &amp; Settings'!$E$2)</f>
        <v>35.47</v>
      </c>
      <c r="L138" s="28"/>
    </row>
    <row r="139">
      <c r="A139" s="40" t="str">
        <f t="shared" si="1"/>
        <v/>
      </c>
      <c r="B139" s="40"/>
      <c r="C139" s="40"/>
      <c r="D139" s="41" t="str">
        <f t="shared" si="2"/>
        <v/>
      </c>
      <c r="E139" s="40"/>
      <c r="F139" s="42"/>
      <c r="G139" s="40"/>
      <c r="H139" s="40"/>
      <c r="I139" s="40"/>
      <c r="J139" s="43"/>
      <c r="K139" s="43">
        <f>IF(I139="Professional Billing Rate",J139,'Lists &amp; Settings'!$E$2)</f>
        <v>35.47</v>
      </c>
      <c r="L139" s="40"/>
    </row>
    <row r="140">
      <c r="A140" s="28" t="str">
        <f t="shared" si="1"/>
        <v/>
      </c>
      <c r="B140" s="28"/>
      <c r="C140" s="28"/>
      <c r="D140" s="26" t="str">
        <f t="shared" si="2"/>
        <v/>
      </c>
      <c r="E140" s="28"/>
      <c r="F140" s="35"/>
      <c r="G140" s="28"/>
      <c r="H140" s="28"/>
      <c r="I140" s="28"/>
      <c r="J140" s="37"/>
      <c r="K140" s="37">
        <f>IF(I140="Professional Billing Rate",J140,'Lists &amp; Settings'!$E$2)</f>
        <v>35.47</v>
      </c>
      <c r="L140" s="28"/>
    </row>
    <row r="141">
      <c r="A141" s="40" t="str">
        <f t="shared" si="1"/>
        <v/>
      </c>
      <c r="B141" s="40"/>
      <c r="C141" s="40"/>
      <c r="D141" s="41" t="str">
        <f t="shared" si="2"/>
        <v/>
      </c>
      <c r="E141" s="40"/>
      <c r="F141" s="42"/>
      <c r="G141" s="40"/>
      <c r="H141" s="40"/>
      <c r="I141" s="40"/>
      <c r="J141" s="43"/>
      <c r="K141" s="43">
        <f>IF(I141="Professional Billing Rate",J141,'Lists &amp; Settings'!$E$2)</f>
        <v>35.47</v>
      </c>
      <c r="L141" s="40"/>
    </row>
    <row r="142">
      <c r="A142" s="28" t="str">
        <f t="shared" si="1"/>
        <v/>
      </c>
      <c r="B142" s="28"/>
      <c r="C142" s="28"/>
      <c r="D142" s="26" t="str">
        <f t="shared" si="2"/>
        <v/>
      </c>
      <c r="E142" s="28"/>
      <c r="F142" s="35"/>
      <c r="G142" s="28"/>
      <c r="H142" s="28"/>
      <c r="I142" s="28"/>
      <c r="J142" s="37"/>
      <c r="K142" s="37">
        <f>IF(I142="Professional Billing Rate",J142,'Lists &amp; Settings'!$E$2)</f>
        <v>35.47</v>
      </c>
      <c r="L142" s="28"/>
    </row>
    <row r="143">
      <c r="A143" s="40" t="str">
        <f t="shared" si="1"/>
        <v/>
      </c>
      <c r="B143" s="40"/>
      <c r="C143" s="40"/>
      <c r="D143" s="41" t="str">
        <f t="shared" si="2"/>
        <v/>
      </c>
      <c r="E143" s="40"/>
      <c r="F143" s="42"/>
      <c r="G143" s="40"/>
      <c r="H143" s="40"/>
      <c r="I143" s="40"/>
      <c r="J143" s="43"/>
      <c r="K143" s="43">
        <f>IF(I143="Professional Billing Rate",J143,'Lists &amp; Settings'!$E$2)</f>
        <v>35.47</v>
      </c>
      <c r="L143" s="40"/>
    </row>
    <row r="144">
      <c r="A144" s="28" t="str">
        <f t="shared" si="1"/>
        <v/>
      </c>
      <c r="B144" s="28"/>
      <c r="C144" s="28"/>
      <c r="D144" s="26" t="str">
        <f t="shared" si="2"/>
        <v/>
      </c>
      <c r="E144" s="28"/>
      <c r="F144" s="35"/>
      <c r="G144" s="28"/>
      <c r="H144" s="28"/>
      <c r="I144" s="28"/>
      <c r="J144" s="37"/>
      <c r="K144" s="37">
        <f>IF(I144="Professional Billing Rate",J144,'Lists &amp; Settings'!$E$2)</f>
        <v>35.47</v>
      </c>
      <c r="L144" s="28"/>
    </row>
    <row r="145">
      <c r="A145" s="40" t="str">
        <f t="shared" si="1"/>
        <v/>
      </c>
      <c r="B145" s="40"/>
      <c r="C145" s="40"/>
      <c r="D145" s="41" t="str">
        <f t="shared" si="2"/>
        <v/>
      </c>
      <c r="E145" s="40"/>
      <c r="F145" s="42"/>
      <c r="G145" s="40"/>
      <c r="H145" s="40"/>
      <c r="I145" s="40"/>
      <c r="J145" s="43"/>
      <c r="K145" s="43">
        <f>IF(I145="Professional Billing Rate",J145,'Lists &amp; Settings'!$E$2)</f>
        <v>35.47</v>
      </c>
      <c r="L145" s="40"/>
    </row>
    <row r="146">
      <c r="A146" s="28" t="str">
        <f t="shared" si="1"/>
        <v/>
      </c>
      <c r="B146" s="28"/>
      <c r="C146" s="28"/>
      <c r="D146" s="26" t="str">
        <f t="shared" si="2"/>
        <v/>
      </c>
      <c r="E146" s="28"/>
      <c r="F146" s="35"/>
      <c r="G146" s="28"/>
      <c r="H146" s="28"/>
      <c r="I146" s="28"/>
      <c r="J146" s="37"/>
      <c r="K146" s="37">
        <f>IF(I146="Professional Billing Rate",J146,'Lists &amp; Settings'!$E$2)</f>
        <v>35.47</v>
      </c>
      <c r="L146" s="28"/>
    </row>
    <row r="147">
      <c r="A147" s="40" t="str">
        <f t="shared" si="1"/>
        <v/>
      </c>
      <c r="B147" s="40"/>
      <c r="C147" s="40"/>
      <c r="D147" s="41" t="str">
        <f t="shared" si="2"/>
        <v/>
      </c>
      <c r="E147" s="40"/>
      <c r="F147" s="42"/>
      <c r="G147" s="40"/>
      <c r="H147" s="40"/>
      <c r="I147" s="40"/>
      <c r="J147" s="43"/>
      <c r="K147" s="43">
        <f>IF(I147="Professional Billing Rate",J147,'Lists &amp; Settings'!$E$2)</f>
        <v>35.47</v>
      </c>
      <c r="L147" s="40"/>
    </row>
    <row r="148">
      <c r="A148" s="28" t="str">
        <f t="shared" si="1"/>
        <v/>
      </c>
      <c r="B148" s="28"/>
      <c r="C148" s="28"/>
      <c r="D148" s="26" t="str">
        <f t="shared" si="2"/>
        <v/>
      </c>
      <c r="E148" s="28"/>
      <c r="F148" s="35"/>
      <c r="G148" s="28"/>
      <c r="H148" s="28"/>
      <c r="I148" s="28"/>
      <c r="J148" s="37"/>
      <c r="K148" s="37">
        <f>IF(I148="Professional Billing Rate",J148,'Lists &amp; Settings'!$E$2)</f>
        <v>35.47</v>
      </c>
      <c r="L148" s="28"/>
    </row>
    <row r="149">
      <c r="A149" s="40" t="str">
        <f t="shared" si="1"/>
        <v/>
      </c>
      <c r="B149" s="40"/>
      <c r="C149" s="40"/>
      <c r="D149" s="41" t="str">
        <f t="shared" si="2"/>
        <v/>
      </c>
      <c r="E149" s="40"/>
      <c r="F149" s="42"/>
      <c r="G149" s="40"/>
      <c r="H149" s="40"/>
      <c r="I149" s="40"/>
      <c r="J149" s="43"/>
      <c r="K149" s="43">
        <f>IF(I149="Professional Billing Rate",J149,'Lists &amp; Settings'!$E$2)</f>
        <v>35.47</v>
      </c>
      <c r="L149" s="40"/>
    </row>
    <row r="150">
      <c r="A150" s="28" t="str">
        <f t="shared" si="1"/>
        <v/>
      </c>
      <c r="B150" s="28"/>
      <c r="C150" s="28"/>
      <c r="D150" s="26" t="str">
        <f t="shared" si="2"/>
        <v/>
      </c>
      <c r="E150" s="28"/>
      <c r="F150" s="35"/>
      <c r="G150" s="28"/>
      <c r="H150" s="28"/>
      <c r="I150" s="28"/>
      <c r="J150" s="37"/>
      <c r="K150" s="37">
        <f>IF(I150="Professional Billing Rate",J150,'Lists &amp; Settings'!$E$2)</f>
        <v>35.47</v>
      </c>
      <c r="L150" s="28"/>
    </row>
    <row r="151">
      <c r="A151" s="40" t="str">
        <f t="shared" si="1"/>
        <v/>
      </c>
      <c r="B151" s="40"/>
      <c r="C151" s="40"/>
      <c r="D151" s="41" t="str">
        <f t="shared" si="2"/>
        <v/>
      </c>
      <c r="E151" s="40"/>
      <c r="F151" s="42"/>
      <c r="G151" s="40"/>
      <c r="H151" s="40"/>
      <c r="I151" s="40"/>
      <c r="J151" s="43"/>
      <c r="K151" s="43">
        <f>IF(I151="Professional Billing Rate",J151,'Lists &amp; Settings'!$E$2)</f>
        <v>35.47</v>
      </c>
      <c r="L151" s="40"/>
    </row>
    <row r="152">
      <c r="A152" s="28" t="str">
        <f t="shared" si="1"/>
        <v/>
      </c>
      <c r="B152" s="28"/>
      <c r="C152" s="28"/>
      <c r="D152" s="26" t="str">
        <f t="shared" si="2"/>
        <v/>
      </c>
      <c r="E152" s="28"/>
      <c r="F152" s="35"/>
      <c r="G152" s="28"/>
      <c r="H152" s="28"/>
      <c r="I152" s="28"/>
      <c r="J152" s="37"/>
      <c r="K152" s="37">
        <f>IF(I152="Professional Billing Rate",J152,'Lists &amp; Settings'!$E$2)</f>
        <v>35.47</v>
      </c>
      <c r="L152" s="28"/>
    </row>
    <row r="153">
      <c r="A153" s="40" t="str">
        <f t="shared" si="1"/>
        <v/>
      </c>
      <c r="B153" s="40"/>
      <c r="C153" s="40"/>
      <c r="D153" s="41" t="str">
        <f t="shared" si="2"/>
        <v/>
      </c>
      <c r="E153" s="40"/>
      <c r="F153" s="42"/>
      <c r="G153" s="40"/>
      <c r="H153" s="40"/>
      <c r="I153" s="40"/>
      <c r="J153" s="43"/>
      <c r="K153" s="43">
        <f>IF(I153="Professional Billing Rate",J153,'Lists &amp; Settings'!$E$2)</f>
        <v>35.47</v>
      </c>
      <c r="L153" s="40"/>
    </row>
    <row r="154">
      <c r="A154" s="28" t="str">
        <f t="shared" si="1"/>
        <v/>
      </c>
      <c r="B154" s="28"/>
      <c r="C154" s="28"/>
      <c r="D154" s="26" t="str">
        <f t="shared" si="2"/>
        <v/>
      </c>
      <c r="E154" s="28"/>
      <c r="F154" s="35"/>
      <c r="G154" s="28"/>
      <c r="H154" s="28"/>
      <c r="I154" s="28"/>
      <c r="J154" s="37"/>
      <c r="K154" s="37">
        <f>IF(I154="Professional Billing Rate",J154,'Lists &amp; Settings'!$E$2)</f>
        <v>35.47</v>
      </c>
      <c r="L154" s="28"/>
    </row>
    <row r="155">
      <c r="A155" s="40" t="str">
        <f t="shared" si="1"/>
        <v/>
      </c>
      <c r="B155" s="40"/>
      <c r="C155" s="40"/>
      <c r="D155" s="41" t="str">
        <f t="shared" si="2"/>
        <v/>
      </c>
      <c r="E155" s="40"/>
      <c r="F155" s="42"/>
      <c r="G155" s="40"/>
      <c r="H155" s="40"/>
      <c r="I155" s="40"/>
      <c r="J155" s="43"/>
      <c r="K155" s="43">
        <f>IF(I155="Professional Billing Rate",J155,'Lists &amp; Settings'!$E$2)</f>
        <v>35.47</v>
      </c>
      <c r="L155" s="40"/>
    </row>
    <row r="156">
      <c r="A156" s="28" t="str">
        <f t="shared" si="1"/>
        <v/>
      </c>
      <c r="B156" s="28"/>
      <c r="C156" s="28"/>
      <c r="D156" s="26" t="str">
        <f t="shared" si="2"/>
        <v/>
      </c>
      <c r="E156" s="28"/>
      <c r="F156" s="35"/>
      <c r="G156" s="28"/>
      <c r="H156" s="28"/>
      <c r="I156" s="28"/>
      <c r="J156" s="37"/>
      <c r="K156" s="37">
        <f>IF(I156="Professional Billing Rate",J156,'Lists &amp; Settings'!$E$2)</f>
        <v>35.47</v>
      </c>
      <c r="L156" s="28"/>
    </row>
    <row r="157">
      <c r="A157" s="40" t="str">
        <f t="shared" si="1"/>
        <v/>
      </c>
      <c r="B157" s="40"/>
      <c r="C157" s="40"/>
      <c r="D157" s="41" t="str">
        <f t="shared" si="2"/>
        <v/>
      </c>
      <c r="E157" s="40"/>
      <c r="F157" s="42"/>
      <c r="G157" s="40"/>
      <c r="H157" s="40"/>
      <c r="I157" s="40"/>
      <c r="J157" s="43"/>
      <c r="K157" s="43">
        <f>IF(I157="Professional Billing Rate",J157,'Lists &amp; Settings'!$E$2)</f>
        <v>35.47</v>
      </c>
      <c r="L157" s="40"/>
    </row>
    <row r="158">
      <c r="A158" s="28" t="str">
        <f t="shared" si="1"/>
        <v/>
      </c>
      <c r="B158" s="28"/>
      <c r="C158" s="28"/>
      <c r="D158" s="26" t="str">
        <f t="shared" si="2"/>
        <v/>
      </c>
      <c r="E158" s="28"/>
      <c r="F158" s="35"/>
      <c r="G158" s="28"/>
      <c r="H158" s="28"/>
      <c r="I158" s="28"/>
      <c r="J158" s="37"/>
      <c r="K158" s="37">
        <f>IF(I158="Professional Billing Rate",J158,'Lists &amp; Settings'!$E$2)</f>
        <v>35.47</v>
      </c>
      <c r="L158" s="28"/>
    </row>
    <row r="159">
      <c r="A159" s="40" t="str">
        <f t="shared" si="1"/>
        <v/>
      </c>
      <c r="B159" s="40"/>
      <c r="C159" s="40"/>
      <c r="D159" s="41" t="str">
        <f t="shared" si="2"/>
        <v/>
      </c>
      <c r="E159" s="40"/>
      <c r="F159" s="42"/>
      <c r="G159" s="40"/>
      <c r="H159" s="40"/>
      <c r="I159" s="40"/>
      <c r="J159" s="43"/>
      <c r="K159" s="43">
        <f>IF(I159="Professional Billing Rate",J159,'Lists &amp; Settings'!$E$2)</f>
        <v>35.47</v>
      </c>
      <c r="L159" s="40"/>
    </row>
    <row r="160">
      <c r="A160" s="28" t="str">
        <f t="shared" si="1"/>
        <v/>
      </c>
      <c r="B160" s="28"/>
      <c r="C160" s="28"/>
      <c r="D160" s="26" t="str">
        <f t="shared" si="2"/>
        <v/>
      </c>
      <c r="E160" s="28"/>
      <c r="F160" s="35"/>
      <c r="G160" s="28"/>
      <c r="H160" s="28"/>
      <c r="I160" s="28"/>
      <c r="J160" s="37"/>
      <c r="K160" s="37">
        <f>IF(I160="Professional Billing Rate",J160,'Lists &amp; Settings'!$E$2)</f>
        <v>35.47</v>
      </c>
      <c r="L160" s="28"/>
    </row>
    <row r="161">
      <c r="A161" s="40" t="str">
        <f t="shared" si="1"/>
        <v/>
      </c>
      <c r="B161" s="40"/>
      <c r="C161" s="40"/>
      <c r="D161" s="41" t="str">
        <f t="shared" si="2"/>
        <v/>
      </c>
      <c r="E161" s="40"/>
      <c r="F161" s="42"/>
      <c r="G161" s="40"/>
      <c r="H161" s="40"/>
      <c r="I161" s="40"/>
      <c r="J161" s="43"/>
      <c r="K161" s="43">
        <f>IF(I161="Professional Billing Rate",J161,'Lists &amp; Settings'!$E$2)</f>
        <v>35.47</v>
      </c>
      <c r="L161" s="40"/>
    </row>
    <row r="162">
      <c r="A162" s="28" t="str">
        <f t="shared" si="1"/>
        <v/>
      </c>
      <c r="B162" s="28"/>
      <c r="C162" s="28"/>
      <c r="D162" s="26" t="str">
        <f t="shared" si="2"/>
        <v/>
      </c>
      <c r="E162" s="28"/>
      <c r="F162" s="35"/>
      <c r="G162" s="28"/>
      <c r="H162" s="28"/>
      <c r="I162" s="28"/>
      <c r="J162" s="37"/>
      <c r="K162" s="37">
        <f>IF(I162="Professional Billing Rate",J162,'Lists &amp; Settings'!$E$2)</f>
        <v>35.47</v>
      </c>
      <c r="L162" s="28"/>
    </row>
    <row r="163">
      <c r="A163" s="40" t="str">
        <f t="shared" si="1"/>
        <v/>
      </c>
      <c r="B163" s="40"/>
      <c r="C163" s="40"/>
      <c r="D163" s="41" t="str">
        <f t="shared" si="2"/>
        <v/>
      </c>
      <c r="E163" s="40"/>
      <c r="F163" s="42"/>
      <c r="G163" s="40"/>
      <c r="H163" s="40"/>
      <c r="I163" s="40"/>
      <c r="J163" s="43"/>
      <c r="K163" s="43">
        <f>IF(I163="Professional Billing Rate",J163,'Lists &amp; Settings'!$E$2)</f>
        <v>35.47</v>
      </c>
      <c r="L163" s="40"/>
    </row>
    <row r="164">
      <c r="A164" s="28" t="str">
        <f t="shared" si="1"/>
        <v/>
      </c>
      <c r="B164" s="28"/>
      <c r="C164" s="28"/>
      <c r="D164" s="26" t="str">
        <f t="shared" si="2"/>
        <v/>
      </c>
      <c r="E164" s="28"/>
      <c r="F164" s="35"/>
      <c r="G164" s="28"/>
      <c r="H164" s="28"/>
      <c r="I164" s="28"/>
      <c r="J164" s="37"/>
      <c r="K164" s="37">
        <f>IF(I164="Professional Billing Rate",J164,'Lists &amp; Settings'!$E$2)</f>
        <v>35.47</v>
      </c>
      <c r="L164" s="28"/>
    </row>
    <row r="165">
      <c r="A165" s="40" t="str">
        <f t="shared" si="1"/>
        <v/>
      </c>
      <c r="B165" s="40"/>
      <c r="C165" s="40"/>
      <c r="D165" s="41" t="str">
        <f t="shared" si="2"/>
        <v/>
      </c>
      <c r="E165" s="40"/>
      <c r="F165" s="42"/>
      <c r="G165" s="40"/>
      <c r="H165" s="40"/>
      <c r="I165" s="40"/>
      <c r="J165" s="43"/>
      <c r="K165" s="43">
        <f>IF(I165="Professional Billing Rate",J165,'Lists &amp; Settings'!$E$2)</f>
        <v>35.47</v>
      </c>
      <c r="L165" s="40"/>
    </row>
    <row r="166">
      <c r="A166" s="28" t="str">
        <f t="shared" si="1"/>
        <v/>
      </c>
      <c r="B166" s="28"/>
      <c r="C166" s="28"/>
      <c r="D166" s="26" t="str">
        <f t="shared" si="2"/>
        <v/>
      </c>
      <c r="E166" s="28"/>
      <c r="F166" s="35"/>
      <c r="G166" s="28"/>
      <c r="H166" s="28"/>
      <c r="I166" s="28"/>
      <c r="J166" s="37"/>
      <c r="K166" s="37">
        <f>IF(I166="Professional Billing Rate",J166,'Lists &amp; Settings'!$E$2)</f>
        <v>35.47</v>
      </c>
      <c r="L166" s="28"/>
    </row>
    <row r="167">
      <c r="A167" s="40" t="str">
        <f t="shared" si="1"/>
        <v/>
      </c>
      <c r="B167" s="40"/>
      <c r="C167" s="40"/>
      <c r="D167" s="41" t="str">
        <f t="shared" si="2"/>
        <v/>
      </c>
      <c r="E167" s="40"/>
      <c r="F167" s="42"/>
      <c r="G167" s="40"/>
      <c r="H167" s="40"/>
      <c r="I167" s="40"/>
      <c r="J167" s="43"/>
      <c r="K167" s="43">
        <f>IF(I167="Professional Billing Rate",J167,'Lists &amp; Settings'!$E$2)</f>
        <v>35.47</v>
      </c>
      <c r="L167" s="40"/>
    </row>
    <row r="168">
      <c r="A168" s="28" t="str">
        <f t="shared" si="1"/>
        <v/>
      </c>
      <c r="B168" s="28"/>
      <c r="C168" s="28"/>
      <c r="D168" s="26" t="str">
        <f t="shared" si="2"/>
        <v/>
      </c>
      <c r="E168" s="28"/>
      <c r="F168" s="35"/>
      <c r="G168" s="28"/>
      <c r="H168" s="28"/>
      <c r="I168" s="28"/>
      <c r="J168" s="37"/>
      <c r="K168" s="37">
        <f>IF(I168="Professional Billing Rate",J168,'Lists &amp; Settings'!$E$2)</f>
        <v>35.47</v>
      </c>
      <c r="L168" s="28"/>
    </row>
    <row r="169">
      <c r="A169" s="40" t="str">
        <f t="shared" si="1"/>
        <v/>
      </c>
      <c r="B169" s="40"/>
      <c r="C169" s="40"/>
      <c r="D169" s="41" t="str">
        <f t="shared" si="2"/>
        <v/>
      </c>
      <c r="E169" s="40"/>
      <c r="F169" s="42"/>
      <c r="G169" s="40"/>
      <c r="H169" s="40"/>
      <c r="I169" s="40"/>
      <c r="J169" s="43"/>
      <c r="K169" s="43">
        <f>IF(I169="Professional Billing Rate",J169,'Lists &amp; Settings'!$E$2)</f>
        <v>35.47</v>
      </c>
      <c r="L169" s="40"/>
    </row>
    <row r="170">
      <c r="A170" s="28" t="str">
        <f t="shared" si="1"/>
        <v/>
      </c>
      <c r="B170" s="28"/>
      <c r="C170" s="28"/>
      <c r="D170" s="26" t="str">
        <f t="shared" si="2"/>
        <v/>
      </c>
      <c r="E170" s="28"/>
      <c r="F170" s="35"/>
      <c r="G170" s="28"/>
      <c r="H170" s="28"/>
      <c r="I170" s="28"/>
      <c r="J170" s="37"/>
      <c r="K170" s="37">
        <f>IF(I170="Professional Billing Rate",J170,'Lists &amp; Settings'!$E$2)</f>
        <v>35.47</v>
      </c>
      <c r="L170" s="28"/>
    </row>
    <row r="171">
      <c r="A171" s="40" t="str">
        <f t="shared" si="1"/>
        <v/>
      </c>
      <c r="B171" s="40"/>
      <c r="C171" s="40"/>
      <c r="D171" s="41" t="str">
        <f t="shared" si="2"/>
        <v/>
      </c>
      <c r="E171" s="40"/>
      <c r="F171" s="42"/>
      <c r="G171" s="40"/>
      <c r="H171" s="40"/>
      <c r="I171" s="40"/>
      <c r="J171" s="43"/>
      <c r="K171" s="43">
        <f>IF(I171="Professional Billing Rate",J171,'Lists &amp; Settings'!$E$2)</f>
        <v>35.47</v>
      </c>
      <c r="L171" s="40"/>
    </row>
    <row r="172">
      <c r="A172" s="28" t="str">
        <f t="shared" si="1"/>
        <v/>
      </c>
      <c r="B172" s="28"/>
      <c r="C172" s="28"/>
      <c r="D172" s="26" t="str">
        <f t="shared" si="2"/>
        <v/>
      </c>
      <c r="E172" s="28"/>
      <c r="F172" s="35"/>
      <c r="G172" s="28"/>
      <c r="H172" s="28"/>
      <c r="I172" s="28"/>
      <c r="J172" s="37"/>
      <c r="K172" s="37">
        <f>IF(I172="Professional Billing Rate",J172,'Lists &amp; Settings'!$E$2)</f>
        <v>35.47</v>
      </c>
      <c r="L172" s="28"/>
    </row>
    <row r="173">
      <c r="A173" s="40" t="str">
        <f t="shared" si="1"/>
        <v/>
      </c>
      <c r="B173" s="40"/>
      <c r="C173" s="40"/>
      <c r="D173" s="41" t="str">
        <f t="shared" si="2"/>
        <v/>
      </c>
      <c r="E173" s="40"/>
      <c r="F173" s="42"/>
      <c r="G173" s="40"/>
      <c r="H173" s="40"/>
      <c r="I173" s="40"/>
      <c r="J173" s="43"/>
      <c r="K173" s="43">
        <f>IF(I173="Professional Billing Rate",J173,'Lists &amp; Settings'!$E$2)</f>
        <v>35.47</v>
      </c>
      <c r="L173" s="40"/>
    </row>
    <row r="174">
      <c r="A174" s="28" t="str">
        <f t="shared" si="1"/>
        <v/>
      </c>
      <c r="B174" s="28"/>
      <c r="C174" s="28"/>
      <c r="D174" s="26" t="str">
        <f t="shared" si="2"/>
        <v/>
      </c>
      <c r="E174" s="28"/>
      <c r="F174" s="35"/>
      <c r="G174" s="28"/>
      <c r="H174" s="28"/>
      <c r="I174" s="28"/>
      <c r="J174" s="37"/>
      <c r="K174" s="37">
        <f>IF(I174="Professional Billing Rate",J174,'Lists &amp; Settings'!$E$2)</f>
        <v>35.47</v>
      </c>
      <c r="L174" s="28"/>
    </row>
    <row r="175">
      <c r="A175" s="40" t="str">
        <f t="shared" si="1"/>
        <v/>
      </c>
      <c r="B175" s="40"/>
      <c r="C175" s="40"/>
      <c r="D175" s="41" t="str">
        <f t="shared" si="2"/>
        <v/>
      </c>
      <c r="E175" s="40"/>
      <c r="F175" s="42"/>
      <c r="G175" s="40"/>
      <c r="H175" s="40"/>
      <c r="I175" s="40"/>
      <c r="J175" s="43"/>
      <c r="K175" s="43">
        <f>IF(I175="Professional Billing Rate",J175,'Lists &amp; Settings'!$E$2)</f>
        <v>35.47</v>
      </c>
      <c r="L175" s="40"/>
    </row>
    <row r="176">
      <c r="A176" s="28" t="str">
        <f t="shared" si="1"/>
        <v/>
      </c>
      <c r="B176" s="28"/>
      <c r="C176" s="28"/>
      <c r="D176" s="26" t="str">
        <f t="shared" si="2"/>
        <v/>
      </c>
      <c r="E176" s="28"/>
      <c r="F176" s="35"/>
      <c r="G176" s="28"/>
      <c r="H176" s="28"/>
      <c r="I176" s="28"/>
      <c r="J176" s="37"/>
      <c r="K176" s="37">
        <f>IF(I176="Professional Billing Rate",J176,'Lists &amp; Settings'!$E$2)</f>
        <v>35.47</v>
      </c>
      <c r="L176" s="28"/>
    </row>
    <row r="177">
      <c r="A177" s="40" t="str">
        <f t="shared" si="1"/>
        <v/>
      </c>
      <c r="B177" s="40"/>
      <c r="C177" s="40"/>
      <c r="D177" s="41" t="str">
        <f t="shared" si="2"/>
        <v/>
      </c>
      <c r="E177" s="40"/>
      <c r="F177" s="42"/>
      <c r="G177" s="40"/>
      <c r="H177" s="40"/>
      <c r="I177" s="40"/>
      <c r="J177" s="43"/>
      <c r="K177" s="43">
        <f>IF(I177="Professional Billing Rate",J177,'Lists &amp; Settings'!$E$2)</f>
        <v>35.47</v>
      </c>
      <c r="L177" s="40"/>
    </row>
    <row r="178">
      <c r="A178" s="28" t="str">
        <f t="shared" si="1"/>
        <v/>
      </c>
      <c r="B178" s="28"/>
      <c r="C178" s="28"/>
      <c r="D178" s="26" t="str">
        <f t="shared" si="2"/>
        <v/>
      </c>
      <c r="E178" s="28"/>
      <c r="F178" s="35"/>
      <c r="G178" s="28"/>
      <c r="H178" s="28"/>
      <c r="I178" s="28"/>
      <c r="J178" s="37"/>
      <c r="K178" s="37">
        <f>IF(I178="Professional Billing Rate",J178,'Lists &amp; Settings'!$E$2)</f>
        <v>35.47</v>
      </c>
      <c r="L178" s="28"/>
    </row>
    <row r="179">
      <c r="A179" s="40" t="str">
        <f t="shared" si="1"/>
        <v/>
      </c>
      <c r="B179" s="40"/>
      <c r="C179" s="40"/>
      <c r="D179" s="41" t="str">
        <f t="shared" si="2"/>
        <v/>
      </c>
      <c r="E179" s="40"/>
      <c r="F179" s="42"/>
      <c r="G179" s="40"/>
      <c r="H179" s="40"/>
      <c r="I179" s="40"/>
      <c r="J179" s="43"/>
      <c r="K179" s="43">
        <f>IF(I179="Professional Billing Rate",J179,'Lists &amp; Settings'!$E$2)</f>
        <v>35.47</v>
      </c>
      <c r="L179" s="40"/>
    </row>
    <row r="180">
      <c r="A180" s="28" t="str">
        <f t="shared" si="1"/>
        <v/>
      </c>
      <c r="B180" s="28"/>
      <c r="C180" s="28"/>
      <c r="D180" s="26" t="str">
        <f t="shared" si="2"/>
        <v/>
      </c>
      <c r="E180" s="28"/>
      <c r="F180" s="35"/>
      <c r="G180" s="28"/>
      <c r="H180" s="28"/>
      <c r="I180" s="28"/>
      <c r="J180" s="37"/>
      <c r="K180" s="37">
        <f>IF(I180="Professional Billing Rate",J180,'Lists &amp; Settings'!$E$2)</f>
        <v>35.47</v>
      </c>
      <c r="L180" s="28"/>
    </row>
    <row r="181">
      <c r="A181" s="40" t="str">
        <f t="shared" si="1"/>
        <v/>
      </c>
      <c r="B181" s="40"/>
      <c r="C181" s="40"/>
      <c r="D181" s="41" t="str">
        <f t="shared" si="2"/>
        <v/>
      </c>
      <c r="E181" s="40"/>
      <c r="F181" s="42"/>
      <c r="G181" s="40"/>
      <c r="H181" s="40"/>
      <c r="I181" s="40"/>
      <c r="J181" s="43"/>
      <c r="K181" s="43">
        <f>IF(I181="Professional Billing Rate",J181,'Lists &amp; Settings'!$E$2)</f>
        <v>35.47</v>
      </c>
      <c r="L181" s="40"/>
    </row>
    <row r="182">
      <c r="A182" s="28" t="str">
        <f t="shared" si="1"/>
        <v/>
      </c>
      <c r="B182" s="28"/>
      <c r="C182" s="28"/>
      <c r="D182" s="26" t="str">
        <f t="shared" si="2"/>
        <v/>
      </c>
      <c r="E182" s="28"/>
      <c r="F182" s="35"/>
      <c r="G182" s="28"/>
      <c r="H182" s="28"/>
      <c r="I182" s="28"/>
      <c r="J182" s="37"/>
      <c r="K182" s="37">
        <f>IF(I182="Professional Billing Rate",J182,'Lists &amp; Settings'!$E$2)</f>
        <v>35.47</v>
      </c>
      <c r="L182" s="28"/>
    </row>
    <row r="183">
      <c r="A183" s="40" t="str">
        <f t="shared" si="1"/>
        <v/>
      </c>
      <c r="B183" s="40"/>
      <c r="C183" s="40"/>
      <c r="D183" s="41" t="str">
        <f t="shared" si="2"/>
        <v/>
      </c>
      <c r="E183" s="40"/>
      <c r="F183" s="42"/>
      <c r="G183" s="40"/>
      <c r="H183" s="40"/>
      <c r="I183" s="40"/>
      <c r="J183" s="43"/>
      <c r="K183" s="43">
        <f>IF(I183="Professional Billing Rate",J183,'Lists &amp; Settings'!$E$2)</f>
        <v>35.47</v>
      </c>
      <c r="L183" s="40"/>
    </row>
    <row r="184">
      <c r="A184" s="28" t="str">
        <f t="shared" si="1"/>
        <v/>
      </c>
      <c r="B184" s="28"/>
      <c r="C184" s="28"/>
      <c r="D184" s="26" t="str">
        <f t="shared" si="2"/>
        <v/>
      </c>
      <c r="E184" s="28"/>
      <c r="F184" s="35"/>
      <c r="G184" s="28"/>
      <c r="H184" s="28"/>
      <c r="I184" s="28"/>
      <c r="J184" s="37"/>
      <c r="K184" s="37">
        <f>IF(I184="Professional Billing Rate",J184,'Lists &amp; Settings'!$E$2)</f>
        <v>35.47</v>
      </c>
      <c r="L184" s="28"/>
    </row>
    <row r="185">
      <c r="A185" s="40" t="str">
        <f t="shared" si="1"/>
        <v/>
      </c>
      <c r="B185" s="40"/>
      <c r="C185" s="40"/>
      <c r="D185" s="41" t="str">
        <f t="shared" si="2"/>
        <v/>
      </c>
      <c r="E185" s="40"/>
      <c r="F185" s="42"/>
      <c r="G185" s="40"/>
      <c r="H185" s="40"/>
      <c r="I185" s="40"/>
      <c r="J185" s="43"/>
      <c r="K185" s="43">
        <f>IF(I185="Professional Billing Rate",J185,'Lists &amp; Settings'!$E$2)</f>
        <v>35.47</v>
      </c>
      <c r="L185" s="40"/>
    </row>
    <row r="186">
      <c r="A186" s="28" t="str">
        <f t="shared" si="1"/>
        <v/>
      </c>
      <c r="B186" s="28"/>
      <c r="C186" s="28"/>
      <c r="D186" s="26" t="str">
        <f t="shared" si="2"/>
        <v/>
      </c>
      <c r="E186" s="28"/>
      <c r="F186" s="35"/>
      <c r="G186" s="28"/>
      <c r="H186" s="28"/>
      <c r="I186" s="28"/>
      <c r="J186" s="37"/>
      <c r="K186" s="37">
        <f>IF(I186="Professional Billing Rate",J186,'Lists &amp; Settings'!$E$2)</f>
        <v>35.47</v>
      </c>
      <c r="L186" s="28"/>
    </row>
    <row r="187">
      <c r="A187" s="40" t="str">
        <f t="shared" si="1"/>
        <v/>
      </c>
      <c r="B187" s="40"/>
      <c r="C187" s="40"/>
      <c r="D187" s="41" t="str">
        <f t="shared" si="2"/>
        <v/>
      </c>
      <c r="E187" s="40"/>
      <c r="F187" s="42"/>
      <c r="G187" s="40"/>
      <c r="H187" s="40"/>
      <c r="I187" s="40"/>
      <c r="J187" s="43"/>
      <c r="K187" s="43">
        <f>IF(I187="Professional Billing Rate",J187,'Lists &amp; Settings'!$E$2)</f>
        <v>35.47</v>
      </c>
      <c r="L187" s="40"/>
    </row>
    <row r="188">
      <c r="A188" s="28" t="str">
        <f t="shared" si="1"/>
        <v/>
      </c>
      <c r="B188" s="28"/>
      <c r="C188" s="28"/>
      <c r="D188" s="26" t="str">
        <f t="shared" si="2"/>
        <v/>
      </c>
      <c r="E188" s="28"/>
      <c r="F188" s="35"/>
      <c r="G188" s="28"/>
      <c r="H188" s="28"/>
      <c r="I188" s="28"/>
      <c r="J188" s="37"/>
      <c r="K188" s="37">
        <f>IF(I188="Professional Billing Rate",J188,'Lists &amp; Settings'!$E$2)</f>
        <v>35.47</v>
      </c>
      <c r="L188" s="28"/>
    </row>
    <row r="189">
      <c r="A189" s="40" t="str">
        <f t="shared" si="1"/>
        <v/>
      </c>
      <c r="B189" s="40"/>
      <c r="C189" s="40"/>
      <c r="D189" s="41" t="str">
        <f t="shared" si="2"/>
        <v/>
      </c>
      <c r="E189" s="40"/>
      <c r="F189" s="42"/>
      <c r="G189" s="40"/>
      <c r="H189" s="40"/>
      <c r="I189" s="40"/>
      <c r="J189" s="43"/>
      <c r="K189" s="43">
        <f>IF(I189="Professional Billing Rate",J189,'Lists &amp; Settings'!$E$2)</f>
        <v>35.47</v>
      </c>
      <c r="L189" s="40"/>
    </row>
    <row r="190">
      <c r="A190" s="28" t="str">
        <f t="shared" si="1"/>
        <v/>
      </c>
      <c r="B190" s="28"/>
      <c r="C190" s="28"/>
      <c r="D190" s="26" t="str">
        <f t="shared" si="2"/>
        <v/>
      </c>
      <c r="E190" s="28"/>
      <c r="F190" s="35"/>
      <c r="G190" s="28"/>
      <c r="H190" s="28"/>
      <c r="I190" s="28"/>
      <c r="J190" s="37"/>
      <c r="K190" s="37">
        <f>IF(I190="Professional Billing Rate",J190,'Lists &amp; Settings'!$E$2)</f>
        <v>35.47</v>
      </c>
      <c r="L190" s="28"/>
    </row>
    <row r="191">
      <c r="A191" s="40" t="str">
        <f t="shared" si="1"/>
        <v/>
      </c>
      <c r="B191" s="40"/>
      <c r="C191" s="40"/>
      <c r="D191" s="41" t="str">
        <f t="shared" si="2"/>
        <v/>
      </c>
      <c r="E191" s="40"/>
      <c r="F191" s="42"/>
      <c r="G191" s="40"/>
      <c r="H191" s="40"/>
      <c r="I191" s="40"/>
      <c r="J191" s="43"/>
      <c r="K191" s="43">
        <f>IF(I191="Professional Billing Rate",J191,'Lists &amp; Settings'!$E$2)</f>
        <v>35.47</v>
      </c>
      <c r="L191" s="40"/>
    </row>
    <row r="192">
      <c r="A192" s="28" t="str">
        <f t="shared" si="1"/>
        <v/>
      </c>
      <c r="B192" s="28"/>
      <c r="C192" s="28"/>
      <c r="D192" s="26" t="str">
        <f t="shared" si="2"/>
        <v/>
      </c>
      <c r="E192" s="28"/>
      <c r="F192" s="35"/>
      <c r="G192" s="28"/>
      <c r="H192" s="28"/>
      <c r="I192" s="28"/>
      <c r="J192" s="37"/>
      <c r="K192" s="37">
        <f>IF(I192="Professional Billing Rate",J192,'Lists &amp; Settings'!$E$2)</f>
        <v>35.47</v>
      </c>
      <c r="L192" s="28"/>
    </row>
    <row r="193">
      <c r="A193" s="40" t="str">
        <f t="shared" si="1"/>
        <v/>
      </c>
      <c r="B193" s="40"/>
      <c r="C193" s="40"/>
      <c r="D193" s="41" t="str">
        <f t="shared" si="2"/>
        <v/>
      </c>
      <c r="E193" s="40"/>
      <c r="F193" s="42"/>
      <c r="G193" s="40"/>
      <c r="H193" s="40"/>
      <c r="I193" s="40"/>
      <c r="J193" s="43"/>
      <c r="K193" s="43">
        <f>IF(I193="Professional Billing Rate",J193,'Lists &amp; Settings'!$E$2)</f>
        <v>35.47</v>
      </c>
      <c r="L193" s="40"/>
    </row>
    <row r="194">
      <c r="A194" s="28" t="str">
        <f t="shared" si="1"/>
        <v/>
      </c>
      <c r="B194" s="28"/>
      <c r="C194" s="28"/>
      <c r="D194" s="26" t="str">
        <f t="shared" si="2"/>
        <v/>
      </c>
      <c r="E194" s="28"/>
      <c r="F194" s="35"/>
      <c r="G194" s="28"/>
      <c r="H194" s="28"/>
      <c r="I194" s="28"/>
      <c r="J194" s="37"/>
      <c r="K194" s="37">
        <f>IF(I194="Professional Billing Rate",J194,'Lists &amp; Settings'!$E$2)</f>
        <v>35.47</v>
      </c>
      <c r="L194" s="28"/>
    </row>
    <row r="195">
      <c r="A195" s="40" t="str">
        <f t="shared" si="1"/>
        <v/>
      </c>
      <c r="B195" s="40"/>
      <c r="C195" s="40"/>
      <c r="D195" s="41" t="str">
        <f t="shared" si="2"/>
        <v/>
      </c>
      <c r="E195" s="40"/>
      <c r="F195" s="42"/>
      <c r="G195" s="40"/>
      <c r="H195" s="40"/>
      <c r="I195" s="40"/>
      <c r="J195" s="43"/>
      <c r="K195" s="43">
        <f>IF(I195="Professional Billing Rate",J195,'Lists &amp; Settings'!$E$2)</f>
        <v>35.47</v>
      </c>
      <c r="L195" s="40"/>
    </row>
    <row r="196">
      <c r="A196" s="28" t="str">
        <f t="shared" si="1"/>
        <v/>
      </c>
      <c r="B196" s="28"/>
      <c r="C196" s="28"/>
      <c r="D196" s="26" t="str">
        <f t="shared" si="2"/>
        <v/>
      </c>
      <c r="E196" s="28"/>
      <c r="F196" s="35"/>
      <c r="G196" s="28"/>
      <c r="H196" s="28"/>
      <c r="I196" s="28"/>
      <c r="J196" s="37"/>
      <c r="K196" s="37">
        <f>IF(I196="Professional Billing Rate",J196,'Lists &amp; Settings'!$E$2)</f>
        <v>35.47</v>
      </c>
      <c r="L196" s="28"/>
    </row>
    <row r="197">
      <c r="A197" s="40" t="str">
        <f t="shared" si="1"/>
        <v/>
      </c>
      <c r="B197" s="40"/>
      <c r="C197" s="40"/>
      <c r="D197" s="41" t="str">
        <f t="shared" si="2"/>
        <v/>
      </c>
      <c r="E197" s="40"/>
      <c r="F197" s="42"/>
      <c r="G197" s="40"/>
      <c r="H197" s="40"/>
      <c r="I197" s="40"/>
      <c r="J197" s="43"/>
      <c r="K197" s="43">
        <f>IF(I197="Professional Billing Rate",J197,'Lists &amp; Settings'!$E$2)</f>
        <v>35.47</v>
      </c>
      <c r="L197" s="40"/>
    </row>
    <row r="198">
      <c r="A198" s="28" t="str">
        <f t="shared" si="1"/>
        <v/>
      </c>
      <c r="B198" s="28"/>
      <c r="C198" s="28"/>
      <c r="D198" s="26" t="str">
        <f t="shared" si="2"/>
        <v/>
      </c>
      <c r="E198" s="28"/>
      <c r="F198" s="35"/>
      <c r="G198" s="28"/>
      <c r="H198" s="28"/>
      <c r="I198" s="28"/>
      <c r="J198" s="37"/>
      <c r="K198" s="37">
        <f>IF(I198="Professional Billing Rate",J198,'Lists &amp; Settings'!$E$2)</f>
        <v>35.47</v>
      </c>
      <c r="L198" s="28"/>
    </row>
    <row r="199">
      <c r="A199" s="40" t="str">
        <f t="shared" si="1"/>
        <v/>
      </c>
      <c r="B199" s="40"/>
      <c r="C199" s="40"/>
      <c r="D199" s="41" t="str">
        <f t="shared" si="2"/>
        <v/>
      </c>
      <c r="E199" s="40"/>
      <c r="F199" s="42"/>
      <c r="G199" s="40"/>
      <c r="H199" s="40"/>
      <c r="I199" s="40"/>
      <c r="J199" s="43"/>
      <c r="K199" s="43">
        <f>IF(I199="Professional Billing Rate",J199,'Lists &amp; Settings'!$E$2)</f>
        <v>35.47</v>
      </c>
      <c r="L199" s="40"/>
    </row>
    <row r="200">
      <c r="A200" s="28" t="str">
        <f t="shared" si="1"/>
        <v/>
      </c>
      <c r="B200" s="28"/>
      <c r="C200" s="28"/>
      <c r="D200" s="26" t="str">
        <f t="shared" si="2"/>
        <v/>
      </c>
      <c r="E200" s="28"/>
      <c r="F200" s="35"/>
      <c r="G200" s="28"/>
      <c r="H200" s="28"/>
      <c r="I200" s="28"/>
      <c r="J200" s="37"/>
      <c r="K200" s="37">
        <f>IF(I200="Professional Billing Rate",J200,'Lists &amp; Settings'!$E$2)</f>
        <v>35.47</v>
      </c>
      <c r="L200" s="28"/>
    </row>
    <row r="201">
      <c r="A201" s="40" t="str">
        <f t="shared" si="1"/>
        <v/>
      </c>
      <c r="B201" s="40"/>
      <c r="C201" s="40"/>
      <c r="D201" s="41" t="str">
        <f t="shared" si="2"/>
        <v/>
      </c>
      <c r="E201" s="40"/>
      <c r="F201" s="42"/>
      <c r="G201" s="40"/>
      <c r="H201" s="40"/>
      <c r="I201" s="40"/>
      <c r="J201" s="43"/>
      <c r="K201" s="43">
        <f>IF(I201="Professional Billing Rate",J201,'Lists &amp; Settings'!$E$2)</f>
        <v>35.47</v>
      </c>
      <c r="L201" s="40"/>
    </row>
    <row r="202">
      <c r="A202" s="28" t="str">
        <f t="shared" si="1"/>
        <v/>
      </c>
      <c r="B202" s="28"/>
      <c r="C202" s="28"/>
      <c r="D202" s="26" t="str">
        <f t="shared" si="2"/>
        <v/>
      </c>
      <c r="E202" s="28"/>
      <c r="F202" s="35"/>
      <c r="G202" s="28"/>
      <c r="H202" s="28"/>
      <c r="I202" s="28"/>
      <c r="J202" s="37"/>
      <c r="K202" s="37">
        <f>IF(I202="Professional Billing Rate",J202,'Lists &amp; Settings'!$E$2)</f>
        <v>35.47</v>
      </c>
      <c r="L202" s="28"/>
    </row>
    <row r="203">
      <c r="A203" s="40" t="str">
        <f t="shared" si="1"/>
        <v/>
      </c>
      <c r="B203" s="40"/>
      <c r="C203" s="40"/>
      <c r="D203" s="41" t="str">
        <f t="shared" si="2"/>
        <v/>
      </c>
      <c r="E203" s="40"/>
      <c r="F203" s="42"/>
      <c r="G203" s="40"/>
      <c r="H203" s="40"/>
      <c r="I203" s="40"/>
      <c r="J203" s="43"/>
      <c r="K203" s="43">
        <f>IF(I203="Professional Billing Rate",J203,'Lists &amp; Settings'!$E$2)</f>
        <v>35.47</v>
      </c>
      <c r="L203" s="40"/>
    </row>
    <row r="204">
      <c r="A204" s="28" t="str">
        <f t="shared" si="1"/>
        <v/>
      </c>
      <c r="B204" s="28"/>
      <c r="C204" s="28"/>
      <c r="D204" s="26" t="str">
        <f t="shared" si="2"/>
        <v/>
      </c>
      <c r="E204" s="28"/>
      <c r="F204" s="35"/>
      <c r="G204" s="28"/>
      <c r="H204" s="28"/>
      <c r="I204" s="28"/>
      <c r="J204" s="37"/>
      <c r="K204" s="37">
        <f>IF(I204="Professional Billing Rate",J204,'Lists &amp; Settings'!$E$2)</f>
        <v>35.47</v>
      </c>
      <c r="L204" s="28"/>
    </row>
    <row r="205">
      <c r="A205" s="40" t="str">
        <f t="shared" si="1"/>
        <v/>
      </c>
      <c r="B205" s="40"/>
      <c r="C205" s="40"/>
      <c r="D205" s="41" t="str">
        <f t="shared" si="2"/>
        <v/>
      </c>
      <c r="E205" s="40"/>
      <c r="F205" s="42"/>
      <c r="G205" s="40"/>
      <c r="H205" s="40"/>
      <c r="I205" s="40"/>
      <c r="J205" s="43"/>
      <c r="K205" s="43">
        <f>IF(I205="Professional Billing Rate",J205,'Lists &amp; Settings'!$E$2)</f>
        <v>35.47</v>
      </c>
      <c r="L205" s="40"/>
    </row>
    <row r="206">
      <c r="A206" s="28" t="str">
        <f t="shared" si="1"/>
        <v/>
      </c>
      <c r="B206" s="28"/>
      <c r="C206" s="28"/>
      <c r="D206" s="26" t="str">
        <f t="shared" si="2"/>
        <v/>
      </c>
      <c r="E206" s="28"/>
      <c r="F206" s="35"/>
      <c r="G206" s="28"/>
      <c r="H206" s="28"/>
      <c r="I206" s="28"/>
      <c r="J206" s="37"/>
      <c r="K206" s="37">
        <f>IF(I206="Professional Billing Rate",J206,'Lists &amp; Settings'!$E$2)</f>
        <v>35.47</v>
      </c>
      <c r="L206" s="28"/>
    </row>
    <row r="207">
      <c r="A207" s="40" t="str">
        <f t="shared" si="1"/>
        <v/>
      </c>
      <c r="B207" s="40"/>
      <c r="C207" s="40"/>
      <c r="D207" s="41" t="str">
        <f t="shared" si="2"/>
        <v/>
      </c>
      <c r="E207" s="40"/>
      <c r="F207" s="42"/>
      <c r="G207" s="40"/>
      <c r="H207" s="40"/>
      <c r="I207" s="40"/>
      <c r="J207" s="43"/>
      <c r="K207" s="43">
        <f>IF(I207="Professional Billing Rate",J207,'Lists &amp; Settings'!$E$2)</f>
        <v>35.47</v>
      </c>
      <c r="L207" s="40"/>
    </row>
    <row r="208">
      <c r="A208" s="28" t="str">
        <f t="shared" si="1"/>
        <v/>
      </c>
      <c r="B208" s="28"/>
      <c r="C208" s="28"/>
      <c r="D208" s="26" t="str">
        <f t="shared" si="2"/>
        <v/>
      </c>
      <c r="E208" s="28"/>
      <c r="F208" s="35"/>
      <c r="G208" s="28"/>
      <c r="H208" s="28"/>
      <c r="I208" s="28"/>
      <c r="J208" s="37"/>
      <c r="K208" s="37">
        <f>IF(I208="Professional Billing Rate",J208,'Lists &amp; Settings'!$E$2)</f>
        <v>35.47</v>
      </c>
      <c r="L208" s="28"/>
    </row>
    <row r="209">
      <c r="A209" s="40" t="str">
        <f t="shared" si="1"/>
        <v/>
      </c>
      <c r="B209" s="40"/>
      <c r="C209" s="40"/>
      <c r="D209" s="41" t="str">
        <f t="shared" si="2"/>
        <v/>
      </c>
      <c r="E209" s="40"/>
      <c r="F209" s="42"/>
      <c r="G209" s="40"/>
      <c r="H209" s="40"/>
      <c r="I209" s="40"/>
      <c r="J209" s="43"/>
      <c r="K209" s="43">
        <f>IF(I209="Professional Billing Rate",J209,'Lists &amp; Settings'!$E$2)</f>
        <v>35.47</v>
      </c>
      <c r="L209" s="40"/>
    </row>
    <row r="210">
      <c r="A210" s="28" t="str">
        <f t="shared" si="1"/>
        <v/>
      </c>
      <c r="B210" s="28"/>
      <c r="C210" s="28"/>
      <c r="D210" s="26" t="str">
        <f t="shared" si="2"/>
        <v/>
      </c>
      <c r="E210" s="28"/>
      <c r="F210" s="35"/>
      <c r="G210" s="28"/>
      <c r="H210" s="28"/>
      <c r="I210" s="28"/>
      <c r="J210" s="37"/>
      <c r="K210" s="37">
        <f>IF(I210="Professional Billing Rate",J210,'Lists &amp; Settings'!$E$2)</f>
        <v>35.47</v>
      </c>
      <c r="L210" s="28"/>
    </row>
    <row r="211">
      <c r="A211" s="40" t="str">
        <f t="shared" si="1"/>
        <v/>
      </c>
      <c r="B211" s="40"/>
      <c r="C211" s="40"/>
      <c r="D211" s="41" t="str">
        <f t="shared" si="2"/>
        <v/>
      </c>
      <c r="E211" s="40"/>
      <c r="F211" s="42"/>
      <c r="G211" s="40"/>
      <c r="H211" s="40"/>
      <c r="I211" s="40"/>
      <c r="J211" s="43"/>
      <c r="K211" s="43">
        <f>IF(I211="Professional Billing Rate",J211,'Lists &amp; Settings'!$E$2)</f>
        <v>35.47</v>
      </c>
      <c r="L211" s="40"/>
    </row>
    <row r="212">
      <c r="A212" s="28" t="str">
        <f t="shared" si="1"/>
        <v/>
      </c>
      <c r="B212" s="28"/>
      <c r="C212" s="28"/>
      <c r="D212" s="26" t="str">
        <f t="shared" si="2"/>
        <v/>
      </c>
      <c r="E212" s="28"/>
      <c r="F212" s="35"/>
      <c r="G212" s="28"/>
      <c r="H212" s="28"/>
      <c r="I212" s="28"/>
      <c r="J212" s="37"/>
      <c r="K212" s="37">
        <f>IF(I212="Professional Billing Rate",J212,'Lists &amp; Settings'!$E$2)</f>
        <v>35.47</v>
      </c>
      <c r="L212" s="28"/>
    </row>
    <row r="213">
      <c r="A213" s="40" t="str">
        <f t="shared" si="1"/>
        <v/>
      </c>
      <c r="B213" s="40"/>
      <c r="C213" s="40"/>
      <c r="D213" s="41" t="str">
        <f t="shared" si="2"/>
        <v/>
      </c>
      <c r="E213" s="40"/>
      <c r="F213" s="42"/>
      <c r="G213" s="40"/>
      <c r="H213" s="40"/>
      <c r="I213" s="40"/>
      <c r="J213" s="43"/>
      <c r="K213" s="43">
        <f>IF(I213="Professional Billing Rate",J213,'Lists &amp; Settings'!$E$2)</f>
        <v>35.47</v>
      </c>
      <c r="L213" s="40"/>
    </row>
    <row r="214">
      <c r="A214" s="28" t="str">
        <f t="shared" si="1"/>
        <v/>
      </c>
      <c r="B214" s="28"/>
      <c r="C214" s="28"/>
      <c r="D214" s="26" t="str">
        <f t="shared" si="2"/>
        <v/>
      </c>
      <c r="E214" s="28"/>
      <c r="F214" s="35"/>
      <c r="G214" s="28"/>
      <c r="H214" s="28"/>
      <c r="I214" s="28"/>
      <c r="J214" s="37"/>
      <c r="K214" s="37">
        <f>IF(I214="Professional Billing Rate",J214,'Lists &amp; Settings'!$E$2)</f>
        <v>35.47</v>
      </c>
      <c r="L214" s="28"/>
    </row>
    <row r="215">
      <c r="A215" s="40" t="str">
        <f t="shared" si="1"/>
        <v/>
      </c>
      <c r="B215" s="40"/>
      <c r="C215" s="40"/>
      <c r="D215" s="41" t="str">
        <f t="shared" si="2"/>
        <v/>
      </c>
      <c r="E215" s="40"/>
      <c r="F215" s="42"/>
      <c r="G215" s="40"/>
      <c r="H215" s="40"/>
      <c r="I215" s="40"/>
      <c r="J215" s="43"/>
      <c r="K215" s="43">
        <f>IF(I215="Professional Billing Rate",J215,'Lists &amp; Settings'!$E$2)</f>
        <v>35.47</v>
      </c>
      <c r="L215" s="40"/>
    </row>
    <row r="216">
      <c r="A216" s="28" t="str">
        <f t="shared" si="1"/>
        <v/>
      </c>
      <c r="B216" s="28"/>
      <c r="C216" s="28"/>
      <c r="D216" s="26" t="str">
        <f t="shared" si="2"/>
        <v/>
      </c>
      <c r="E216" s="28"/>
      <c r="F216" s="35"/>
      <c r="G216" s="28"/>
      <c r="H216" s="28"/>
      <c r="I216" s="28"/>
      <c r="J216" s="37"/>
      <c r="K216" s="37">
        <f>IF(I216="Professional Billing Rate",J216,'Lists &amp; Settings'!$E$2)</f>
        <v>35.47</v>
      </c>
      <c r="L216" s="28"/>
    </row>
    <row r="217">
      <c r="A217" s="40" t="str">
        <f t="shared" si="1"/>
        <v/>
      </c>
      <c r="B217" s="40"/>
      <c r="C217" s="40"/>
      <c r="D217" s="41" t="str">
        <f t="shared" si="2"/>
        <v/>
      </c>
      <c r="E217" s="40"/>
      <c r="F217" s="42"/>
      <c r="G217" s="40"/>
      <c r="H217" s="40"/>
      <c r="I217" s="40"/>
      <c r="J217" s="43"/>
      <c r="K217" s="43">
        <f>IF(I217="Professional Billing Rate",J217,'Lists &amp; Settings'!$E$2)</f>
        <v>35.47</v>
      </c>
      <c r="L217" s="40"/>
    </row>
    <row r="218">
      <c r="A218" s="28" t="str">
        <f t="shared" si="1"/>
        <v/>
      </c>
      <c r="B218" s="28"/>
      <c r="C218" s="28"/>
      <c r="D218" s="26" t="str">
        <f t="shared" si="2"/>
        <v/>
      </c>
      <c r="E218" s="28"/>
      <c r="F218" s="35"/>
      <c r="G218" s="28"/>
      <c r="H218" s="28"/>
      <c r="I218" s="28"/>
      <c r="J218" s="37"/>
      <c r="K218" s="37">
        <f>IF(I218="Professional Billing Rate",J218,'Lists &amp; Settings'!$E$2)</f>
        <v>35.47</v>
      </c>
      <c r="L218" s="28"/>
    </row>
    <row r="219">
      <c r="A219" s="40" t="str">
        <f t="shared" si="1"/>
        <v/>
      </c>
      <c r="B219" s="40"/>
      <c r="C219" s="40"/>
      <c r="D219" s="41" t="str">
        <f t="shared" si="2"/>
        <v/>
      </c>
      <c r="E219" s="40"/>
      <c r="F219" s="42"/>
      <c r="G219" s="40"/>
      <c r="H219" s="40"/>
      <c r="I219" s="40"/>
      <c r="J219" s="43"/>
      <c r="K219" s="43">
        <f>IF(I219="Professional Billing Rate",J219,'Lists &amp; Settings'!$E$2)</f>
        <v>35.47</v>
      </c>
      <c r="L219" s="40"/>
    </row>
    <row r="220">
      <c r="A220" s="28" t="str">
        <f t="shared" si="1"/>
        <v/>
      </c>
      <c r="B220" s="28"/>
      <c r="C220" s="28"/>
      <c r="D220" s="26" t="str">
        <f t="shared" si="2"/>
        <v/>
      </c>
      <c r="E220" s="28"/>
      <c r="F220" s="35"/>
      <c r="G220" s="28"/>
      <c r="H220" s="28"/>
      <c r="I220" s="28"/>
      <c r="J220" s="37"/>
      <c r="K220" s="37">
        <f>IF(I220="Professional Billing Rate",J220,'Lists &amp; Settings'!$E$2)</f>
        <v>35.47</v>
      </c>
      <c r="L220" s="28"/>
    </row>
    <row r="221">
      <c r="A221" s="40" t="str">
        <f t="shared" si="1"/>
        <v/>
      </c>
      <c r="B221" s="40"/>
      <c r="C221" s="40"/>
      <c r="D221" s="41" t="str">
        <f t="shared" si="2"/>
        <v/>
      </c>
      <c r="E221" s="40"/>
      <c r="F221" s="42"/>
      <c r="G221" s="40"/>
      <c r="H221" s="40"/>
      <c r="I221" s="40"/>
      <c r="J221" s="43"/>
      <c r="K221" s="43">
        <f>IF(I221="Professional Billing Rate",J221,'Lists &amp; Settings'!$E$2)</f>
        <v>35.47</v>
      </c>
      <c r="L221" s="40"/>
    </row>
    <row r="222">
      <c r="A222" s="28" t="str">
        <f t="shared" si="1"/>
        <v/>
      </c>
      <c r="B222" s="28"/>
      <c r="C222" s="28"/>
      <c r="D222" s="26" t="str">
        <f t="shared" si="2"/>
        <v/>
      </c>
      <c r="E222" s="28"/>
      <c r="F222" s="35"/>
      <c r="G222" s="28"/>
      <c r="H222" s="28"/>
      <c r="I222" s="28"/>
      <c r="J222" s="37"/>
      <c r="K222" s="37">
        <f>IF(I222="Professional Billing Rate",J222,'Lists &amp; Settings'!$E$2)</f>
        <v>35.47</v>
      </c>
      <c r="L222" s="28"/>
    </row>
    <row r="223">
      <c r="A223" s="40" t="str">
        <f t="shared" si="1"/>
        <v/>
      </c>
      <c r="B223" s="40"/>
      <c r="C223" s="40"/>
      <c r="D223" s="41" t="str">
        <f t="shared" si="2"/>
        <v/>
      </c>
      <c r="E223" s="40"/>
      <c r="F223" s="42"/>
      <c r="G223" s="40"/>
      <c r="H223" s="40"/>
      <c r="I223" s="40"/>
      <c r="J223" s="43"/>
      <c r="K223" s="43">
        <f>IF(I223="Professional Billing Rate",J223,'Lists &amp; Settings'!$E$2)</f>
        <v>35.47</v>
      </c>
      <c r="L223" s="40"/>
    </row>
    <row r="224">
      <c r="A224" s="28" t="str">
        <f t="shared" si="1"/>
        <v/>
      </c>
      <c r="B224" s="28"/>
      <c r="C224" s="28"/>
      <c r="D224" s="26" t="str">
        <f t="shared" si="2"/>
        <v/>
      </c>
      <c r="E224" s="28"/>
      <c r="F224" s="35"/>
      <c r="G224" s="28"/>
      <c r="H224" s="28"/>
      <c r="I224" s="28"/>
      <c r="J224" s="37"/>
      <c r="K224" s="37">
        <f>IF(I224="Professional Billing Rate",J224,'Lists &amp; Settings'!$E$2)</f>
        <v>35.47</v>
      </c>
      <c r="L224" s="28"/>
    </row>
    <row r="225">
      <c r="A225" s="40" t="str">
        <f t="shared" si="1"/>
        <v/>
      </c>
      <c r="B225" s="40"/>
      <c r="C225" s="40"/>
      <c r="D225" s="41" t="str">
        <f t="shared" si="2"/>
        <v/>
      </c>
      <c r="E225" s="40"/>
      <c r="F225" s="42"/>
      <c r="G225" s="40"/>
      <c r="H225" s="40"/>
      <c r="I225" s="40"/>
      <c r="J225" s="43"/>
      <c r="K225" s="43">
        <f>IF(I225="Professional Billing Rate",J225,'Lists &amp; Settings'!$E$2)</f>
        <v>35.47</v>
      </c>
      <c r="L225" s="40"/>
    </row>
    <row r="226">
      <c r="A226" s="28" t="str">
        <f t="shared" si="1"/>
        <v/>
      </c>
      <c r="B226" s="28"/>
      <c r="C226" s="28"/>
      <c r="D226" s="26" t="str">
        <f t="shared" si="2"/>
        <v/>
      </c>
      <c r="E226" s="28"/>
      <c r="F226" s="35"/>
      <c r="G226" s="28"/>
      <c r="H226" s="28"/>
      <c r="I226" s="28"/>
      <c r="J226" s="37"/>
      <c r="K226" s="37">
        <f>IF(I226="Professional Billing Rate",J226,'Lists &amp; Settings'!$E$2)</f>
        <v>35.47</v>
      </c>
      <c r="L226" s="28"/>
    </row>
    <row r="227">
      <c r="A227" s="40" t="str">
        <f t="shared" si="1"/>
        <v/>
      </c>
      <c r="B227" s="40"/>
      <c r="C227" s="40"/>
      <c r="D227" s="41" t="str">
        <f t="shared" si="2"/>
        <v/>
      </c>
      <c r="E227" s="40"/>
      <c r="F227" s="42"/>
      <c r="G227" s="40"/>
      <c r="H227" s="40"/>
      <c r="I227" s="40"/>
      <c r="J227" s="43"/>
      <c r="K227" s="43">
        <f>IF(I227="Professional Billing Rate",J227,'Lists &amp; Settings'!$E$2)</f>
        <v>35.47</v>
      </c>
      <c r="L227" s="40"/>
    </row>
    <row r="228">
      <c r="A228" s="28" t="str">
        <f t="shared" si="1"/>
        <v/>
      </c>
      <c r="B228" s="28"/>
      <c r="C228" s="28"/>
      <c r="D228" s="26" t="str">
        <f t="shared" si="2"/>
        <v/>
      </c>
      <c r="E228" s="28"/>
      <c r="F228" s="35"/>
      <c r="G228" s="28"/>
      <c r="H228" s="28"/>
      <c r="I228" s="28"/>
      <c r="J228" s="37"/>
      <c r="K228" s="37">
        <f>IF(I228="Professional Billing Rate",J228,'Lists &amp; Settings'!$E$2)</f>
        <v>35.47</v>
      </c>
      <c r="L228" s="28"/>
    </row>
    <row r="229">
      <c r="A229" s="40" t="str">
        <f t="shared" si="1"/>
        <v/>
      </c>
      <c r="B229" s="40"/>
      <c r="C229" s="40"/>
      <c r="D229" s="41" t="str">
        <f t="shared" si="2"/>
        <v/>
      </c>
      <c r="E229" s="40"/>
      <c r="F229" s="42"/>
      <c r="G229" s="40"/>
      <c r="H229" s="40"/>
      <c r="I229" s="40"/>
      <c r="J229" s="43"/>
      <c r="K229" s="43">
        <f>IF(I229="Professional Billing Rate",J229,'Lists &amp; Settings'!$E$2)</f>
        <v>35.47</v>
      </c>
      <c r="L229" s="40"/>
    </row>
    <row r="230">
      <c r="A230" s="28" t="str">
        <f t="shared" si="1"/>
        <v/>
      </c>
      <c r="B230" s="28"/>
      <c r="C230" s="28"/>
      <c r="D230" s="26" t="str">
        <f t="shared" si="2"/>
        <v/>
      </c>
      <c r="E230" s="28"/>
      <c r="F230" s="35"/>
      <c r="G230" s="28"/>
      <c r="H230" s="28"/>
      <c r="I230" s="28"/>
      <c r="J230" s="37"/>
      <c r="K230" s="37">
        <f>IF(I230="Professional Billing Rate",J230,'Lists &amp; Settings'!$E$2)</f>
        <v>35.47</v>
      </c>
      <c r="L230" s="28"/>
    </row>
    <row r="231">
      <c r="A231" s="40" t="str">
        <f t="shared" si="1"/>
        <v/>
      </c>
      <c r="B231" s="40"/>
      <c r="C231" s="40"/>
      <c r="D231" s="41" t="str">
        <f t="shared" si="2"/>
        <v/>
      </c>
      <c r="E231" s="40"/>
      <c r="F231" s="42"/>
      <c r="G231" s="40"/>
      <c r="H231" s="40"/>
      <c r="I231" s="40"/>
      <c r="J231" s="43"/>
      <c r="K231" s="43">
        <f>IF(I231="Professional Billing Rate",J231,'Lists &amp; Settings'!$E$2)</f>
        <v>35.47</v>
      </c>
      <c r="L231" s="40"/>
    </row>
    <row r="232">
      <c r="A232" s="28" t="str">
        <f t="shared" si="1"/>
        <v/>
      </c>
      <c r="B232" s="28"/>
      <c r="C232" s="28"/>
      <c r="D232" s="26" t="str">
        <f t="shared" si="2"/>
        <v/>
      </c>
      <c r="E232" s="28"/>
      <c r="F232" s="35"/>
      <c r="G232" s="28"/>
      <c r="H232" s="28"/>
      <c r="I232" s="28"/>
      <c r="J232" s="37"/>
      <c r="K232" s="37">
        <f>IF(I232="Professional Billing Rate",J232,'Lists &amp; Settings'!$E$2)</f>
        <v>35.47</v>
      </c>
      <c r="L232" s="28"/>
    </row>
    <row r="233">
      <c r="A233" s="40" t="str">
        <f t="shared" si="1"/>
        <v/>
      </c>
      <c r="B233" s="40"/>
      <c r="C233" s="40"/>
      <c r="D233" s="41" t="str">
        <f t="shared" si="2"/>
        <v/>
      </c>
      <c r="E233" s="40"/>
      <c r="F233" s="42"/>
      <c r="G233" s="40"/>
      <c r="H233" s="40"/>
      <c r="I233" s="40"/>
      <c r="J233" s="43"/>
      <c r="K233" s="43">
        <f>IF(I233="Professional Billing Rate",J233,'Lists &amp; Settings'!$E$2)</f>
        <v>35.47</v>
      </c>
      <c r="L233" s="40"/>
    </row>
    <row r="234">
      <c r="A234" s="28" t="str">
        <f t="shared" si="1"/>
        <v/>
      </c>
      <c r="B234" s="28"/>
      <c r="C234" s="28"/>
      <c r="D234" s="26" t="str">
        <f t="shared" si="2"/>
        <v/>
      </c>
      <c r="E234" s="28"/>
      <c r="F234" s="35"/>
      <c r="G234" s="28"/>
      <c r="H234" s="28"/>
      <c r="I234" s="28"/>
      <c r="J234" s="37"/>
      <c r="K234" s="37">
        <f>IF(I234="Professional Billing Rate",J234,'Lists &amp; Settings'!$E$2)</f>
        <v>35.47</v>
      </c>
      <c r="L234" s="28"/>
    </row>
    <row r="235">
      <c r="A235" s="40" t="str">
        <f t="shared" si="1"/>
        <v/>
      </c>
      <c r="B235" s="40"/>
      <c r="C235" s="40"/>
      <c r="D235" s="41" t="str">
        <f t="shared" si="2"/>
        <v/>
      </c>
      <c r="E235" s="40"/>
      <c r="F235" s="42"/>
      <c r="G235" s="40"/>
      <c r="H235" s="40"/>
      <c r="I235" s="40"/>
      <c r="J235" s="43"/>
      <c r="K235" s="43">
        <f>IF(I235="Professional Billing Rate",J235,'Lists &amp; Settings'!$E$2)</f>
        <v>35.47</v>
      </c>
      <c r="L235" s="40"/>
    </row>
    <row r="236">
      <c r="A236" s="28" t="str">
        <f t="shared" si="1"/>
        <v/>
      </c>
      <c r="B236" s="28"/>
      <c r="C236" s="28"/>
      <c r="D236" s="26" t="str">
        <f t="shared" si="2"/>
        <v/>
      </c>
      <c r="E236" s="28"/>
      <c r="F236" s="35"/>
      <c r="G236" s="28"/>
      <c r="H236" s="28"/>
      <c r="I236" s="28"/>
      <c r="J236" s="37"/>
      <c r="K236" s="37">
        <f>IF(I236="Professional Billing Rate",J236,'Lists &amp; Settings'!$E$2)</f>
        <v>35.47</v>
      </c>
      <c r="L236" s="28"/>
    </row>
    <row r="237">
      <c r="A237" s="40" t="str">
        <f t="shared" si="1"/>
        <v/>
      </c>
      <c r="B237" s="40"/>
      <c r="C237" s="40"/>
      <c r="D237" s="41" t="str">
        <f t="shared" si="2"/>
        <v/>
      </c>
      <c r="E237" s="40"/>
      <c r="F237" s="42"/>
      <c r="G237" s="40"/>
      <c r="H237" s="40"/>
      <c r="I237" s="40"/>
      <c r="J237" s="43"/>
      <c r="K237" s="43">
        <f>IF(I237="Professional Billing Rate",J237,'Lists &amp; Settings'!$E$2)</f>
        <v>35.47</v>
      </c>
      <c r="L237" s="40"/>
    </row>
    <row r="238">
      <c r="A238" s="28" t="str">
        <f t="shared" si="1"/>
        <v/>
      </c>
      <c r="B238" s="28"/>
      <c r="C238" s="28"/>
      <c r="D238" s="26" t="str">
        <f t="shared" si="2"/>
        <v/>
      </c>
      <c r="E238" s="28"/>
      <c r="F238" s="35"/>
      <c r="G238" s="28"/>
      <c r="H238" s="28"/>
      <c r="I238" s="28"/>
      <c r="J238" s="37"/>
      <c r="K238" s="37">
        <f>IF(I238="Professional Billing Rate",J238,'Lists &amp; Settings'!$E$2)</f>
        <v>35.47</v>
      </c>
      <c r="L238" s="28"/>
    </row>
    <row r="239">
      <c r="A239" s="40" t="str">
        <f t="shared" si="1"/>
        <v/>
      </c>
      <c r="B239" s="40"/>
      <c r="C239" s="40"/>
      <c r="D239" s="41" t="str">
        <f t="shared" si="2"/>
        <v/>
      </c>
      <c r="E239" s="40"/>
      <c r="F239" s="42"/>
      <c r="G239" s="40"/>
      <c r="H239" s="40"/>
      <c r="I239" s="40"/>
      <c r="J239" s="43"/>
      <c r="K239" s="43">
        <f>IF(I239="Professional Billing Rate",J239,'Lists &amp; Settings'!$E$2)</f>
        <v>35.47</v>
      </c>
      <c r="L239" s="40"/>
    </row>
    <row r="240">
      <c r="A240" s="28" t="str">
        <f t="shared" si="1"/>
        <v/>
      </c>
      <c r="B240" s="28"/>
      <c r="C240" s="28"/>
      <c r="D240" s="26" t="str">
        <f t="shared" si="2"/>
        <v/>
      </c>
      <c r="E240" s="28"/>
      <c r="F240" s="35"/>
      <c r="G240" s="28"/>
      <c r="H240" s="28"/>
      <c r="I240" s="28"/>
      <c r="J240" s="37"/>
      <c r="K240" s="37">
        <f>IF(I240="Professional Billing Rate",J240,'Lists &amp; Settings'!$E$2)</f>
        <v>35.47</v>
      </c>
      <c r="L240" s="28"/>
    </row>
    <row r="241">
      <c r="A241" s="40" t="str">
        <f t="shared" si="1"/>
        <v/>
      </c>
      <c r="B241" s="40"/>
      <c r="C241" s="40"/>
      <c r="D241" s="41" t="str">
        <f t="shared" si="2"/>
        <v/>
      </c>
      <c r="E241" s="40"/>
      <c r="F241" s="42"/>
      <c r="G241" s="40"/>
      <c r="H241" s="40"/>
      <c r="I241" s="40"/>
      <c r="J241" s="43"/>
      <c r="K241" s="43">
        <f>IF(I241="Professional Billing Rate",J241,'Lists &amp; Settings'!$E$2)</f>
        <v>35.47</v>
      </c>
      <c r="L241" s="40"/>
    </row>
    <row r="242">
      <c r="A242" s="28" t="str">
        <f t="shared" si="1"/>
        <v/>
      </c>
      <c r="B242" s="28"/>
      <c r="C242" s="28"/>
      <c r="D242" s="26" t="str">
        <f t="shared" si="2"/>
        <v/>
      </c>
      <c r="E242" s="28"/>
      <c r="F242" s="35"/>
      <c r="G242" s="28"/>
      <c r="H242" s="28"/>
      <c r="I242" s="28"/>
      <c r="J242" s="37"/>
      <c r="K242" s="37">
        <f>IF(I242="Professional Billing Rate",J242,'Lists &amp; Settings'!$E$2)</f>
        <v>35.47</v>
      </c>
      <c r="L242" s="28"/>
    </row>
    <row r="243">
      <c r="A243" s="40" t="str">
        <f t="shared" si="1"/>
        <v/>
      </c>
      <c r="B243" s="40"/>
      <c r="C243" s="40"/>
      <c r="D243" s="41" t="str">
        <f t="shared" si="2"/>
        <v/>
      </c>
      <c r="E243" s="40"/>
      <c r="F243" s="42"/>
      <c r="G243" s="40"/>
      <c r="H243" s="40"/>
      <c r="I243" s="40"/>
      <c r="J243" s="43"/>
      <c r="K243" s="43">
        <f>IF(I243="Professional Billing Rate",J243,'Lists &amp; Settings'!$E$2)</f>
        <v>35.47</v>
      </c>
      <c r="L243" s="40"/>
    </row>
    <row r="244">
      <c r="A244" s="28" t="str">
        <f t="shared" si="1"/>
        <v/>
      </c>
      <c r="B244" s="28"/>
      <c r="C244" s="28"/>
      <c r="D244" s="26" t="str">
        <f t="shared" si="2"/>
        <v/>
      </c>
      <c r="E244" s="28"/>
      <c r="F244" s="35"/>
      <c r="G244" s="28"/>
      <c r="H244" s="28"/>
      <c r="I244" s="28"/>
      <c r="J244" s="37"/>
      <c r="K244" s="37">
        <f>IF(I244="Professional Billing Rate",J244,'Lists &amp; Settings'!$E$2)</f>
        <v>35.47</v>
      </c>
      <c r="L244" s="28"/>
    </row>
    <row r="245">
      <c r="A245" s="40" t="str">
        <f t="shared" si="1"/>
        <v/>
      </c>
      <c r="B245" s="40"/>
      <c r="C245" s="40"/>
      <c r="D245" s="41" t="str">
        <f t="shared" si="2"/>
        <v/>
      </c>
      <c r="E245" s="40"/>
      <c r="F245" s="42"/>
      <c r="G245" s="40"/>
      <c r="H245" s="40"/>
      <c r="I245" s="40"/>
      <c r="J245" s="43"/>
      <c r="K245" s="43">
        <f>IF(I245="Professional Billing Rate",J245,'Lists &amp; Settings'!$E$2)</f>
        <v>35.47</v>
      </c>
      <c r="L245" s="40"/>
    </row>
    <row r="246">
      <c r="A246" s="28" t="str">
        <f t="shared" si="1"/>
        <v/>
      </c>
      <c r="B246" s="28"/>
      <c r="C246" s="28"/>
      <c r="D246" s="26" t="str">
        <f t="shared" si="2"/>
        <v/>
      </c>
      <c r="E246" s="28"/>
      <c r="F246" s="35"/>
      <c r="G246" s="28"/>
      <c r="H246" s="28"/>
      <c r="I246" s="28"/>
      <c r="J246" s="37"/>
      <c r="K246" s="37">
        <f>IF(I246="Professional Billing Rate",J246,'Lists &amp; Settings'!$E$2)</f>
        <v>35.47</v>
      </c>
      <c r="L246" s="28"/>
    </row>
    <row r="247">
      <c r="A247" s="40" t="str">
        <f t="shared" si="1"/>
        <v/>
      </c>
      <c r="B247" s="40"/>
      <c r="C247" s="40"/>
      <c r="D247" s="41" t="str">
        <f t="shared" si="2"/>
        <v/>
      </c>
      <c r="E247" s="40"/>
      <c r="F247" s="42"/>
      <c r="G247" s="40"/>
      <c r="H247" s="40"/>
      <c r="I247" s="40"/>
      <c r="J247" s="43"/>
      <c r="K247" s="43">
        <f>IF(I247="Professional Billing Rate",J247,'Lists &amp; Settings'!$E$2)</f>
        <v>35.47</v>
      </c>
      <c r="L247" s="40"/>
    </row>
    <row r="248">
      <c r="A248" s="28" t="str">
        <f t="shared" si="1"/>
        <v/>
      </c>
      <c r="B248" s="28"/>
      <c r="C248" s="28"/>
      <c r="D248" s="26" t="str">
        <f t="shared" si="2"/>
        <v/>
      </c>
      <c r="E248" s="28"/>
      <c r="F248" s="35"/>
      <c r="G248" s="28"/>
      <c r="H248" s="28"/>
      <c r="I248" s="28"/>
      <c r="J248" s="37"/>
      <c r="K248" s="37">
        <f>IF(I248="Professional Billing Rate",J248,'Lists &amp; Settings'!$E$2)</f>
        <v>35.47</v>
      </c>
      <c r="L248" s="28"/>
    </row>
    <row r="249">
      <c r="A249" s="40" t="str">
        <f t="shared" si="1"/>
        <v/>
      </c>
      <c r="B249" s="40"/>
      <c r="C249" s="40"/>
      <c r="D249" s="41" t="str">
        <f t="shared" si="2"/>
        <v/>
      </c>
      <c r="E249" s="40"/>
      <c r="F249" s="42"/>
      <c r="G249" s="40"/>
      <c r="H249" s="40"/>
      <c r="I249" s="40"/>
      <c r="J249" s="43"/>
      <c r="K249" s="43">
        <f>IF(I249="Professional Billing Rate",J249,'Lists &amp; Settings'!$E$2)</f>
        <v>35.47</v>
      </c>
      <c r="L249" s="40"/>
    </row>
    <row r="250">
      <c r="A250" s="28" t="str">
        <f t="shared" si="1"/>
        <v/>
      </c>
      <c r="B250" s="28"/>
      <c r="C250" s="28"/>
      <c r="D250" s="26" t="str">
        <f t="shared" si="2"/>
        <v/>
      </c>
      <c r="E250" s="28"/>
      <c r="F250" s="35"/>
      <c r="G250" s="28"/>
      <c r="H250" s="28"/>
      <c r="I250" s="28"/>
      <c r="J250" s="37"/>
      <c r="K250" s="37">
        <f>IF(I250="Professional Billing Rate",J250,'Lists &amp; Settings'!$E$2)</f>
        <v>35.47</v>
      </c>
      <c r="L250" s="28"/>
    </row>
    <row r="251">
      <c r="A251" s="40" t="str">
        <f t="shared" si="1"/>
        <v/>
      </c>
      <c r="B251" s="40"/>
      <c r="C251" s="40"/>
      <c r="D251" s="41" t="str">
        <f t="shared" si="2"/>
        <v/>
      </c>
      <c r="E251" s="40"/>
      <c r="F251" s="42"/>
      <c r="G251" s="40"/>
      <c r="H251" s="40"/>
      <c r="I251" s="40"/>
      <c r="J251" s="43"/>
      <c r="K251" s="43">
        <f>IF(I251="Professional Billing Rate",J251,'Lists &amp; Settings'!$E$2)</f>
        <v>35.47</v>
      </c>
      <c r="L251" s="40"/>
    </row>
    <row r="252">
      <c r="A252" s="28" t="str">
        <f t="shared" si="1"/>
        <v/>
      </c>
      <c r="B252" s="28"/>
      <c r="C252" s="28"/>
      <c r="D252" s="26" t="str">
        <f t="shared" si="2"/>
        <v/>
      </c>
      <c r="E252" s="28"/>
      <c r="F252" s="35"/>
      <c r="G252" s="28"/>
      <c r="H252" s="28"/>
      <c r="I252" s="28"/>
      <c r="J252" s="37"/>
      <c r="K252" s="37">
        <f>IF(I252="Professional Billing Rate",J252,'Lists &amp; Settings'!$E$2)</f>
        <v>35.47</v>
      </c>
      <c r="L252" s="28"/>
    </row>
    <row r="253">
      <c r="A253" s="40" t="str">
        <f t="shared" si="1"/>
        <v/>
      </c>
      <c r="B253" s="40"/>
      <c r="C253" s="40"/>
      <c r="D253" s="41" t="str">
        <f t="shared" si="2"/>
        <v/>
      </c>
      <c r="E253" s="40"/>
      <c r="F253" s="42"/>
      <c r="G253" s="40"/>
      <c r="H253" s="40"/>
      <c r="I253" s="40"/>
      <c r="J253" s="43"/>
      <c r="K253" s="43">
        <f>IF(I253="Professional Billing Rate",J253,'Lists &amp; Settings'!$E$2)</f>
        <v>35.47</v>
      </c>
      <c r="L253" s="40"/>
    </row>
    <row r="254">
      <c r="A254" s="28" t="str">
        <f t="shared" si="1"/>
        <v/>
      </c>
      <c r="B254" s="28"/>
      <c r="C254" s="28"/>
      <c r="D254" s="26" t="str">
        <f t="shared" si="2"/>
        <v/>
      </c>
      <c r="E254" s="28"/>
      <c r="F254" s="35"/>
      <c r="G254" s="28"/>
      <c r="H254" s="28"/>
      <c r="I254" s="28"/>
      <c r="J254" s="37"/>
      <c r="K254" s="37">
        <f>IF(I254="Professional Billing Rate",J254,'Lists &amp; Settings'!$E$2)</f>
        <v>35.47</v>
      </c>
      <c r="L254" s="28"/>
    </row>
    <row r="255">
      <c r="A255" s="40" t="str">
        <f t="shared" si="1"/>
        <v/>
      </c>
      <c r="B255" s="40"/>
      <c r="C255" s="40"/>
      <c r="D255" s="41" t="str">
        <f t="shared" si="2"/>
        <v/>
      </c>
      <c r="E255" s="40"/>
      <c r="F255" s="42"/>
      <c r="G255" s="40"/>
      <c r="H255" s="40"/>
      <c r="I255" s="40"/>
      <c r="J255" s="43"/>
      <c r="K255" s="43">
        <f>IF(I255="Professional Billing Rate",J255,'Lists &amp; Settings'!$E$2)</f>
        <v>35.47</v>
      </c>
      <c r="L255" s="40"/>
    </row>
    <row r="256">
      <c r="A256" s="28" t="str">
        <f t="shared" si="1"/>
        <v/>
      </c>
      <c r="B256" s="28"/>
      <c r="C256" s="28"/>
      <c r="D256" s="26" t="str">
        <f t="shared" si="2"/>
        <v/>
      </c>
      <c r="E256" s="28"/>
      <c r="F256" s="35"/>
      <c r="G256" s="28"/>
      <c r="H256" s="28"/>
      <c r="I256" s="28"/>
      <c r="J256" s="37"/>
      <c r="K256" s="37">
        <f>IF(I256="Professional Billing Rate",J256,'Lists &amp; Settings'!$E$2)</f>
        <v>35.47</v>
      </c>
      <c r="L256" s="28"/>
    </row>
    <row r="257">
      <c r="A257" s="40" t="str">
        <f t="shared" si="1"/>
        <v/>
      </c>
      <c r="B257" s="40"/>
      <c r="C257" s="40"/>
      <c r="D257" s="41" t="str">
        <f t="shared" si="2"/>
        <v/>
      </c>
      <c r="E257" s="40"/>
      <c r="F257" s="42"/>
      <c r="G257" s="40"/>
      <c r="H257" s="40"/>
      <c r="I257" s="40"/>
      <c r="J257" s="43"/>
      <c r="K257" s="43">
        <f>IF(I257="Professional Billing Rate",J257,'Lists &amp; Settings'!$E$2)</f>
        <v>35.47</v>
      </c>
      <c r="L257" s="40"/>
    </row>
    <row r="258">
      <c r="A258" s="28" t="str">
        <f t="shared" si="1"/>
        <v/>
      </c>
      <c r="B258" s="28"/>
      <c r="C258" s="28"/>
      <c r="D258" s="26" t="str">
        <f t="shared" si="2"/>
        <v/>
      </c>
      <c r="E258" s="28"/>
      <c r="F258" s="35"/>
      <c r="G258" s="28"/>
      <c r="H258" s="28"/>
      <c r="I258" s="28"/>
      <c r="J258" s="37"/>
      <c r="K258" s="37">
        <f>IF(I258="Professional Billing Rate",J258,'Lists &amp; Settings'!$E$2)</f>
        <v>35.47</v>
      </c>
      <c r="L258" s="28"/>
    </row>
    <row r="259">
      <c r="A259" s="40" t="str">
        <f t="shared" si="1"/>
        <v/>
      </c>
      <c r="B259" s="40"/>
      <c r="C259" s="40"/>
      <c r="D259" s="41" t="str">
        <f t="shared" si="2"/>
        <v/>
      </c>
      <c r="E259" s="40"/>
      <c r="F259" s="42"/>
      <c r="G259" s="40"/>
      <c r="H259" s="40"/>
      <c r="I259" s="40"/>
      <c r="J259" s="43"/>
      <c r="K259" s="43">
        <f>IF(I259="Professional Billing Rate",J259,'Lists &amp; Settings'!$E$2)</f>
        <v>35.47</v>
      </c>
      <c r="L259" s="40"/>
    </row>
    <row r="260">
      <c r="A260" s="28" t="str">
        <f t="shared" si="1"/>
        <v/>
      </c>
      <c r="B260" s="28"/>
      <c r="C260" s="28"/>
      <c r="D260" s="26" t="str">
        <f t="shared" si="2"/>
        <v/>
      </c>
      <c r="E260" s="28"/>
      <c r="F260" s="35"/>
      <c r="G260" s="28"/>
      <c r="H260" s="28"/>
      <c r="I260" s="28"/>
      <c r="J260" s="37"/>
      <c r="K260" s="37">
        <f>IF(I260="Professional Billing Rate",J260,'Lists &amp; Settings'!$E$2)</f>
        <v>35.47</v>
      </c>
      <c r="L260" s="28"/>
    </row>
    <row r="261">
      <c r="A261" s="40" t="str">
        <f t="shared" si="1"/>
        <v/>
      </c>
      <c r="B261" s="40"/>
      <c r="C261" s="40"/>
      <c r="D261" s="41" t="str">
        <f t="shared" si="2"/>
        <v/>
      </c>
      <c r="E261" s="40"/>
      <c r="F261" s="42"/>
      <c r="G261" s="40"/>
      <c r="H261" s="40"/>
      <c r="I261" s="40"/>
      <c r="J261" s="43"/>
      <c r="K261" s="43">
        <f>IF(I261="Professional Billing Rate",J261,'Lists &amp; Settings'!$E$2)</f>
        <v>35.47</v>
      </c>
      <c r="L261" s="40"/>
    </row>
    <row r="262">
      <c r="A262" s="28" t="str">
        <f t="shared" si="1"/>
        <v/>
      </c>
      <c r="B262" s="28"/>
      <c r="C262" s="28"/>
      <c r="D262" s="26" t="str">
        <f t="shared" si="2"/>
        <v/>
      </c>
      <c r="E262" s="28"/>
      <c r="F262" s="35"/>
      <c r="G262" s="28"/>
      <c r="H262" s="28"/>
      <c r="I262" s="28"/>
      <c r="J262" s="37"/>
      <c r="K262" s="37">
        <f>IF(I262="Professional Billing Rate",J262,'Lists &amp; Settings'!$E$2)</f>
        <v>35.47</v>
      </c>
      <c r="L262" s="28"/>
    </row>
    <row r="263">
      <c r="A263" s="40" t="str">
        <f t="shared" si="1"/>
        <v/>
      </c>
      <c r="B263" s="40"/>
      <c r="C263" s="40"/>
      <c r="D263" s="41" t="str">
        <f t="shared" si="2"/>
        <v/>
      </c>
      <c r="E263" s="40"/>
      <c r="F263" s="42"/>
      <c r="G263" s="40"/>
      <c r="H263" s="40"/>
      <c r="I263" s="40"/>
      <c r="J263" s="43"/>
      <c r="K263" s="43">
        <f>IF(I263="Professional Billing Rate",J263,'Lists &amp; Settings'!$E$2)</f>
        <v>35.47</v>
      </c>
      <c r="L263" s="40"/>
    </row>
    <row r="264">
      <c r="A264" s="28" t="str">
        <f t="shared" si="1"/>
        <v/>
      </c>
      <c r="B264" s="28"/>
      <c r="C264" s="28"/>
      <c r="D264" s="26" t="str">
        <f t="shared" si="2"/>
        <v/>
      </c>
      <c r="E264" s="28"/>
      <c r="F264" s="35"/>
      <c r="G264" s="28"/>
      <c r="H264" s="28"/>
      <c r="I264" s="28"/>
      <c r="J264" s="37"/>
      <c r="K264" s="37">
        <f>IF(I264="Professional Billing Rate",J264,'Lists &amp; Settings'!$E$2)</f>
        <v>35.47</v>
      </c>
      <c r="L264" s="28"/>
    </row>
    <row r="265">
      <c r="A265" s="40" t="str">
        <f t="shared" si="1"/>
        <v/>
      </c>
      <c r="B265" s="40"/>
      <c r="C265" s="40"/>
      <c r="D265" s="41" t="str">
        <f t="shared" si="2"/>
        <v/>
      </c>
      <c r="E265" s="40"/>
      <c r="F265" s="42"/>
      <c r="G265" s="40"/>
      <c r="H265" s="40"/>
      <c r="I265" s="40"/>
      <c r="J265" s="43"/>
      <c r="K265" s="43">
        <f>IF(I265="Professional Billing Rate",J265,'Lists &amp; Settings'!$E$2)</f>
        <v>35.47</v>
      </c>
      <c r="L265" s="40"/>
    </row>
    <row r="266">
      <c r="A266" s="28" t="str">
        <f t="shared" si="1"/>
        <v/>
      </c>
      <c r="B266" s="28"/>
      <c r="C266" s="28"/>
      <c r="D266" s="26" t="str">
        <f t="shared" si="2"/>
        <v/>
      </c>
      <c r="E266" s="28"/>
      <c r="F266" s="35"/>
      <c r="G266" s="28"/>
      <c r="H266" s="28"/>
      <c r="I266" s="28"/>
      <c r="J266" s="37"/>
      <c r="K266" s="37">
        <f>IF(I266="Professional Billing Rate",J266,'Lists &amp; Settings'!$E$2)</f>
        <v>35.47</v>
      </c>
      <c r="L266" s="28"/>
    </row>
    <row r="267">
      <c r="A267" s="40" t="str">
        <f t="shared" si="1"/>
        <v/>
      </c>
      <c r="B267" s="40"/>
      <c r="C267" s="40"/>
      <c r="D267" s="41" t="str">
        <f t="shared" si="2"/>
        <v/>
      </c>
      <c r="E267" s="40"/>
      <c r="F267" s="42"/>
      <c r="G267" s="40"/>
      <c r="H267" s="40"/>
      <c r="I267" s="40"/>
      <c r="J267" s="43"/>
      <c r="K267" s="43">
        <f>IF(I267="Professional Billing Rate",J267,'Lists &amp; Settings'!$E$2)</f>
        <v>35.47</v>
      </c>
      <c r="L267" s="40"/>
    </row>
    <row r="268">
      <c r="A268" s="28" t="str">
        <f t="shared" si="1"/>
        <v/>
      </c>
      <c r="B268" s="28"/>
      <c r="C268" s="28"/>
      <c r="D268" s="26" t="str">
        <f t="shared" si="2"/>
        <v/>
      </c>
      <c r="E268" s="28"/>
      <c r="F268" s="35"/>
      <c r="G268" s="28"/>
      <c r="H268" s="28"/>
      <c r="I268" s="28"/>
      <c r="J268" s="37"/>
      <c r="K268" s="37">
        <f>IF(I268="Professional Billing Rate",J268,'Lists &amp; Settings'!$E$2)</f>
        <v>35.47</v>
      </c>
      <c r="L268" s="28"/>
    </row>
    <row r="269">
      <c r="A269" s="40" t="str">
        <f t="shared" si="1"/>
        <v/>
      </c>
      <c r="B269" s="40"/>
      <c r="C269" s="40"/>
      <c r="D269" s="41" t="str">
        <f t="shared" si="2"/>
        <v/>
      </c>
      <c r="E269" s="40"/>
      <c r="F269" s="42"/>
      <c r="G269" s="40"/>
      <c r="H269" s="40"/>
      <c r="I269" s="40"/>
      <c r="J269" s="43"/>
      <c r="K269" s="43">
        <f>IF(I269="Professional Billing Rate",J269,'Lists &amp; Settings'!$E$2)</f>
        <v>35.47</v>
      </c>
      <c r="L269" s="40"/>
    </row>
    <row r="270">
      <c r="A270" s="28" t="str">
        <f t="shared" si="1"/>
        <v/>
      </c>
      <c r="B270" s="28"/>
      <c r="C270" s="28"/>
      <c r="D270" s="26" t="str">
        <f t="shared" si="2"/>
        <v/>
      </c>
      <c r="E270" s="28"/>
      <c r="F270" s="35"/>
      <c r="G270" s="28"/>
      <c r="H270" s="28"/>
      <c r="I270" s="28"/>
      <c r="J270" s="37"/>
      <c r="K270" s="37">
        <f>IF(I270="Professional Billing Rate",J270,'Lists &amp; Settings'!$E$2)</f>
        <v>35.47</v>
      </c>
      <c r="L270" s="28"/>
    </row>
    <row r="271">
      <c r="A271" s="40" t="str">
        <f t="shared" si="1"/>
        <v/>
      </c>
      <c r="B271" s="40"/>
      <c r="C271" s="40"/>
      <c r="D271" s="41" t="str">
        <f t="shared" si="2"/>
        <v/>
      </c>
      <c r="E271" s="40"/>
      <c r="F271" s="42"/>
      <c r="G271" s="40"/>
      <c r="H271" s="40"/>
      <c r="I271" s="40"/>
      <c r="J271" s="43"/>
      <c r="K271" s="43">
        <f>IF(I271="Professional Billing Rate",J271,'Lists &amp; Settings'!$E$2)</f>
        <v>35.47</v>
      </c>
      <c r="L271" s="40"/>
    </row>
    <row r="272">
      <c r="A272" s="28" t="str">
        <f t="shared" si="1"/>
        <v/>
      </c>
      <c r="B272" s="28"/>
      <c r="C272" s="28"/>
      <c r="D272" s="26" t="str">
        <f t="shared" si="2"/>
        <v/>
      </c>
      <c r="E272" s="28"/>
      <c r="F272" s="35"/>
      <c r="G272" s="28"/>
      <c r="H272" s="28"/>
      <c r="I272" s="28"/>
      <c r="J272" s="37"/>
      <c r="K272" s="37">
        <f>IF(I272="Professional Billing Rate",J272,'Lists &amp; Settings'!$E$2)</f>
        <v>35.47</v>
      </c>
      <c r="L272" s="28"/>
    </row>
    <row r="273">
      <c r="A273" s="40" t="str">
        <f t="shared" si="1"/>
        <v/>
      </c>
      <c r="B273" s="40"/>
      <c r="C273" s="40"/>
      <c r="D273" s="41" t="str">
        <f t="shared" si="2"/>
        <v/>
      </c>
      <c r="E273" s="40"/>
      <c r="F273" s="42"/>
      <c r="G273" s="40"/>
      <c r="H273" s="40"/>
      <c r="I273" s="40"/>
      <c r="J273" s="43"/>
      <c r="K273" s="43">
        <f>IF(I273="Professional Billing Rate",J273,'Lists &amp; Settings'!$E$2)</f>
        <v>35.47</v>
      </c>
      <c r="L273" s="40"/>
    </row>
    <row r="274">
      <c r="A274" s="28" t="str">
        <f t="shared" si="1"/>
        <v/>
      </c>
      <c r="B274" s="28"/>
      <c r="C274" s="28"/>
      <c r="D274" s="26" t="str">
        <f t="shared" si="2"/>
        <v/>
      </c>
      <c r="E274" s="28"/>
      <c r="F274" s="35"/>
      <c r="G274" s="28"/>
      <c r="H274" s="28"/>
      <c r="I274" s="28"/>
      <c r="J274" s="37"/>
      <c r="K274" s="37">
        <f>IF(I274="Professional Billing Rate",J274,'Lists &amp; Settings'!$E$2)</f>
        <v>35.47</v>
      </c>
      <c r="L274" s="28"/>
    </row>
    <row r="275">
      <c r="A275" s="40" t="str">
        <f t="shared" si="1"/>
        <v/>
      </c>
      <c r="B275" s="40"/>
      <c r="C275" s="40"/>
      <c r="D275" s="41" t="str">
        <f t="shared" si="2"/>
        <v/>
      </c>
      <c r="E275" s="40"/>
      <c r="F275" s="42"/>
      <c r="G275" s="40"/>
      <c r="H275" s="40"/>
      <c r="I275" s="40"/>
      <c r="J275" s="43"/>
      <c r="K275" s="43">
        <f>IF(I275="Professional Billing Rate",J275,'Lists &amp; Settings'!$E$2)</f>
        <v>35.47</v>
      </c>
      <c r="L275" s="40"/>
    </row>
    <row r="276">
      <c r="A276" s="28" t="str">
        <f t="shared" si="1"/>
        <v/>
      </c>
      <c r="B276" s="28"/>
      <c r="C276" s="28"/>
      <c r="D276" s="26" t="str">
        <f t="shared" si="2"/>
        <v/>
      </c>
      <c r="E276" s="28"/>
      <c r="F276" s="35"/>
      <c r="G276" s="28"/>
      <c r="H276" s="28"/>
      <c r="I276" s="28"/>
      <c r="J276" s="37"/>
      <c r="K276" s="37">
        <f>IF(I276="Professional Billing Rate",J276,'Lists &amp; Settings'!$E$2)</f>
        <v>35.47</v>
      </c>
      <c r="L276" s="28"/>
    </row>
    <row r="277">
      <c r="A277" s="40" t="str">
        <f t="shared" si="1"/>
        <v/>
      </c>
      <c r="B277" s="40"/>
      <c r="C277" s="40"/>
      <c r="D277" s="41" t="str">
        <f t="shared" si="2"/>
        <v/>
      </c>
      <c r="E277" s="40"/>
      <c r="F277" s="42"/>
      <c r="G277" s="40"/>
      <c r="H277" s="40"/>
      <c r="I277" s="40"/>
      <c r="J277" s="43"/>
      <c r="K277" s="43">
        <f>IF(I277="Professional Billing Rate",J277,'Lists &amp; Settings'!$E$2)</f>
        <v>35.47</v>
      </c>
      <c r="L277" s="40"/>
    </row>
    <row r="278">
      <c r="A278" s="28" t="str">
        <f t="shared" si="1"/>
        <v/>
      </c>
      <c r="B278" s="28"/>
      <c r="C278" s="28"/>
      <c r="D278" s="26" t="str">
        <f t="shared" si="2"/>
        <v/>
      </c>
      <c r="E278" s="28"/>
      <c r="F278" s="35"/>
      <c r="G278" s="28"/>
      <c r="H278" s="28"/>
      <c r="I278" s="28"/>
      <c r="J278" s="37"/>
      <c r="K278" s="37">
        <f>IF(I278="Professional Billing Rate",J278,'Lists &amp; Settings'!$E$2)</f>
        <v>35.47</v>
      </c>
      <c r="L278" s="28"/>
    </row>
    <row r="279">
      <c r="A279" s="40" t="str">
        <f t="shared" si="1"/>
        <v/>
      </c>
      <c r="B279" s="40"/>
      <c r="C279" s="40"/>
      <c r="D279" s="41" t="str">
        <f t="shared" si="2"/>
        <v/>
      </c>
      <c r="E279" s="40"/>
      <c r="F279" s="42"/>
      <c r="G279" s="40"/>
      <c r="H279" s="40"/>
      <c r="I279" s="40"/>
      <c r="J279" s="43"/>
      <c r="K279" s="43">
        <f>IF(I279="Professional Billing Rate",J279,'Lists &amp; Settings'!$E$2)</f>
        <v>35.47</v>
      </c>
      <c r="L279" s="40"/>
    </row>
    <row r="280">
      <c r="A280" s="28" t="str">
        <f t="shared" si="1"/>
        <v/>
      </c>
      <c r="B280" s="28"/>
      <c r="C280" s="28"/>
      <c r="D280" s="26" t="str">
        <f t="shared" si="2"/>
        <v/>
      </c>
      <c r="E280" s="28"/>
      <c r="F280" s="35"/>
      <c r="G280" s="28"/>
      <c r="H280" s="28"/>
      <c r="I280" s="28"/>
      <c r="J280" s="37"/>
      <c r="K280" s="37">
        <f>IF(I280="Professional Billing Rate",J280,'Lists &amp; Settings'!$E$2)</f>
        <v>35.47</v>
      </c>
      <c r="L280" s="28"/>
    </row>
    <row r="281">
      <c r="A281" s="40" t="str">
        <f t="shared" si="1"/>
        <v/>
      </c>
      <c r="B281" s="40"/>
      <c r="C281" s="40"/>
      <c r="D281" s="41" t="str">
        <f t="shared" si="2"/>
        <v/>
      </c>
      <c r="E281" s="40"/>
      <c r="F281" s="42"/>
      <c r="G281" s="40"/>
      <c r="H281" s="40"/>
      <c r="I281" s="40"/>
      <c r="J281" s="43"/>
      <c r="K281" s="43">
        <f>IF(I281="Professional Billing Rate",J281,'Lists &amp; Settings'!$E$2)</f>
        <v>35.47</v>
      </c>
      <c r="L281" s="40"/>
    </row>
    <row r="282">
      <c r="A282" s="28" t="str">
        <f t="shared" si="1"/>
        <v/>
      </c>
      <c r="B282" s="28"/>
      <c r="C282" s="28"/>
      <c r="D282" s="26" t="str">
        <f t="shared" si="2"/>
        <v/>
      </c>
      <c r="E282" s="28"/>
      <c r="F282" s="35"/>
      <c r="G282" s="28"/>
      <c r="H282" s="28"/>
      <c r="I282" s="28"/>
      <c r="J282" s="37"/>
      <c r="K282" s="37">
        <f>IF(I282="Professional Billing Rate",J282,'Lists &amp; Settings'!$E$2)</f>
        <v>35.47</v>
      </c>
      <c r="L282" s="28"/>
    </row>
    <row r="283">
      <c r="A283" s="40" t="str">
        <f t="shared" si="1"/>
        <v/>
      </c>
      <c r="B283" s="40"/>
      <c r="C283" s="40"/>
      <c r="D283" s="41" t="str">
        <f t="shared" si="2"/>
        <v/>
      </c>
      <c r="E283" s="40"/>
      <c r="F283" s="42"/>
      <c r="G283" s="40"/>
      <c r="H283" s="40"/>
      <c r="I283" s="40"/>
      <c r="J283" s="43"/>
      <c r="K283" s="43">
        <f>IF(I283="Professional Billing Rate",J283,'Lists &amp; Settings'!$E$2)</f>
        <v>35.47</v>
      </c>
      <c r="L283" s="40"/>
    </row>
    <row r="284">
      <c r="A284" s="28" t="str">
        <f t="shared" si="1"/>
        <v/>
      </c>
      <c r="B284" s="28"/>
      <c r="C284" s="28"/>
      <c r="D284" s="26" t="str">
        <f t="shared" si="2"/>
        <v/>
      </c>
      <c r="E284" s="28"/>
      <c r="F284" s="35"/>
      <c r="G284" s="28"/>
      <c r="H284" s="28"/>
      <c r="I284" s="28"/>
      <c r="J284" s="37"/>
      <c r="K284" s="37">
        <f>IF(I284="Professional Billing Rate",J284,'Lists &amp; Settings'!$E$2)</f>
        <v>35.47</v>
      </c>
      <c r="L284" s="28"/>
    </row>
    <row r="285">
      <c r="A285" s="40" t="str">
        <f t="shared" si="1"/>
        <v/>
      </c>
      <c r="B285" s="40"/>
      <c r="C285" s="40"/>
      <c r="D285" s="41" t="str">
        <f t="shared" si="2"/>
        <v/>
      </c>
      <c r="E285" s="40"/>
      <c r="F285" s="42"/>
      <c r="G285" s="40"/>
      <c r="H285" s="40"/>
      <c r="I285" s="40"/>
      <c r="J285" s="43"/>
      <c r="K285" s="43">
        <f>IF(I285="Professional Billing Rate",J285,'Lists &amp; Settings'!$E$2)</f>
        <v>35.47</v>
      </c>
      <c r="L285" s="40"/>
    </row>
    <row r="286">
      <c r="A286" s="28" t="str">
        <f t="shared" si="1"/>
        <v/>
      </c>
      <c r="B286" s="28"/>
      <c r="C286" s="28"/>
      <c r="D286" s="26" t="str">
        <f t="shared" si="2"/>
        <v/>
      </c>
      <c r="E286" s="28"/>
      <c r="F286" s="35"/>
      <c r="G286" s="28"/>
      <c r="H286" s="28"/>
      <c r="I286" s="28"/>
      <c r="J286" s="37"/>
      <c r="K286" s="37">
        <f>IF(I286="Professional Billing Rate",J286,'Lists &amp; Settings'!$E$2)</f>
        <v>35.47</v>
      </c>
      <c r="L286" s="28"/>
    </row>
    <row r="287">
      <c r="A287" s="40" t="str">
        <f t="shared" si="1"/>
        <v/>
      </c>
      <c r="B287" s="40"/>
      <c r="C287" s="40"/>
      <c r="D287" s="41" t="str">
        <f t="shared" si="2"/>
        <v/>
      </c>
      <c r="E287" s="40"/>
      <c r="F287" s="42"/>
      <c r="G287" s="40"/>
      <c r="H287" s="40"/>
      <c r="I287" s="40"/>
      <c r="J287" s="43"/>
      <c r="K287" s="43">
        <f>IF(I287="Professional Billing Rate",J287,'Lists &amp; Settings'!$E$2)</f>
        <v>35.47</v>
      </c>
      <c r="L287" s="40"/>
    </row>
    <row r="288">
      <c r="A288" s="28" t="str">
        <f t="shared" si="1"/>
        <v/>
      </c>
      <c r="B288" s="28"/>
      <c r="C288" s="28"/>
      <c r="D288" s="26" t="str">
        <f t="shared" si="2"/>
        <v/>
      </c>
      <c r="E288" s="28"/>
      <c r="F288" s="35"/>
      <c r="G288" s="28"/>
      <c r="H288" s="28"/>
      <c r="I288" s="28"/>
      <c r="J288" s="37"/>
      <c r="K288" s="37">
        <f>IF(I288="Professional Billing Rate",J288,'Lists &amp; Settings'!$E$2)</f>
        <v>35.47</v>
      </c>
      <c r="L288" s="28"/>
    </row>
    <row r="289">
      <c r="A289" s="40" t="str">
        <f t="shared" si="1"/>
        <v/>
      </c>
      <c r="B289" s="40"/>
      <c r="C289" s="40"/>
      <c r="D289" s="41" t="str">
        <f t="shared" si="2"/>
        <v/>
      </c>
      <c r="E289" s="40"/>
      <c r="F289" s="42"/>
      <c r="G289" s="40"/>
      <c r="H289" s="40"/>
      <c r="I289" s="40"/>
      <c r="J289" s="43"/>
      <c r="K289" s="43">
        <f>IF(I289="Professional Billing Rate",J289,'Lists &amp; Settings'!$E$2)</f>
        <v>35.47</v>
      </c>
      <c r="L289" s="40"/>
    </row>
    <row r="290">
      <c r="A290" s="28" t="str">
        <f t="shared" si="1"/>
        <v/>
      </c>
      <c r="B290" s="28"/>
      <c r="C290" s="28"/>
      <c r="D290" s="26" t="str">
        <f t="shared" si="2"/>
        <v/>
      </c>
      <c r="E290" s="28"/>
      <c r="F290" s="35"/>
      <c r="G290" s="28"/>
      <c r="H290" s="28"/>
      <c r="I290" s="28"/>
      <c r="J290" s="37"/>
      <c r="K290" s="37">
        <f>IF(I290="Professional Billing Rate",J290,'Lists &amp; Settings'!$E$2)</f>
        <v>35.47</v>
      </c>
      <c r="L290" s="28"/>
    </row>
    <row r="291">
      <c r="A291" s="40" t="str">
        <f t="shared" si="1"/>
        <v/>
      </c>
      <c r="B291" s="40"/>
      <c r="C291" s="40"/>
      <c r="D291" s="41" t="str">
        <f t="shared" si="2"/>
        <v/>
      </c>
      <c r="E291" s="40"/>
      <c r="F291" s="42"/>
      <c r="G291" s="40"/>
      <c r="H291" s="40"/>
      <c r="I291" s="40"/>
      <c r="J291" s="43"/>
      <c r="K291" s="43">
        <f>IF(I291="Professional Billing Rate",J291,'Lists &amp; Settings'!$E$2)</f>
        <v>35.47</v>
      </c>
      <c r="L291" s="40"/>
    </row>
    <row r="292">
      <c r="A292" s="28" t="str">
        <f t="shared" si="1"/>
        <v/>
      </c>
      <c r="B292" s="28"/>
      <c r="C292" s="28"/>
      <c r="D292" s="26" t="str">
        <f t="shared" si="2"/>
        <v/>
      </c>
      <c r="E292" s="28"/>
      <c r="F292" s="35"/>
      <c r="G292" s="28"/>
      <c r="H292" s="28"/>
      <c r="I292" s="28"/>
      <c r="J292" s="37"/>
      <c r="K292" s="37">
        <f>IF(I292="Professional Billing Rate",J292,'Lists &amp; Settings'!$E$2)</f>
        <v>35.47</v>
      </c>
      <c r="L292" s="28"/>
    </row>
    <row r="293">
      <c r="A293" s="40" t="str">
        <f t="shared" si="1"/>
        <v/>
      </c>
      <c r="B293" s="40"/>
      <c r="C293" s="40"/>
      <c r="D293" s="41" t="str">
        <f t="shared" si="2"/>
        <v/>
      </c>
      <c r="E293" s="40"/>
      <c r="F293" s="42"/>
      <c r="G293" s="40"/>
      <c r="H293" s="40"/>
      <c r="I293" s="40"/>
      <c r="J293" s="43"/>
      <c r="K293" s="43">
        <f>IF(I293="Professional Billing Rate",J293,'Lists &amp; Settings'!$E$2)</f>
        <v>35.47</v>
      </c>
      <c r="L293" s="40"/>
    </row>
    <row r="294">
      <c r="A294" s="28" t="str">
        <f t="shared" si="1"/>
        <v/>
      </c>
      <c r="B294" s="28"/>
      <c r="C294" s="28"/>
      <c r="D294" s="26" t="str">
        <f t="shared" si="2"/>
        <v/>
      </c>
      <c r="E294" s="28"/>
      <c r="F294" s="35"/>
      <c r="G294" s="28"/>
      <c r="H294" s="28"/>
      <c r="I294" s="28"/>
      <c r="J294" s="37"/>
      <c r="K294" s="37">
        <f>IF(I294="Professional Billing Rate",J294,'Lists &amp; Settings'!$E$2)</f>
        <v>35.47</v>
      </c>
      <c r="L294" s="28"/>
    </row>
    <row r="295">
      <c r="A295" s="40" t="str">
        <f t="shared" si="1"/>
        <v/>
      </c>
      <c r="B295" s="40"/>
      <c r="C295" s="40"/>
      <c r="D295" s="41" t="str">
        <f t="shared" si="2"/>
        <v/>
      </c>
      <c r="E295" s="40"/>
      <c r="F295" s="42"/>
      <c r="G295" s="40"/>
      <c r="H295" s="40"/>
      <c r="I295" s="40"/>
      <c r="J295" s="43"/>
      <c r="K295" s="43">
        <f>IF(I295="Professional Billing Rate",J295,'Lists &amp; Settings'!$E$2)</f>
        <v>35.47</v>
      </c>
      <c r="L295" s="40"/>
    </row>
    <row r="296">
      <c r="A296" s="28" t="str">
        <f t="shared" si="1"/>
        <v/>
      </c>
      <c r="B296" s="28"/>
      <c r="C296" s="28"/>
      <c r="D296" s="26" t="str">
        <f t="shared" si="2"/>
        <v/>
      </c>
      <c r="E296" s="28"/>
      <c r="F296" s="35"/>
      <c r="G296" s="28"/>
      <c r="H296" s="28"/>
      <c r="I296" s="28"/>
      <c r="J296" s="37"/>
      <c r="K296" s="37">
        <f>IF(I296="Professional Billing Rate",J296,'Lists &amp; Settings'!$E$2)</f>
        <v>35.47</v>
      </c>
      <c r="L296" s="28"/>
    </row>
    <row r="297">
      <c r="A297" s="40" t="str">
        <f t="shared" si="1"/>
        <v/>
      </c>
      <c r="B297" s="40"/>
      <c r="C297" s="40"/>
      <c r="D297" s="41" t="str">
        <f t="shared" si="2"/>
        <v/>
      </c>
      <c r="E297" s="40"/>
      <c r="F297" s="42"/>
      <c r="G297" s="40"/>
      <c r="H297" s="40"/>
      <c r="I297" s="40"/>
      <c r="J297" s="43"/>
      <c r="K297" s="43">
        <f>IF(I297="Professional Billing Rate",J297,'Lists &amp; Settings'!$E$2)</f>
        <v>35.47</v>
      </c>
      <c r="L297" s="40"/>
    </row>
    <row r="298">
      <c r="A298" s="28" t="str">
        <f t="shared" si="1"/>
        <v/>
      </c>
      <c r="B298" s="28"/>
      <c r="C298" s="28"/>
      <c r="D298" s="26" t="str">
        <f t="shared" si="2"/>
        <v/>
      </c>
      <c r="E298" s="28"/>
      <c r="F298" s="35"/>
      <c r="G298" s="28"/>
      <c r="H298" s="28"/>
      <c r="I298" s="28"/>
      <c r="J298" s="37"/>
      <c r="K298" s="37">
        <f>IF(I298="Professional Billing Rate",J298,'Lists &amp; Settings'!$E$2)</f>
        <v>35.47</v>
      </c>
      <c r="L298" s="28"/>
    </row>
    <row r="299">
      <c r="A299" s="40" t="str">
        <f t="shared" si="1"/>
        <v/>
      </c>
      <c r="B299" s="40"/>
      <c r="C299" s="40"/>
      <c r="D299" s="41" t="str">
        <f t="shared" si="2"/>
        <v/>
      </c>
      <c r="E299" s="40"/>
      <c r="F299" s="42"/>
      <c r="G299" s="40"/>
      <c r="H299" s="40"/>
      <c r="I299" s="40"/>
      <c r="J299" s="43"/>
      <c r="K299" s="43">
        <f>IF(I299="Professional Billing Rate",J299,'Lists &amp; Settings'!$E$2)</f>
        <v>35.47</v>
      </c>
      <c r="L299" s="40"/>
    </row>
    <row r="300">
      <c r="A300" s="28" t="str">
        <f t="shared" si="1"/>
        <v/>
      </c>
      <c r="B300" s="28"/>
      <c r="C300" s="28"/>
      <c r="D300" s="26" t="str">
        <f t="shared" si="2"/>
        <v/>
      </c>
      <c r="E300" s="28"/>
      <c r="F300" s="35"/>
      <c r="G300" s="28"/>
      <c r="H300" s="28"/>
      <c r="I300" s="28"/>
      <c r="J300" s="37"/>
      <c r="K300" s="37">
        <f>IF(I300="Professional Billing Rate",J300,'Lists &amp; Settings'!$E$2)</f>
        <v>35.47</v>
      </c>
      <c r="L300" s="28"/>
    </row>
    <row r="301">
      <c r="A301" s="40" t="str">
        <f t="shared" si="1"/>
        <v/>
      </c>
      <c r="B301" s="40"/>
      <c r="C301" s="40"/>
      <c r="D301" s="41" t="str">
        <f t="shared" si="2"/>
        <v/>
      </c>
      <c r="E301" s="40"/>
      <c r="F301" s="42"/>
      <c r="G301" s="40"/>
      <c r="H301" s="40"/>
      <c r="I301" s="40"/>
      <c r="J301" s="43"/>
      <c r="K301" s="43">
        <f>IF(I301="Professional Billing Rate",J301,'Lists &amp; Settings'!$E$2)</f>
        <v>35.47</v>
      </c>
      <c r="L301" s="40"/>
    </row>
    <row r="302">
      <c r="A302" s="28" t="str">
        <f t="shared" si="1"/>
        <v/>
      </c>
      <c r="B302" s="28"/>
      <c r="C302" s="28"/>
      <c r="D302" s="26" t="str">
        <f t="shared" si="2"/>
        <v/>
      </c>
      <c r="E302" s="28"/>
      <c r="F302" s="35"/>
      <c r="G302" s="28"/>
      <c r="H302" s="28"/>
      <c r="I302" s="28"/>
      <c r="J302" s="37"/>
      <c r="K302" s="37">
        <f>IF(I302="Professional Billing Rate",J302,'Lists &amp; Settings'!$E$2)</f>
        <v>35.47</v>
      </c>
      <c r="L302" s="28"/>
    </row>
    <row r="303">
      <c r="A303" s="40" t="str">
        <f t="shared" si="1"/>
        <v/>
      </c>
      <c r="B303" s="40"/>
      <c r="C303" s="40"/>
      <c r="D303" s="41" t="str">
        <f t="shared" si="2"/>
        <v/>
      </c>
      <c r="E303" s="40"/>
      <c r="F303" s="42"/>
      <c r="G303" s="40"/>
      <c r="H303" s="40"/>
      <c r="I303" s="40"/>
      <c r="J303" s="43"/>
      <c r="K303" s="43">
        <f>IF(I303="Professional Billing Rate",J303,'Lists &amp; Settings'!$E$2)</f>
        <v>35.47</v>
      </c>
      <c r="L303" s="40"/>
    </row>
    <row r="304">
      <c r="A304" s="28" t="str">
        <f t="shared" si="1"/>
        <v/>
      </c>
      <c r="B304" s="28"/>
      <c r="C304" s="28"/>
      <c r="D304" s="26" t="str">
        <f t="shared" si="2"/>
        <v/>
      </c>
      <c r="E304" s="28"/>
      <c r="F304" s="35"/>
      <c r="G304" s="28"/>
      <c r="H304" s="28"/>
      <c r="I304" s="28"/>
      <c r="J304" s="37"/>
      <c r="K304" s="37">
        <f>IF(I304="Professional Billing Rate",J304,'Lists &amp; Settings'!$E$2)</f>
        <v>35.47</v>
      </c>
      <c r="L304" s="28"/>
    </row>
    <row r="305">
      <c r="A305" s="40" t="str">
        <f t="shared" si="1"/>
        <v/>
      </c>
      <c r="B305" s="40"/>
      <c r="C305" s="40"/>
      <c r="D305" s="41" t="str">
        <f t="shared" si="2"/>
        <v/>
      </c>
      <c r="E305" s="40"/>
      <c r="F305" s="42"/>
      <c r="G305" s="40"/>
      <c r="H305" s="40"/>
      <c r="I305" s="40"/>
      <c r="J305" s="43"/>
      <c r="K305" s="43">
        <f>IF(I305="Professional Billing Rate",J305,'Lists &amp; Settings'!$E$2)</f>
        <v>35.47</v>
      </c>
      <c r="L305" s="40"/>
    </row>
    <row r="306">
      <c r="A306" s="28" t="str">
        <f t="shared" si="1"/>
        <v/>
      </c>
      <c r="B306" s="28"/>
      <c r="C306" s="28"/>
      <c r="D306" s="26" t="str">
        <f t="shared" si="2"/>
        <v/>
      </c>
      <c r="E306" s="28"/>
      <c r="F306" s="35"/>
      <c r="G306" s="28"/>
      <c r="H306" s="28"/>
      <c r="I306" s="28"/>
      <c r="J306" s="37"/>
      <c r="K306" s="37">
        <f>IF(I306="Professional Billing Rate",J306,'Lists &amp; Settings'!$E$2)</f>
        <v>35.47</v>
      </c>
      <c r="L306" s="28"/>
    </row>
    <row r="307">
      <c r="A307" s="40" t="str">
        <f t="shared" si="1"/>
        <v/>
      </c>
      <c r="B307" s="40"/>
      <c r="C307" s="40"/>
      <c r="D307" s="41" t="str">
        <f t="shared" si="2"/>
        <v/>
      </c>
      <c r="E307" s="40"/>
      <c r="F307" s="42"/>
      <c r="G307" s="40"/>
      <c r="H307" s="40"/>
      <c r="I307" s="40"/>
      <c r="J307" s="43"/>
      <c r="K307" s="43">
        <f>IF(I307="Professional Billing Rate",J307,'Lists &amp; Settings'!$E$2)</f>
        <v>35.47</v>
      </c>
      <c r="L307" s="40"/>
    </row>
    <row r="308">
      <c r="A308" s="28" t="str">
        <f t="shared" si="1"/>
        <v/>
      </c>
      <c r="B308" s="28"/>
      <c r="C308" s="28"/>
      <c r="D308" s="26" t="str">
        <f t="shared" si="2"/>
        <v/>
      </c>
      <c r="E308" s="28"/>
      <c r="F308" s="35"/>
      <c r="G308" s="28"/>
      <c r="H308" s="28"/>
      <c r="I308" s="28"/>
      <c r="J308" s="37"/>
      <c r="K308" s="37">
        <f>IF(I308="Professional Billing Rate",J308,'Lists &amp; Settings'!$E$2)</f>
        <v>35.47</v>
      </c>
      <c r="L308" s="28"/>
    </row>
    <row r="309">
      <c r="A309" s="40" t="str">
        <f t="shared" si="1"/>
        <v/>
      </c>
      <c r="B309" s="40"/>
      <c r="C309" s="40"/>
      <c r="D309" s="41" t="str">
        <f t="shared" si="2"/>
        <v/>
      </c>
      <c r="E309" s="40"/>
      <c r="F309" s="42"/>
      <c r="G309" s="40"/>
      <c r="H309" s="40"/>
      <c r="I309" s="40"/>
      <c r="J309" s="43"/>
      <c r="K309" s="43">
        <f>IF(I309="Professional Billing Rate",J309,'Lists &amp; Settings'!$E$2)</f>
        <v>35.47</v>
      </c>
      <c r="L309" s="40"/>
    </row>
    <row r="310">
      <c r="A310" s="28" t="str">
        <f t="shared" si="1"/>
        <v/>
      </c>
      <c r="B310" s="28"/>
      <c r="C310" s="28"/>
      <c r="D310" s="26" t="str">
        <f t="shared" si="2"/>
        <v/>
      </c>
      <c r="E310" s="28"/>
      <c r="F310" s="35"/>
      <c r="G310" s="28"/>
      <c r="H310" s="28"/>
      <c r="I310" s="28"/>
      <c r="J310" s="37"/>
      <c r="K310" s="37">
        <f>IF(I310="Professional Billing Rate",J310,'Lists &amp; Settings'!$E$2)</f>
        <v>35.47</v>
      </c>
      <c r="L310" s="28"/>
    </row>
    <row r="311">
      <c r="A311" s="40" t="str">
        <f t="shared" si="1"/>
        <v/>
      </c>
      <c r="B311" s="40"/>
      <c r="C311" s="40"/>
      <c r="D311" s="41" t="str">
        <f t="shared" si="2"/>
        <v/>
      </c>
      <c r="E311" s="40"/>
      <c r="F311" s="42"/>
      <c r="G311" s="40"/>
      <c r="H311" s="40"/>
      <c r="I311" s="40"/>
      <c r="J311" s="43"/>
      <c r="K311" s="43">
        <f>IF(I311="Professional Billing Rate",J311,'Lists &amp; Settings'!$E$2)</f>
        <v>35.47</v>
      </c>
      <c r="L311" s="40"/>
    </row>
    <row r="312">
      <c r="A312" s="28" t="str">
        <f t="shared" si="1"/>
        <v/>
      </c>
      <c r="B312" s="28"/>
      <c r="C312" s="28"/>
      <c r="D312" s="26" t="str">
        <f t="shared" si="2"/>
        <v/>
      </c>
      <c r="E312" s="28"/>
      <c r="F312" s="35"/>
      <c r="G312" s="28"/>
      <c r="H312" s="28"/>
      <c r="I312" s="28"/>
      <c r="J312" s="37"/>
      <c r="K312" s="37">
        <f>IF(I312="Professional Billing Rate",J312,'Lists &amp; Settings'!$E$2)</f>
        <v>35.47</v>
      </c>
      <c r="L312" s="28"/>
    </row>
    <row r="313">
      <c r="A313" s="40" t="str">
        <f t="shared" si="1"/>
        <v/>
      </c>
      <c r="B313" s="40"/>
      <c r="C313" s="40"/>
      <c r="D313" s="41" t="str">
        <f t="shared" si="2"/>
        <v/>
      </c>
      <c r="E313" s="40"/>
      <c r="F313" s="42"/>
      <c r="G313" s="40"/>
      <c r="H313" s="40"/>
      <c r="I313" s="40"/>
      <c r="J313" s="43"/>
      <c r="K313" s="43">
        <f>IF(I313="Professional Billing Rate",J313,'Lists &amp; Settings'!$E$2)</f>
        <v>35.47</v>
      </c>
      <c r="L313" s="40"/>
    </row>
    <row r="314">
      <c r="A314" s="28" t="str">
        <f t="shared" si="1"/>
        <v/>
      </c>
      <c r="B314" s="28"/>
      <c r="C314" s="28"/>
      <c r="D314" s="26" t="str">
        <f t="shared" si="2"/>
        <v/>
      </c>
      <c r="E314" s="28"/>
      <c r="F314" s="35"/>
      <c r="G314" s="28"/>
      <c r="H314" s="28"/>
      <c r="I314" s="28"/>
      <c r="J314" s="37"/>
      <c r="K314" s="37">
        <f>IF(I314="Professional Billing Rate",J314,'Lists &amp; Settings'!$E$2)</f>
        <v>35.47</v>
      </c>
      <c r="L314" s="28"/>
    </row>
    <row r="315">
      <c r="A315" s="40" t="str">
        <f t="shared" si="1"/>
        <v/>
      </c>
      <c r="B315" s="40"/>
      <c r="C315" s="40"/>
      <c r="D315" s="41" t="str">
        <f t="shared" si="2"/>
        <v/>
      </c>
      <c r="E315" s="40"/>
      <c r="F315" s="42"/>
      <c r="G315" s="40"/>
      <c r="H315" s="40"/>
      <c r="I315" s="40"/>
      <c r="J315" s="43"/>
      <c r="K315" s="43">
        <f>IF(I315="Professional Billing Rate",J315,'Lists &amp; Settings'!$E$2)</f>
        <v>35.47</v>
      </c>
      <c r="L315" s="40"/>
    </row>
    <row r="316">
      <c r="A316" s="28" t="str">
        <f t="shared" si="1"/>
        <v/>
      </c>
      <c r="B316" s="28"/>
      <c r="C316" s="28"/>
      <c r="D316" s="26" t="str">
        <f t="shared" si="2"/>
        <v/>
      </c>
      <c r="E316" s="28"/>
      <c r="F316" s="35"/>
      <c r="G316" s="28"/>
      <c r="H316" s="28"/>
      <c r="I316" s="28"/>
      <c r="J316" s="37"/>
      <c r="K316" s="37">
        <f>IF(I316="Professional Billing Rate",J316,'Lists &amp; Settings'!$E$2)</f>
        <v>35.47</v>
      </c>
      <c r="L316" s="28"/>
    </row>
    <row r="317">
      <c r="A317" s="40" t="str">
        <f t="shared" si="1"/>
        <v/>
      </c>
      <c r="B317" s="40"/>
      <c r="C317" s="40"/>
      <c r="D317" s="41" t="str">
        <f t="shared" si="2"/>
        <v/>
      </c>
      <c r="E317" s="40"/>
      <c r="F317" s="42"/>
      <c r="G317" s="40"/>
      <c r="H317" s="40"/>
      <c r="I317" s="40"/>
      <c r="J317" s="43"/>
      <c r="K317" s="43">
        <f>IF(I317="Professional Billing Rate",J317,'Lists &amp; Settings'!$E$2)</f>
        <v>35.47</v>
      </c>
      <c r="L317" s="40"/>
    </row>
    <row r="318">
      <c r="A318" s="28" t="str">
        <f t="shared" si="1"/>
        <v/>
      </c>
      <c r="B318" s="28"/>
      <c r="C318" s="28"/>
      <c r="D318" s="26" t="str">
        <f t="shared" si="2"/>
        <v/>
      </c>
      <c r="E318" s="28"/>
      <c r="F318" s="35"/>
      <c r="G318" s="28"/>
      <c r="H318" s="28"/>
      <c r="I318" s="28"/>
      <c r="J318" s="37"/>
      <c r="K318" s="37">
        <f>IF(I318="Professional Billing Rate",J318,'Lists &amp; Settings'!$E$2)</f>
        <v>35.47</v>
      </c>
      <c r="L318" s="28"/>
    </row>
    <row r="319">
      <c r="A319" s="40" t="str">
        <f t="shared" si="1"/>
        <v/>
      </c>
      <c r="B319" s="40"/>
      <c r="C319" s="40"/>
      <c r="D319" s="41" t="str">
        <f t="shared" si="2"/>
        <v/>
      </c>
      <c r="E319" s="40"/>
      <c r="F319" s="42"/>
      <c r="G319" s="40"/>
      <c r="H319" s="40"/>
      <c r="I319" s="40"/>
      <c r="J319" s="43"/>
      <c r="K319" s="43">
        <f>IF(I319="Professional Billing Rate",J319,'Lists &amp; Settings'!$E$2)</f>
        <v>35.47</v>
      </c>
      <c r="L319" s="40"/>
    </row>
    <row r="320">
      <c r="A320" s="28" t="str">
        <f t="shared" si="1"/>
        <v/>
      </c>
      <c r="B320" s="28"/>
      <c r="C320" s="28"/>
      <c r="D320" s="26" t="str">
        <f t="shared" si="2"/>
        <v/>
      </c>
      <c r="E320" s="28"/>
      <c r="F320" s="35"/>
      <c r="G320" s="28"/>
      <c r="H320" s="28"/>
      <c r="I320" s="28"/>
      <c r="J320" s="37"/>
      <c r="K320" s="37">
        <f>IF(I320="Professional Billing Rate",J320,'Lists &amp; Settings'!$E$2)</f>
        <v>35.47</v>
      </c>
      <c r="L320" s="28"/>
    </row>
    <row r="321">
      <c r="A321" s="40" t="str">
        <f t="shared" si="1"/>
        <v/>
      </c>
      <c r="B321" s="40"/>
      <c r="C321" s="40"/>
      <c r="D321" s="41" t="str">
        <f t="shared" si="2"/>
        <v/>
      </c>
      <c r="E321" s="40"/>
      <c r="F321" s="42"/>
      <c r="G321" s="40"/>
      <c r="H321" s="40"/>
      <c r="I321" s="40"/>
      <c r="J321" s="43"/>
      <c r="K321" s="43">
        <f>IF(I321="Professional Billing Rate",J321,'Lists &amp; Settings'!$E$2)</f>
        <v>35.47</v>
      </c>
      <c r="L321" s="40"/>
    </row>
    <row r="322">
      <c r="A322" s="28" t="str">
        <f t="shared" si="1"/>
        <v/>
      </c>
      <c r="B322" s="28"/>
      <c r="C322" s="28"/>
      <c r="D322" s="26" t="str">
        <f t="shared" si="2"/>
        <v/>
      </c>
      <c r="E322" s="28"/>
      <c r="F322" s="35"/>
      <c r="G322" s="28"/>
      <c r="H322" s="28"/>
      <c r="I322" s="28"/>
      <c r="J322" s="37"/>
      <c r="K322" s="37">
        <f>IF(I322="Professional Billing Rate",J322,'Lists &amp; Settings'!$E$2)</f>
        <v>35.47</v>
      </c>
      <c r="L322" s="28"/>
    </row>
    <row r="323">
      <c r="A323" s="40" t="str">
        <f t="shared" si="1"/>
        <v/>
      </c>
      <c r="B323" s="40"/>
      <c r="C323" s="40"/>
      <c r="D323" s="41" t="str">
        <f t="shared" si="2"/>
        <v/>
      </c>
      <c r="E323" s="40"/>
      <c r="F323" s="42"/>
      <c r="G323" s="40"/>
      <c r="H323" s="40"/>
      <c r="I323" s="40"/>
      <c r="J323" s="43"/>
      <c r="K323" s="43">
        <f>IF(I323="Professional Billing Rate",J323,'Lists &amp; Settings'!$E$2)</f>
        <v>35.47</v>
      </c>
      <c r="L323" s="40"/>
    </row>
    <row r="324">
      <c r="A324" s="28" t="str">
        <f t="shared" si="1"/>
        <v/>
      </c>
      <c r="B324" s="28"/>
      <c r="C324" s="28"/>
      <c r="D324" s="26" t="str">
        <f t="shared" si="2"/>
        <v/>
      </c>
      <c r="E324" s="28"/>
      <c r="F324" s="35"/>
      <c r="G324" s="28"/>
      <c r="H324" s="28"/>
      <c r="I324" s="28"/>
      <c r="J324" s="37"/>
      <c r="K324" s="37">
        <f>IF(I324="Professional Billing Rate",J324,'Lists &amp; Settings'!$E$2)</f>
        <v>35.47</v>
      </c>
      <c r="L324" s="28"/>
    </row>
    <row r="325">
      <c r="A325" s="40" t="str">
        <f t="shared" si="1"/>
        <v/>
      </c>
      <c r="B325" s="40"/>
      <c r="C325" s="40"/>
      <c r="D325" s="41" t="str">
        <f t="shared" si="2"/>
        <v/>
      </c>
      <c r="E325" s="40"/>
      <c r="F325" s="42"/>
      <c r="G325" s="40"/>
      <c r="H325" s="40"/>
      <c r="I325" s="40"/>
      <c r="J325" s="43"/>
      <c r="K325" s="43">
        <f>IF(I325="Professional Billing Rate",J325,'Lists &amp; Settings'!$E$2)</f>
        <v>35.47</v>
      </c>
      <c r="L325" s="40"/>
    </row>
    <row r="326">
      <c r="A326" s="28" t="str">
        <f t="shared" si="1"/>
        <v/>
      </c>
      <c r="B326" s="28"/>
      <c r="C326" s="28"/>
      <c r="D326" s="26" t="str">
        <f t="shared" si="2"/>
        <v/>
      </c>
      <c r="E326" s="28"/>
      <c r="F326" s="35"/>
      <c r="G326" s="28"/>
      <c r="H326" s="28"/>
      <c r="I326" s="28"/>
      <c r="J326" s="37"/>
      <c r="K326" s="37">
        <f>IF(I326="Professional Billing Rate",J326,'Lists &amp; Settings'!$E$2)</f>
        <v>35.47</v>
      </c>
      <c r="L326" s="28"/>
    </row>
    <row r="327">
      <c r="A327" s="40" t="str">
        <f t="shared" si="1"/>
        <v/>
      </c>
      <c r="B327" s="40"/>
      <c r="C327" s="40"/>
      <c r="D327" s="41" t="str">
        <f t="shared" si="2"/>
        <v/>
      </c>
      <c r="E327" s="40"/>
      <c r="F327" s="42"/>
      <c r="G327" s="40"/>
      <c r="H327" s="40"/>
      <c r="I327" s="40"/>
      <c r="J327" s="43"/>
      <c r="K327" s="43">
        <f>IF(I327="Professional Billing Rate",J327,'Lists &amp; Settings'!$E$2)</f>
        <v>35.47</v>
      </c>
      <c r="L327" s="40"/>
    </row>
    <row r="328">
      <c r="A328" s="28" t="str">
        <f t="shared" si="1"/>
        <v/>
      </c>
      <c r="B328" s="28"/>
      <c r="C328" s="28"/>
      <c r="D328" s="26" t="str">
        <f t="shared" si="2"/>
        <v/>
      </c>
      <c r="E328" s="28"/>
      <c r="F328" s="35"/>
      <c r="G328" s="28"/>
      <c r="H328" s="28"/>
      <c r="I328" s="28"/>
      <c r="J328" s="37"/>
      <c r="K328" s="37">
        <f>IF(I328="Professional Billing Rate",J328,'Lists &amp; Settings'!$E$2)</f>
        <v>35.47</v>
      </c>
      <c r="L328" s="28"/>
    </row>
    <row r="329">
      <c r="A329" s="40" t="str">
        <f t="shared" si="1"/>
        <v/>
      </c>
      <c r="B329" s="40"/>
      <c r="C329" s="40"/>
      <c r="D329" s="41" t="str">
        <f t="shared" si="2"/>
        <v/>
      </c>
      <c r="E329" s="40"/>
      <c r="F329" s="42"/>
      <c r="G329" s="40"/>
      <c r="H329" s="40"/>
      <c r="I329" s="40"/>
      <c r="J329" s="43"/>
      <c r="K329" s="43">
        <f>IF(I329="Professional Billing Rate",J329,'Lists &amp; Settings'!$E$2)</f>
        <v>35.47</v>
      </c>
      <c r="L329" s="40"/>
    </row>
    <row r="330">
      <c r="A330" s="28" t="str">
        <f t="shared" si="1"/>
        <v/>
      </c>
      <c r="B330" s="28"/>
      <c r="C330" s="28"/>
      <c r="D330" s="26" t="str">
        <f t="shared" si="2"/>
        <v/>
      </c>
      <c r="E330" s="28"/>
      <c r="F330" s="35"/>
      <c r="G330" s="28"/>
      <c r="H330" s="28"/>
      <c r="I330" s="28"/>
      <c r="J330" s="37"/>
      <c r="K330" s="37">
        <f>IF(I330="Professional Billing Rate",J330,'Lists &amp; Settings'!$E$2)</f>
        <v>35.47</v>
      </c>
      <c r="L330" s="28"/>
    </row>
    <row r="331">
      <c r="A331" s="40" t="str">
        <f t="shared" si="1"/>
        <v/>
      </c>
      <c r="B331" s="40"/>
      <c r="C331" s="40"/>
      <c r="D331" s="41" t="str">
        <f t="shared" si="2"/>
        <v/>
      </c>
      <c r="E331" s="40"/>
      <c r="F331" s="42"/>
      <c r="G331" s="40"/>
      <c r="H331" s="40"/>
      <c r="I331" s="40"/>
      <c r="J331" s="43"/>
      <c r="K331" s="43">
        <f>IF(I331="Professional Billing Rate",J331,'Lists &amp; Settings'!$E$2)</f>
        <v>35.47</v>
      </c>
      <c r="L331" s="40"/>
    </row>
    <row r="332">
      <c r="A332" s="28" t="str">
        <f t="shared" si="1"/>
        <v/>
      </c>
      <c r="B332" s="28"/>
      <c r="C332" s="28"/>
      <c r="D332" s="26" t="str">
        <f t="shared" si="2"/>
        <v/>
      </c>
      <c r="E332" s="28"/>
      <c r="F332" s="35"/>
      <c r="G332" s="28"/>
      <c r="H332" s="28"/>
      <c r="I332" s="28"/>
      <c r="J332" s="37"/>
      <c r="K332" s="37">
        <f>IF(I332="Professional Billing Rate",J332,'Lists &amp; Settings'!$E$2)</f>
        <v>35.47</v>
      </c>
      <c r="L332" s="28"/>
    </row>
    <row r="333">
      <c r="A333" s="40" t="str">
        <f t="shared" si="1"/>
        <v/>
      </c>
      <c r="B333" s="40"/>
      <c r="C333" s="40"/>
      <c r="D333" s="41" t="str">
        <f t="shared" si="2"/>
        <v/>
      </c>
      <c r="E333" s="40"/>
      <c r="F333" s="42"/>
      <c r="G333" s="40"/>
      <c r="H333" s="40"/>
      <c r="I333" s="40"/>
      <c r="J333" s="43"/>
      <c r="K333" s="43">
        <f>IF(I333="Professional Billing Rate",J333,'Lists &amp; Settings'!$E$2)</f>
        <v>35.47</v>
      </c>
      <c r="L333" s="40"/>
    </row>
    <row r="334">
      <c r="A334" s="28" t="str">
        <f t="shared" si="1"/>
        <v/>
      </c>
      <c r="B334" s="28"/>
      <c r="C334" s="28"/>
      <c r="D334" s="26" t="str">
        <f t="shared" si="2"/>
        <v/>
      </c>
      <c r="E334" s="28"/>
      <c r="F334" s="35"/>
      <c r="G334" s="28"/>
      <c r="H334" s="28"/>
      <c r="I334" s="28"/>
      <c r="J334" s="37"/>
      <c r="K334" s="37">
        <f>IF(I334="Professional Billing Rate",J334,'Lists &amp; Settings'!$E$2)</f>
        <v>35.47</v>
      </c>
      <c r="L334" s="28"/>
    </row>
    <row r="335">
      <c r="A335" s="40" t="str">
        <f t="shared" si="1"/>
        <v/>
      </c>
      <c r="B335" s="40"/>
      <c r="C335" s="40"/>
      <c r="D335" s="41" t="str">
        <f t="shared" si="2"/>
        <v/>
      </c>
      <c r="E335" s="40"/>
      <c r="F335" s="42"/>
      <c r="G335" s="40"/>
      <c r="H335" s="40"/>
      <c r="I335" s="40"/>
      <c r="J335" s="43"/>
      <c r="K335" s="43">
        <f>IF(I335="Professional Billing Rate",J335,'Lists &amp; Settings'!$E$2)</f>
        <v>35.47</v>
      </c>
      <c r="L335" s="40"/>
    </row>
    <row r="336">
      <c r="A336" s="28" t="str">
        <f t="shared" si="1"/>
        <v/>
      </c>
      <c r="B336" s="28"/>
      <c r="C336" s="28"/>
      <c r="D336" s="26" t="str">
        <f t="shared" si="2"/>
        <v/>
      </c>
      <c r="E336" s="28"/>
      <c r="F336" s="35"/>
      <c r="G336" s="28"/>
      <c r="H336" s="28"/>
      <c r="I336" s="28"/>
      <c r="J336" s="37"/>
      <c r="K336" s="37">
        <f>IF(I336="Professional Billing Rate",J336,'Lists &amp; Settings'!$E$2)</f>
        <v>35.47</v>
      </c>
      <c r="L336" s="28"/>
    </row>
    <row r="337">
      <c r="A337" s="40" t="str">
        <f t="shared" si="1"/>
        <v/>
      </c>
      <c r="B337" s="40"/>
      <c r="C337" s="40"/>
      <c r="D337" s="41" t="str">
        <f t="shared" si="2"/>
        <v/>
      </c>
      <c r="E337" s="40"/>
      <c r="F337" s="42"/>
      <c r="G337" s="40"/>
      <c r="H337" s="40"/>
      <c r="I337" s="40"/>
      <c r="J337" s="43"/>
      <c r="K337" s="43">
        <f>IF(I337="Professional Billing Rate",J337,'Lists &amp; Settings'!$E$2)</f>
        <v>35.47</v>
      </c>
      <c r="L337" s="40"/>
    </row>
    <row r="338">
      <c r="A338" s="28" t="str">
        <f t="shared" si="1"/>
        <v/>
      </c>
      <c r="B338" s="28"/>
      <c r="C338" s="28"/>
      <c r="D338" s="26" t="str">
        <f t="shared" si="2"/>
        <v/>
      </c>
      <c r="E338" s="28"/>
      <c r="F338" s="35"/>
      <c r="G338" s="28"/>
      <c r="H338" s="28"/>
      <c r="I338" s="28"/>
      <c r="J338" s="37"/>
      <c r="K338" s="37">
        <f>IF(I338="Professional Billing Rate",J338,'Lists &amp; Settings'!$E$2)</f>
        <v>35.47</v>
      </c>
      <c r="L338" s="28"/>
    </row>
    <row r="339">
      <c r="A339" s="40" t="str">
        <f t="shared" si="1"/>
        <v/>
      </c>
      <c r="B339" s="40"/>
      <c r="C339" s="40"/>
      <c r="D339" s="41" t="str">
        <f t="shared" si="2"/>
        <v/>
      </c>
      <c r="E339" s="40"/>
      <c r="F339" s="42"/>
      <c r="G339" s="40"/>
      <c r="H339" s="40"/>
      <c r="I339" s="40"/>
      <c r="J339" s="43"/>
      <c r="K339" s="43">
        <f>IF(I339="Professional Billing Rate",J339,'Lists &amp; Settings'!$E$2)</f>
        <v>35.47</v>
      </c>
      <c r="L339" s="40"/>
    </row>
    <row r="340">
      <c r="A340" s="28" t="str">
        <f t="shared" si="1"/>
        <v/>
      </c>
      <c r="B340" s="28"/>
      <c r="C340" s="28"/>
      <c r="D340" s="26" t="str">
        <f t="shared" si="2"/>
        <v/>
      </c>
      <c r="E340" s="28"/>
      <c r="F340" s="35"/>
      <c r="G340" s="28"/>
      <c r="H340" s="28"/>
      <c r="I340" s="28"/>
      <c r="J340" s="37"/>
      <c r="K340" s="37">
        <f>IF(I340="Professional Billing Rate",J340,'Lists &amp; Settings'!$E$2)</f>
        <v>35.47</v>
      </c>
      <c r="L340" s="28"/>
    </row>
    <row r="341">
      <c r="A341" s="40" t="str">
        <f t="shared" si="1"/>
        <v/>
      </c>
      <c r="B341" s="40"/>
      <c r="C341" s="40"/>
      <c r="D341" s="41" t="str">
        <f t="shared" si="2"/>
        <v/>
      </c>
      <c r="E341" s="40"/>
      <c r="F341" s="42"/>
      <c r="G341" s="40"/>
      <c r="H341" s="40"/>
      <c r="I341" s="40"/>
      <c r="J341" s="43"/>
      <c r="K341" s="43">
        <f>IF(I341="Professional Billing Rate",J341,'Lists &amp; Settings'!$E$2)</f>
        <v>35.47</v>
      </c>
      <c r="L341" s="40"/>
    </row>
    <row r="342">
      <c r="A342" s="28" t="str">
        <f t="shared" si="1"/>
        <v/>
      </c>
      <c r="B342" s="28"/>
      <c r="C342" s="28"/>
      <c r="D342" s="26" t="str">
        <f t="shared" si="2"/>
        <v/>
      </c>
      <c r="E342" s="28"/>
      <c r="F342" s="35"/>
      <c r="G342" s="28"/>
      <c r="H342" s="28"/>
      <c r="I342" s="28"/>
      <c r="J342" s="37"/>
      <c r="K342" s="37">
        <f>IF(I342="Professional Billing Rate",J342,'Lists &amp; Settings'!$E$2)</f>
        <v>35.47</v>
      </c>
      <c r="L342" s="28"/>
    </row>
    <row r="343">
      <c r="A343" s="40" t="str">
        <f t="shared" si="1"/>
        <v/>
      </c>
      <c r="B343" s="40"/>
      <c r="C343" s="40"/>
      <c r="D343" s="41" t="str">
        <f t="shared" si="2"/>
        <v/>
      </c>
      <c r="E343" s="40"/>
      <c r="F343" s="42"/>
      <c r="G343" s="40"/>
      <c r="H343" s="40"/>
      <c r="I343" s="40"/>
      <c r="J343" s="43"/>
      <c r="K343" s="43">
        <f>IF(I343="Professional Billing Rate",J343,'Lists &amp; Settings'!$E$2)</f>
        <v>35.47</v>
      </c>
      <c r="L343" s="40"/>
    </row>
    <row r="344">
      <c r="A344" s="28" t="str">
        <f t="shared" si="1"/>
        <v/>
      </c>
      <c r="B344" s="28"/>
      <c r="C344" s="28"/>
      <c r="D344" s="26" t="str">
        <f t="shared" si="2"/>
        <v/>
      </c>
      <c r="E344" s="28"/>
      <c r="F344" s="35"/>
      <c r="G344" s="28"/>
      <c r="H344" s="28"/>
      <c r="I344" s="28"/>
      <c r="J344" s="37"/>
      <c r="K344" s="37">
        <f>IF(I344="Professional Billing Rate",J344,'Lists &amp; Settings'!$E$2)</f>
        <v>35.47</v>
      </c>
      <c r="L344" s="28"/>
    </row>
    <row r="345">
      <c r="A345" s="40" t="str">
        <f t="shared" si="1"/>
        <v/>
      </c>
      <c r="B345" s="40"/>
      <c r="C345" s="40"/>
      <c r="D345" s="41" t="str">
        <f t="shared" si="2"/>
        <v/>
      </c>
      <c r="E345" s="40"/>
      <c r="F345" s="42"/>
      <c r="G345" s="40"/>
      <c r="H345" s="40"/>
      <c r="I345" s="40"/>
      <c r="J345" s="43"/>
      <c r="K345" s="43">
        <f>IF(I345="Professional Billing Rate",J345,'Lists &amp; Settings'!$E$2)</f>
        <v>35.47</v>
      </c>
      <c r="L345" s="40"/>
    </row>
    <row r="346">
      <c r="A346" s="28" t="str">
        <f t="shared" si="1"/>
        <v/>
      </c>
      <c r="B346" s="28"/>
      <c r="C346" s="28"/>
      <c r="D346" s="26" t="str">
        <f t="shared" si="2"/>
        <v/>
      </c>
      <c r="E346" s="28"/>
      <c r="F346" s="35"/>
      <c r="G346" s="28"/>
      <c r="H346" s="28"/>
      <c r="I346" s="28"/>
      <c r="J346" s="37"/>
      <c r="K346" s="37">
        <f>IF(I346="Professional Billing Rate",J346,'Lists &amp; Settings'!$E$2)</f>
        <v>35.47</v>
      </c>
      <c r="L346" s="28"/>
    </row>
    <row r="347">
      <c r="A347" s="40" t="str">
        <f t="shared" si="1"/>
        <v/>
      </c>
      <c r="B347" s="40"/>
      <c r="C347" s="40"/>
      <c r="D347" s="41" t="str">
        <f t="shared" si="2"/>
        <v/>
      </c>
      <c r="E347" s="40"/>
      <c r="F347" s="42"/>
      <c r="G347" s="40"/>
      <c r="H347" s="40"/>
      <c r="I347" s="40"/>
      <c r="J347" s="43"/>
      <c r="K347" s="43">
        <f>IF(I347="Professional Billing Rate",J347,'Lists &amp; Settings'!$E$2)</f>
        <v>35.47</v>
      </c>
      <c r="L347" s="40"/>
    </row>
    <row r="348">
      <c r="A348" s="28" t="str">
        <f t="shared" si="1"/>
        <v/>
      </c>
      <c r="B348" s="28"/>
      <c r="C348" s="28"/>
      <c r="D348" s="26" t="str">
        <f t="shared" si="2"/>
        <v/>
      </c>
      <c r="E348" s="28"/>
      <c r="F348" s="35"/>
      <c r="G348" s="28"/>
      <c r="H348" s="28"/>
      <c r="I348" s="28"/>
      <c r="J348" s="37"/>
      <c r="K348" s="37">
        <f>IF(I348="Professional Billing Rate",J348,'Lists &amp; Settings'!$E$2)</f>
        <v>35.47</v>
      </c>
      <c r="L348" s="28"/>
    </row>
    <row r="349">
      <c r="A349" s="40" t="str">
        <f t="shared" si="1"/>
        <v/>
      </c>
      <c r="B349" s="40"/>
      <c r="C349" s="40"/>
      <c r="D349" s="41" t="str">
        <f t="shared" si="2"/>
        <v/>
      </c>
      <c r="E349" s="40"/>
      <c r="F349" s="42"/>
      <c r="G349" s="40"/>
      <c r="H349" s="40"/>
      <c r="I349" s="40"/>
      <c r="J349" s="43"/>
      <c r="K349" s="43">
        <f>IF(I349="Professional Billing Rate",J349,'Lists &amp; Settings'!$E$2)</f>
        <v>35.47</v>
      </c>
      <c r="L349" s="40"/>
    </row>
    <row r="350">
      <c r="A350" s="28" t="str">
        <f t="shared" si="1"/>
        <v/>
      </c>
      <c r="B350" s="28"/>
      <c r="C350" s="28"/>
      <c r="D350" s="26" t="str">
        <f t="shared" si="2"/>
        <v/>
      </c>
      <c r="E350" s="28"/>
      <c r="F350" s="35"/>
      <c r="G350" s="28"/>
      <c r="H350" s="28"/>
      <c r="I350" s="28"/>
      <c r="J350" s="37"/>
      <c r="K350" s="37">
        <f>IF(I350="Professional Billing Rate",J350,'Lists &amp; Settings'!$E$2)</f>
        <v>35.47</v>
      </c>
      <c r="L350" s="28"/>
    </row>
    <row r="351">
      <c r="A351" s="40" t="str">
        <f t="shared" si="1"/>
        <v/>
      </c>
      <c r="B351" s="40"/>
      <c r="C351" s="40"/>
      <c r="D351" s="41" t="str">
        <f t="shared" si="2"/>
        <v/>
      </c>
      <c r="E351" s="40"/>
      <c r="F351" s="42"/>
      <c r="G351" s="40"/>
      <c r="H351" s="40"/>
      <c r="I351" s="40"/>
      <c r="J351" s="43"/>
      <c r="K351" s="43">
        <f>IF(I351="Professional Billing Rate",J351,'Lists &amp; Settings'!$E$2)</f>
        <v>35.47</v>
      </c>
      <c r="L351" s="40"/>
    </row>
    <row r="352">
      <c r="A352" s="28" t="str">
        <f t="shared" si="1"/>
        <v/>
      </c>
      <c r="B352" s="28"/>
      <c r="C352" s="28"/>
      <c r="D352" s="26" t="str">
        <f t="shared" si="2"/>
        <v/>
      </c>
      <c r="E352" s="28"/>
      <c r="F352" s="35"/>
      <c r="G352" s="28"/>
      <c r="H352" s="28"/>
      <c r="I352" s="28"/>
      <c r="J352" s="37"/>
      <c r="K352" s="37">
        <f>IF(I352="Professional Billing Rate",J352,'Lists &amp; Settings'!$E$2)</f>
        <v>35.47</v>
      </c>
      <c r="L352" s="28"/>
    </row>
    <row r="353">
      <c r="A353" s="40" t="str">
        <f t="shared" si="1"/>
        <v/>
      </c>
      <c r="B353" s="40"/>
      <c r="C353" s="40"/>
      <c r="D353" s="41" t="str">
        <f t="shared" si="2"/>
        <v/>
      </c>
      <c r="E353" s="40"/>
      <c r="F353" s="42"/>
      <c r="G353" s="40"/>
      <c r="H353" s="40"/>
      <c r="I353" s="40"/>
      <c r="J353" s="43"/>
      <c r="K353" s="43">
        <f>IF(I353="Professional Billing Rate",J353,'Lists &amp; Settings'!$E$2)</f>
        <v>35.47</v>
      </c>
      <c r="L353" s="40"/>
    </row>
    <row r="354">
      <c r="A354" s="28" t="str">
        <f t="shared" si="1"/>
        <v/>
      </c>
      <c r="B354" s="28"/>
      <c r="C354" s="28"/>
      <c r="D354" s="26" t="str">
        <f t="shared" si="2"/>
        <v/>
      </c>
      <c r="E354" s="28"/>
      <c r="F354" s="35"/>
      <c r="G354" s="28"/>
      <c r="H354" s="28"/>
      <c r="I354" s="28"/>
      <c r="J354" s="37"/>
      <c r="K354" s="37">
        <f>IF(I354="Professional Billing Rate",J354,'Lists &amp; Settings'!$E$2)</f>
        <v>35.47</v>
      </c>
      <c r="L354" s="28"/>
    </row>
    <row r="355">
      <c r="A355" s="40" t="str">
        <f t="shared" si="1"/>
        <v/>
      </c>
      <c r="B355" s="40"/>
      <c r="C355" s="40"/>
      <c r="D355" s="41" t="str">
        <f t="shared" si="2"/>
        <v/>
      </c>
      <c r="E355" s="40"/>
      <c r="F355" s="42"/>
      <c r="G355" s="40"/>
      <c r="H355" s="40"/>
      <c r="I355" s="40"/>
      <c r="J355" s="43"/>
      <c r="K355" s="43">
        <f>IF(I355="Professional Billing Rate",J355,'Lists &amp; Settings'!$E$2)</f>
        <v>35.47</v>
      </c>
      <c r="L355" s="40"/>
    </row>
    <row r="356">
      <c r="A356" s="28" t="str">
        <f t="shared" si="1"/>
        <v/>
      </c>
      <c r="B356" s="28"/>
      <c r="C356" s="28"/>
      <c r="D356" s="26" t="str">
        <f t="shared" si="2"/>
        <v/>
      </c>
      <c r="E356" s="28"/>
      <c r="F356" s="35"/>
      <c r="G356" s="28"/>
      <c r="H356" s="28"/>
      <c r="I356" s="28"/>
      <c r="J356" s="37"/>
      <c r="K356" s="37">
        <f>IF(I356="Professional Billing Rate",J356,'Lists &amp; Settings'!$E$2)</f>
        <v>35.47</v>
      </c>
      <c r="L356" s="28"/>
    </row>
    <row r="357">
      <c r="A357" s="40" t="str">
        <f t="shared" si="1"/>
        <v/>
      </c>
      <c r="B357" s="40"/>
      <c r="C357" s="40"/>
      <c r="D357" s="41" t="str">
        <f t="shared" si="2"/>
        <v/>
      </c>
      <c r="E357" s="40"/>
      <c r="F357" s="42"/>
      <c r="G357" s="40"/>
      <c r="H357" s="40"/>
      <c r="I357" s="40"/>
      <c r="J357" s="43"/>
      <c r="K357" s="43">
        <f>IF(I357="Professional Billing Rate",J357,'Lists &amp; Settings'!$E$2)</f>
        <v>35.47</v>
      </c>
      <c r="L357" s="40"/>
    </row>
    <row r="358">
      <c r="A358" s="28" t="str">
        <f t="shared" si="1"/>
        <v/>
      </c>
      <c r="B358" s="28"/>
      <c r="C358" s="28"/>
      <c r="D358" s="26" t="str">
        <f t="shared" si="2"/>
        <v/>
      </c>
      <c r="E358" s="28"/>
      <c r="F358" s="35"/>
      <c r="G358" s="28"/>
      <c r="H358" s="28"/>
      <c r="I358" s="28"/>
      <c r="J358" s="37"/>
      <c r="K358" s="37">
        <f>IF(I358="Professional Billing Rate",J358,'Lists &amp; Settings'!$E$2)</f>
        <v>35.47</v>
      </c>
      <c r="L358" s="28"/>
    </row>
    <row r="359">
      <c r="A359" s="40" t="str">
        <f t="shared" si="1"/>
        <v/>
      </c>
      <c r="B359" s="40"/>
      <c r="C359" s="40"/>
      <c r="D359" s="41" t="str">
        <f t="shared" si="2"/>
        <v/>
      </c>
      <c r="E359" s="40"/>
      <c r="F359" s="42"/>
      <c r="G359" s="40"/>
      <c r="H359" s="40"/>
      <c r="I359" s="40"/>
      <c r="J359" s="43"/>
      <c r="K359" s="43">
        <f>IF(I359="Professional Billing Rate",J359,'Lists &amp; Settings'!$E$2)</f>
        <v>35.47</v>
      </c>
      <c r="L359" s="40"/>
    </row>
    <row r="360">
      <c r="A360" s="28" t="str">
        <f t="shared" si="1"/>
        <v/>
      </c>
      <c r="B360" s="28"/>
      <c r="C360" s="28"/>
      <c r="D360" s="26" t="str">
        <f t="shared" si="2"/>
        <v/>
      </c>
      <c r="E360" s="28"/>
      <c r="F360" s="35"/>
      <c r="G360" s="28"/>
      <c r="H360" s="28"/>
      <c r="I360" s="28"/>
      <c r="J360" s="37"/>
      <c r="K360" s="37">
        <f>IF(I360="Professional Billing Rate",J360,'Lists &amp; Settings'!$E$2)</f>
        <v>35.47</v>
      </c>
      <c r="L360" s="28"/>
    </row>
    <row r="361">
      <c r="A361" s="40" t="str">
        <f t="shared" si="1"/>
        <v/>
      </c>
      <c r="B361" s="40"/>
      <c r="C361" s="40"/>
      <c r="D361" s="41" t="str">
        <f t="shared" si="2"/>
        <v/>
      </c>
      <c r="E361" s="40"/>
      <c r="F361" s="42"/>
      <c r="G361" s="40"/>
      <c r="H361" s="40"/>
      <c r="I361" s="40"/>
      <c r="J361" s="43"/>
      <c r="K361" s="43">
        <f>IF(I361="Professional Billing Rate",J361,'Lists &amp; Settings'!$E$2)</f>
        <v>35.47</v>
      </c>
      <c r="L361" s="40"/>
    </row>
    <row r="362">
      <c r="A362" s="28" t="str">
        <f t="shared" si="1"/>
        <v/>
      </c>
      <c r="B362" s="28"/>
      <c r="C362" s="28"/>
      <c r="D362" s="26" t="str">
        <f t="shared" si="2"/>
        <v/>
      </c>
      <c r="E362" s="28"/>
      <c r="F362" s="35"/>
      <c r="G362" s="28"/>
      <c r="H362" s="28"/>
      <c r="I362" s="28"/>
      <c r="J362" s="37"/>
      <c r="K362" s="37">
        <f>IF(I362="Professional Billing Rate",J362,'Lists &amp; Settings'!$E$2)</f>
        <v>35.47</v>
      </c>
      <c r="L362" s="28"/>
    </row>
    <row r="363">
      <c r="A363" s="40" t="str">
        <f t="shared" si="1"/>
        <v/>
      </c>
      <c r="B363" s="40"/>
      <c r="C363" s="40"/>
      <c r="D363" s="41" t="str">
        <f t="shared" si="2"/>
        <v/>
      </c>
      <c r="E363" s="40"/>
      <c r="F363" s="42"/>
      <c r="G363" s="40"/>
      <c r="H363" s="40"/>
      <c r="I363" s="40"/>
      <c r="J363" s="43"/>
      <c r="K363" s="43">
        <f>IF(I363="Professional Billing Rate",J363,'Lists &amp; Settings'!$E$2)</f>
        <v>35.47</v>
      </c>
      <c r="L363" s="40"/>
    </row>
    <row r="364">
      <c r="A364" s="28" t="str">
        <f t="shared" si="1"/>
        <v/>
      </c>
      <c r="B364" s="28"/>
      <c r="C364" s="28"/>
      <c r="D364" s="26" t="str">
        <f t="shared" si="2"/>
        <v/>
      </c>
      <c r="E364" s="28"/>
      <c r="F364" s="35"/>
      <c r="G364" s="28"/>
      <c r="H364" s="28"/>
      <c r="I364" s="28"/>
      <c r="J364" s="37"/>
      <c r="K364" s="37">
        <f>IF(I364="Professional Billing Rate",J364,'Lists &amp; Settings'!$E$2)</f>
        <v>35.47</v>
      </c>
      <c r="L364" s="28"/>
    </row>
    <row r="365">
      <c r="A365" s="40" t="str">
        <f t="shared" si="1"/>
        <v/>
      </c>
      <c r="B365" s="40"/>
      <c r="C365" s="40"/>
      <c r="D365" s="41" t="str">
        <f t="shared" si="2"/>
        <v/>
      </c>
      <c r="E365" s="40"/>
      <c r="F365" s="42"/>
      <c r="G365" s="40"/>
      <c r="H365" s="40"/>
      <c r="I365" s="40"/>
      <c r="J365" s="43"/>
      <c r="K365" s="43">
        <f>IF(I365="Professional Billing Rate",J365,'Lists &amp; Settings'!$E$2)</f>
        <v>35.47</v>
      </c>
      <c r="L365" s="40"/>
    </row>
    <row r="366">
      <c r="A366" s="28" t="str">
        <f t="shared" si="1"/>
        <v/>
      </c>
      <c r="B366" s="28"/>
      <c r="C366" s="28"/>
      <c r="D366" s="26" t="str">
        <f t="shared" si="2"/>
        <v/>
      </c>
      <c r="E366" s="28"/>
      <c r="F366" s="35"/>
      <c r="G366" s="28"/>
      <c r="H366" s="28"/>
      <c r="I366" s="28"/>
      <c r="J366" s="37"/>
      <c r="K366" s="37">
        <f>IF(I366="Professional Billing Rate",J366,'Lists &amp; Settings'!$E$2)</f>
        <v>35.47</v>
      </c>
      <c r="L366" s="28"/>
    </row>
    <row r="367">
      <c r="A367" s="40" t="str">
        <f t="shared" si="1"/>
        <v/>
      </c>
      <c r="B367" s="40"/>
      <c r="C367" s="40"/>
      <c r="D367" s="41" t="str">
        <f t="shared" si="2"/>
        <v/>
      </c>
      <c r="E367" s="40"/>
      <c r="F367" s="42"/>
      <c r="G367" s="40"/>
      <c r="H367" s="40"/>
      <c r="I367" s="40"/>
      <c r="J367" s="43"/>
      <c r="K367" s="43">
        <f>IF(I367="Professional Billing Rate",J367,'Lists &amp; Settings'!$E$2)</f>
        <v>35.47</v>
      </c>
      <c r="L367" s="40"/>
    </row>
    <row r="368">
      <c r="A368" s="28" t="str">
        <f t="shared" si="1"/>
        <v/>
      </c>
      <c r="B368" s="28"/>
      <c r="C368" s="28"/>
      <c r="D368" s="26" t="str">
        <f t="shared" si="2"/>
        <v/>
      </c>
      <c r="E368" s="28"/>
      <c r="F368" s="35"/>
      <c r="G368" s="28"/>
      <c r="H368" s="28"/>
      <c r="I368" s="28"/>
      <c r="J368" s="37"/>
      <c r="K368" s="37">
        <f>IF(I368="Professional Billing Rate",J368,'Lists &amp; Settings'!$E$2)</f>
        <v>35.47</v>
      </c>
      <c r="L368" s="28"/>
    </row>
    <row r="369">
      <c r="A369" s="40" t="str">
        <f t="shared" si="1"/>
        <v/>
      </c>
      <c r="B369" s="40"/>
      <c r="C369" s="40"/>
      <c r="D369" s="41" t="str">
        <f t="shared" si="2"/>
        <v/>
      </c>
      <c r="E369" s="40"/>
      <c r="F369" s="42"/>
      <c r="G369" s="40"/>
      <c r="H369" s="40"/>
      <c r="I369" s="40"/>
      <c r="J369" s="43"/>
      <c r="K369" s="43">
        <f>IF(I369="Professional Billing Rate",J369,'Lists &amp; Settings'!$E$2)</f>
        <v>35.47</v>
      </c>
      <c r="L369" s="40"/>
    </row>
    <row r="370">
      <c r="A370" s="28" t="str">
        <f t="shared" si="1"/>
        <v/>
      </c>
      <c r="B370" s="28"/>
      <c r="C370" s="28"/>
      <c r="D370" s="26" t="str">
        <f t="shared" si="2"/>
        <v/>
      </c>
      <c r="E370" s="28"/>
      <c r="F370" s="35"/>
      <c r="G370" s="28"/>
      <c r="H370" s="28"/>
      <c r="I370" s="28"/>
      <c r="J370" s="37"/>
      <c r="K370" s="37">
        <f>IF(I370="Professional Billing Rate",J370,'Lists &amp; Settings'!$E$2)</f>
        <v>35.47</v>
      </c>
      <c r="L370" s="28"/>
    </row>
    <row r="371">
      <c r="A371" s="40" t="str">
        <f t="shared" si="1"/>
        <v/>
      </c>
      <c r="B371" s="40"/>
      <c r="C371" s="40"/>
      <c r="D371" s="41" t="str">
        <f t="shared" si="2"/>
        <v/>
      </c>
      <c r="E371" s="40"/>
      <c r="F371" s="42"/>
      <c r="G371" s="40"/>
      <c r="H371" s="40"/>
      <c r="I371" s="40"/>
      <c r="J371" s="43"/>
      <c r="K371" s="43">
        <f>IF(I371="Professional Billing Rate",J371,'Lists &amp; Settings'!$E$2)</f>
        <v>35.47</v>
      </c>
      <c r="L371" s="40"/>
    </row>
    <row r="372">
      <c r="A372" s="28" t="str">
        <f t="shared" si="1"/>
        <v/>
      </c>
      <c r="B372" s="28"/>
      <c r="C372" s="28"/>
      <c r="D372" s="26" t="str">
        <f t="shared" si="2"/>
        <v/>
      </c>
      <c r="E372" s="28"/>
      <c r="F372" s="35"/>
      <c r="G372" s="28"/>
      <c r="H372" s="28"/>
      <c r="I372" s="28"/>
      <c r="J372" s="37"/>
      <c r="K372" s="37">
        <f>IF(I372="Professional Billing Rate",J372,'Lists &amp; Settings'!$E$2)</f>
        <v>35.47</v>
      </c>
      <c r="L372" s="28"/>
    </row>
    <row r="373">
      <c r="A373" s="40" t="str">
        <f t="shared" si="1"/>
        <v/>
      </c>
      <c r="B373" s="40"/>
      <c r="C373" s="40"/>
      <c r="D373" s="41" t="str">
        <f t="shared" si="2"/>
        <v/>
      </c>
      <c r="E373" s="40"/>
      <c r="F373" s="42"/>
      <c r="G373" s="40"/>
      <c r="H373" s="40"/>
      <c r="I373" s="40"/>
      <c r="J373" s="43"/>
      <c r="K373" s="43">
        <f>IF(I373="Professional Billing Rate",J373,'Lists &amp; Settings'!$E$2)</f>
        <v>35.47</v>
      </c>
      <c r="L373" s="40"/>
    </row>
    <row r="374">
      <c r="A374" s="28" t="str">
        <f t="shared" si="1"/>
        <v/>
      </c>
      <c r="B374" s="28"/>
      <c r="C374" s="28"/>
      <c r="D374" s="26" t="str">
        <f t="shared" si="2"/>
        <v/>
      </c>
      <c r="E374" s="28"/>
      <c r="F374" s="35"/>
      <c r="G374" s="28"/>
      <c r="H374" s="28"/>
      <c r="I374" s="28"/>
      <c r="J374" s="37"/>
      <c r="K374" s="37">
        <f>IF(I374="Professional Billing Rate",J374,'Lists &amp; Settings'!$E$2)</f>
        <v>35.47</v>
      </c>
      <c r="L374" s="28"/>
    </row>
    <row r="375">
      <c r="A375" s="40" t="str">
        <f t="shared" si="1"/>
        <v/>
      </c>
      <c r="B375" s="40"/>
      <c r="C375" s="40"/>
      <c r="D375" s="41" t="str">
        <f t="shared" si="2"/>
        <v/>
      </c>
      <c r="E375" s="40"/>
      <c r="F375" s="42"/>
      <c r="G375" s="40"/>
      <c r="H375" s="40"/>
      <c r="I375" s="40"/>
      <c r="J375" s="43"/>
      <c r="K375" s="43">
        <f>IF(I375="Professional Billing Rate",J375,'Lists &amp; Settings'!$E$2)</f>
        <v>35.47</v>
      </c>
      <c r="L375" s="40"/>
    </row>
    <row r="376">
      <c r="A376" s="28" t="str">
        <f t="shared" si="1"/>
        <v/>
      </c>
      <c r="B376" s="28"/>
      <c r="C376" s="28"/>
      <c r="D376" s="26" t="str">
        <f t="shared" si="2"/>
        <v/>
      </c>
      <c r="E376" s="28"/>
      <c r="F376" s="35"/>
      <c r="G376" s="28"/>
      <c r="H376" s="28"/>
      <c r="I376" s="28"/>
      <c r="J376" s="37"/>
      <c r="K376" s="37">
        <f>IF(I376="Professional Billing Rate",J376,'Lists &amp; Settings'!$E$2)</f>
        <v>35.47</v>
      </c>
      <c r="L376" s="28"/>
    </row>
    <row r="377">
      <c r="A377" s="40" t="str">
        <f t="shared" si="1"/>
        <v/>
      </c>
      <c r="B377" s="40"/>
      <c r="C377" s="40"/>
      <c r="D377" s="41" t="str">
        <f t="shared" si="2"/>
        <v/>
      </c>
      <c r="E377" s="40"/>
      <c r="F377" s="42"/>
      <c r="G377" s="40"/>
      <c r="H377" s="40"/>
      <c r="I377" s="40"/>
      <c r="J377" s="43"/>
      <c r="K377" s="43">
        <f>IF(I377="Professional Billing Rate",J377,'Lists &amp; Settings'!$E$2)</f>
        <v>35.47</v>
      </c>
      <c r="L377" s="40"/>
    </row>
    <row r="378">
      <c r="A378" s="28" t="str">
        <f t="shared" si="1"/>
        <v/>
      </c>
      <c r="B378" s="28"/>
      <c r="C378" s="28"/>
      <c r="D378" s="26" t="str">
        <f t="shared" si="2"/>
        <v/>
      </c>
      <c r="E378" s="28"/>
      <c r="F378" s="35"/>
      <c r="G378" s="28"/>
      <c r="H378" s="28"/>
      <c r="I378" s="28"/>
      <c r="J378" s="37"/>
      <c r="K378" s="37">
        <f>IF(I378="Professional Billing Rate",J378,'Lists &amp; Settings'!$E$2)</f>
        <v>35.47</v>
      </c>
      <c r="L378" s="28"/>
    </row>
    <row r="379">
      <c r="A379" s="40" t="str">
        <f t="shared" si="1"/>
        <v/>
      </c>
      <c r="B379" s="40"/>
      <c r="C379" s="40"/>
      <c r="D379" s="41" t="str">
        <f t="shared" si="2"/>
        <v/>
      </c>
      <c r="E379" s="40"/>
      <c r="F379" s="42"/>
      <c r="G379" s="40"/>
      <c r="H379" s="40"/>
      <c r="I379" s="40"/>
      <c r="J379" s="43"/>
      <c r="K379" s="43">
        <f>IF(I379="Professional Billing Rate",J379,'Lists &amp; Settings'!$E$2)</f>
        <v>35.47</v>
      </c>
      <c r="L379" s="40"/>
    </row>
    <row r="380">
      <c r="A380" s="28" t="str">
        <f t="shared" si="1"/>
        <v/>
      </c>
      <c r="B380" s="28"/>
      <c r="C380" s="28"/>
      <c r="D380" s="26" t="str">
        <f t="shared" si="2"/>
        <v/>
      </c>
      <c r="E380" s="28"/>
      <c r="F380" s="35"/>
      <c r="G380" s="28"/>
      <c r="H380" s="28"/>
      <c r="I380" s="28"/>
      <c r="J380" s="37"/>
      <c r="K380" s="37">
        <f>IF(I380="Professional Billing Rate",J380,'Lists &amp; Settings'!$E$2)</f>
        <v>35.47</v>
      </c>
      <c r="L380" s="28"/>
    </row>
    <row r="381">
      <c r="A381" s="40" t="str">
        <f t="shared" si="1"/>
        <v/>
      </c>
      <c r="B381" s="40"/>
      <c r="C381" s="40"/>
      <c r="D381" s="41" t="str">
        <f t="shared" si="2"/>
        <v/>
      </c>
      <c r="E381" s="40"/>
      <c r="F381" s="42"/>
      <c r="G381" s="40"/>
      <c r="H381" s="40"/>
      <c r="I381" s="40"/>
      <c r="J381" s="43"/>
      <c r="K381" s="43">
        <f>IF(I381="Professional Billing Rate",J381,'Lists &amp; Settings'!$E$2)</f>
        <v>35.47</v>
      </c>
      <c r="L381" s="40"/>
    </row>
    <row r="382">
      <c r="A382" s="28" t="str">
        <f t="shared" si="1"/>
        <v/>
      </c>
      <c r="B382" s="28"/>
      <c r="C382" s="28"/>
      <c r="D382" s="26" t="str">
        <f t="shared" si="2"/>
        <v/>
      </c>
      <c r="E382" s="28"/>
      <c r="F382" s="35"/>
      <c r="G382" s="28"/>
      <c r="H382" s="28"/>
      <c r="I382" s="28"/>
      <c r="J382" s="37"/>
      <c r="K382" s="37">
        <f>IF(I382="Professional Billing Rate",J382,'Lists &amp; Settings'!$E$2)</f>
        <v>35.47</v>
      </c>
      <c r="L382" s="28"/>
    </row>
    <row r="383">
      <c r="A383" s="40" t="str">
        <f t="shared" si="1"/>
        <v/>
      </c>
      <c r="B383" s="40"/>
      <c r="C383" s="40"/>
      <c r="D383" s="41" t="str">
        <f t="shared" si="2"/>
        <v/>
      </c>
      <c r="E383" s="40"/>
      <c r="F383" s="42"/>
      <c r="G383" s="40"/>
      <c r="H383" s="40"/>
      <c r="I383" s="40"/>
      <c r="J383" s="43"/>
      <c r="K383" s="43">
        <f>IF(I383="Professional Billing Rate",J383,'Lists &amp; Settings'!$E$2)</f>
        <v>35.47</v>
      </c>
      <c r="L383" s="40"/>
    </row>
    <row r="384">
      <c r="A384" s="28" t="str">
        <f t="shared" si="1"/>
        <v/>
      </c>
      <c r="B384" s="28"/>
      <c r="C384" s="28"/>
      <c r="D384" s="26" t="str">
        <f t="shared" si="2"/>
        <v/>
      </c>
      <c r="E384" s="28"/>
      <c r="F384" s="35"/>
      <c r="G384" s="28"/>
      <c r="H384" s="28"/>
      <c r="I384" s="28"/>
      <c r="J384" s="37"/>
      <c r="K384" s="37">
        <f>IF(I384="Professional Billing Rate",J384,'Lists &amp; Settings'!$E$2)</f>
        <v>35.47</v>
      </c>
      <c r="L384" s="28"/>
    </row>
    <row r="385">
      <c r="A385" s="40" t="str">
        <f t="shared" si="1"/>
        <v/>
      </c>
      <c r="B385" s="40"/>
      <c r="C385" s="40"/>
      <c r="D385" s="41" t="str">
        <f t="shared" si="2"/>
        <v/>
      </c>
      <c r="E385" s="40"/>
      <c r="F385" s="42"/>
      <c r="G385" s="40"/>
      <c r="H385" s="40"/>
      <c r="I385" s="40"/>
      <c r="J385" s="43"/>
      <c r="K385" s="43">
        <f>IF(I385="Professional Billing Rate",J385,'Lists &amp; Settings'!$E$2)</f>
        <v>35.47</v>
      </c>
      <c r="L385" s="40"/>
    </row>
    <row r="386">
      <c r="A386" s="28" t="str">
        <f t="shared" si="1"/>
        <v/>
      </c>
      <c r="B386" s="28"/>
      <c r="C386" s="28"/>
      <c r="D386" s="26" t="str">
        <f t="shared" si="2"/>
        <v/>
      </c>
      <c r="E386" s="28"/>
      <c r="F386" s="35"/>
      <c r="G386" s="28"/>
      <c r="H386" s="28"/>
      <c r="I386" s="28"/>
      <c r="J386" s="37"/>
      <c r="K386" s="37">
        <f>IF(I386="Professional Billing Rate",J386,'Lists &amp; Settings'!$E$2)</f>
        <v>35.47</v>
      </c>
      <c r="L386" s="28"/>
    </row>
    <row r="387">
      <c r="A387" s="40" t="str">
        <f t="shared" si="1"/>
        <v/>
      </c>
      <c r="B387" s="40"/>
      <c r="C387" s="40"/>
      <c r="D387" s="41" t="str">
        <f t="shared" si="2"/>
        <v/>
      </c>
      <c r="E387" s="40"/>
      <c r="F387" s="42"/>
      <c r="G387" s="40"/>
      <c r="H387" s="40"/>
      <c r="I387" s="40"/>
      <c r="J387" s="43"/>
      <c r="K387" s="43">
        <f>IF(I387="Professional Billing Rate",J387,'Lists &amp; Settings'!$E$2)</f>
        <v>35.47</v>
      </c>
      <c r="L387" s="40"/>
    </row>
    <row r="388">
      <c r="A388" s="28" t="str">
        <f t="shared" si="1"/>
        <v/>
      </c>
      <c r="B388" s="28"/>
      <c r="C388" s="28"/>
      <c r="D388" s="26" t="str">
        <f t="shared" si="2"/>
        <v/>
      </c>
      <c r="E388" s="28"/>
      <c r="F388" s="35"/>
      <c r="G388" s="28"/>
      <c r="H388" s="28"/>
      <c r="I388" s="28"/>
      <c r="J388" s="37"/>
      <c r="K388" s="37">
        <f>IF(I388="Professional Billing Rate",J388,'Lists &amp; Settings'!$E$2)</f>
        <v>35.47</v>
      </c>
      <c r="L388" s="28"/>
    </row>
    <row r="389">
      <c r="A389" s="40" t="str">
        <f t="shared" si="1"/>
        <v/>
      </c>
      <c r="B389" s="40"/>
      <c r="C389" s="40"/>
      <c r="D389" s="41" t="str">
        <f t="shared" si="2"/>
        <v/>
      </c>
      <c r="E389" s="40"/>
      <c r="F389" s="42"/>
      <c r="G389" s="40"/>
      <c r="H389" s="40"/>
      <c r="I389" s="40"/>
      <c r="J389" s="43"/>
      <c r="K389" s="43">
        <f>IF(I389="Professional Billing Rate",J389,'Lists &amp; Settings'!$E$2)</f>
        <v>35.47</v>
      </c>
      <c r="L389" s="40"/>
    </row>
    <row r="390">
      <c r="A390" s="28" t="str">
        <f t="shared" si="1"/>
        <v/>
      </c>
      <c r="B390" s="28"/>
      <c r="C390" s="28"/>
      <c r="D390" s="26" t="str">
        <f t="shared" si="2"/>
        <v/>
      </c>
      <c r="E390" s="28"/>
      <c r="F390" s="35"/>
      <c r="G390" s="28"/>
      <c r="H390" s="28"/>
      <c r="I390" s="28"/>
      <c r="J390" s="37"/>
      <c r="K390" s="37">
        <f>IF(I390="Professional Billing Rate",J390,'Lists &amp; Settings'!$E$2)</f>
        <v>35.47</v>
      </c>
      <c r="L390" s="28"/>
    </row>
    <row r="391">
      <c r="A391" s="40" t="str">
        <f t="shared" si="1"/>
        <v/>
      </c>
      <c r="B391" s="40"/>
      <c r="C391" s="40"/>
      <c r="D391" s="41" t="str">
        <f t="shared" si="2"/>
        <v/>
      </c>
      <c r="E391" s="40"/>
      <c r="F391" s="42"/>
      <c r="G391" s="40"/>
      <c r="H391" s="40"/>
      <c r="I391" s="40"/>
      <c r="J391" s="43"/>
      <c r="K391" s="43">
        <f>IF(I391="Professional Billing Rate",J391,'Lists &amp; Settings'!$E$2)</f>
        <v>35.47</v>
      </c>
      <c r="L391" s="40"/>
    </row>
    <row r="392">
      <c r="A392" s="28" t="str">
        <f t="shared" si="1"/>
        <v/>
      </c>
      <c r="B392" s="28"/>
      <c r="C392" s="28"/>
      <c r="D392" s="26" t="str">
        <f t="shared" si="2"/>
        <v/>
      </c>
      <c r="E392" s="28"/>
      <c r="F392" s="35"/>
      <c r="G392" s="28"/>
      <c r="H392" s="28"/>
      <c r="I392" s="28"/>
      <c r="J392" s="37"/>
      <c r="K392" s="37">
        <f>IF(I392="Professional Billing Rate",J392,'Lists &amp; Settings'!$E$2)</f>
        <v>35.47</v>
      </c>
      <c r="L392" s="28"/>
    </row>
    <row r="393">
      <c r="A393" s="40" t="str">
        <f t="shared" si="1"/>
        <v/>
      </c>
      <c r="B393" s="40"/>
      <c r="C393" s="40"/>
      <c r="D393" s="41" t="str">
        <f t="shared" si="2"/>
        <v/>
      </c>
      <c r="E393" s="40"/>
      <c r="F393" s="42"/>
      <c r="G393" s="40"/>
      <c r="H393" s="40"/>
      <c r="I393" s="40"/>
      <c r="J393" s="43"/>
      <c r="K393" s="43">
        <f>IF(I393="Professional Billing Rate",J393,'Lists &amp; Settings'!$E$2)</f>
        <v>35.47</v>
      </c>
      <c r="L393" s="40"/>
    </row>
    <row r="394">
      <c r="A394" s="28" t="str">
        <f t="shared" si="1"/>
        <v/>
      </c>
      <c r="B394" s="28"/>
      <c r="C394" s="28"/>
      <c r="D394" s="26" t="str">
        <f t="shared" si="2"/>
        <v/>
      </c>
      <c r="E394" s="28"/>
      <c r="F394" s="35"/>
      <c r="G394" s="28"/>
      <c r="H394" s="28"/>
      <c r="I394" s="28"/>
      <c r="J394" s="37"/>
      <c r="K394" s="37">
        <f>IF(I394="Professional Billing Rate",J394,'Lists &amp; Settings'!$E$2)</f>
        <v>35.47</v>
      </c>
      <c r="L394" s="28"/>
    </row>
    <row r="395">
      <c r="A395" s="40" t="str">
        <f t="shared" si="1"/>
        <v/>
      </c>
      <c r="B395" s="40"/>
      <c r="C395" s="40"/>
      <c r="D395" s="41" t="str">
        <f t="shared" si="2"/>
        <v/>
      </c>
      <c r="E395" s="40"/>
      <c r="F395" s="42"/>
      <c r="G395" s="40"/>
      <c r="H395" s="40"/>
      <c r="I395" s="40"/>
      <c r="J395" s="43"/>
      <c r="K395" s="43">
        <f>IF(I395="Professional Billing Rate",J395,'Lists &amp; Settings'!$E$2)</f>
        <v>35.47</v>
      </c>
      <c r="L395" s="40"/>
    </row>
    <row r="396">
      <c r="A396" s="28" t="str">
        <f t="shared" si="1"/>
        <v/>
      </c>
      <c r="B396" s="28"/>
      <c r="C396" s="28"/>
      <c r="D396" s="26" t="str">
        <f t="shared" si="2"/>
        <v/>
      </c>
      <c r="E396" s="28"/>
      <c r="F396" s="35"/>
      <c r="G396" s="28"/>
      <c r="H396" s="28"/>
      <c r="I396" s="28"/>
      <c r="J396" s="37"/>
      <c r="K396" s="37">
        <f>IF(I396="Professional Billing Rate",J396,'Lists &amp; Settings'!$E$2)</f>
        <v>35.47</v>
      </c>
      <c r="L396" s="28"/>
    </row>
    <row r="397">
      <c r="A397" s="40" t="str">
        <f t="shared" si="1"/>
        <v/>
      </c>
      <c r="B397" s="40"/>
      <c r="C397" s="40"/>
      <c r="D397" s="41" t="str">
        <f t="shared" si="2"/>
        <v/>
      </c>
      <c r="E397" s="40"/>
      <c r="F397" s="42"/>
      <c r="G397" s="40"/>
      <c r="H397" s="40"/>
      <c r="I397" s="40"/>
      <c r="J397" s="43"/>
      <c r="K397" s="43">
        <f>IF(I397="Professional Billing Rate",J397,'Lists &amp; Settings'!$E$2)</f>
        <v>35.47</v>
      </c>
      <c r="L397" s="40"/>
    </row>
    <row r="398">
      <c r="A398" s="28" t="str">
        <f t="shared" si="1"/>
        <v/>
      </c>
      <c r="B398" s="28"/>
      <c r="C398" s="28"/>
      <c r="D398" s="26" t="str">
        <f t="shared" si="2"/>
        <v/>
      </c>
      <c r="E398" s="28"/>
      <c r="F398" s="35"/>
      <c r="G398" s="28"/>
      <c r="H398" s="28"/>
      <c r="I398" s="28"/>
      <c r="J398" s="37"/>
      <c r="K398" s="37">
        <f>IF(I398="Professional Billing Rate",J398,'Lists &amp; Settings'!$E$2)</f>
        <v>35.47</v>
      </c>
      <c r="L398" s="28"/>
    </row>
    <row r="399">
      <c r="A399" s="40" t="str">
        <f t="shared" si="1"/>
        <v/>
      </c>
      <c r="B399" s="40"/>
      <c r="C399" s="40"/>
      <c r="D399" s="41" t="str">
        <f t="shared" si="2"/>
        <v/>
      </c>
      <c r="E399" s="40"/>
      <c r="F399" s="42"/>
      <c r="G399" s="40"/>
      <c r="H399" s="40"/>
      <c r="I399" s="40"/>
      <c r="J399" s="43"/>
      <c r="K399" s="43">
        <f>IF(I399="Professional Billing Rate",J399,'Lists &amp; Settings'!$E$2)</f>
        <v>35.47</v>
      </c>
      <c r="L399" s="40"/>
    </row>
    <row r="400">
      <c r="A400" s="28" t="str">
        <f t="shared" si="1"/>
        <v/>
      </c>
      <c r="B400" s="28"/>
      <c r="C400" s="28"/>
      <c r="D400" s="26" t="str">
        <f t="shared" si="2"/>
        <v/>
      </c>
      <c r="E400" s="28"/>
      <c r="F400" s="35"/>
      <c r="G400" s="28"/>
      <c r="H400" s="28"/>
      <c r="I400" s="28"/>
      <c r="J400" s="37"/>
      <c r="K400" s="37">
        <f>IF(I400="Professional Billing Rate",J400,'Lists &amp; Settings'!$E$2)</f>
        <v>35.47</v>
      </c>
      <c r="L400" s="28"/>
    </row>
    <row r="401">
      <c r="A401" s="40" t="str">
        <f t="shared" si="1"/>
        <v/>
      </c>
      <c r="B401" s="40"/>
      <c r="C401" s="40"/>
      <c r="D401" s="41" t="str">
        <f t="shared" si="2"/>
        <v/>
      </c>
      <c r="E401" s="40"/>
      <c r="F401" s="42"/>
      <c r="G401" s="40"/>
      <c r="H401" s="40"/>
      <c r="I401" s="40"/>
      <c r="J401" s="43"/>
      <c r="K401" s="43">
        <f>IF(I401="Professional Billing Rate",J401,'Lists &amp; Settings'!$E$2)</f>
        <v>35.47</v>
      </c>
      <c r="L401" s="40"/>
    </row>
    <row r="402">
      <c r="A402" s="28" t="str">
        <f t="shared" si="1"/>
        <v/>
      </c>
      <c r="B402" s="28"/>
      <c r="C402" s="28"/>
      <c r="D402" s="26" t="str">
        <f t="shared" si="2"/>
        <v/>
      </c>
      <c r="E402" s="28"/>
      <c r="F402" s="35"/>
      <c r="G402" s="28"/>
      <c r="H402" s="28"/>
      <c r="I402" s="28"/>
      <c r="J402" s="37"/>
      <c r="K402" s="37">
        <f>IF(I402="Professional Billing Rate",J402,'Lists &amp; Settings'!$E$2)</f>
        <v>35.47</v>
      </c>
      <c r="L402" s="28"/>
    </row>
    <row r="403">
      <c r="A403" s="40" t="str">
        <f t="shared" si="1"/>
        <v/>
      </c>
      <c r="B403" s="40"/>
      <c r="C403" s="40"/>
      <c r="D403" s="41" t="str">
        <f t="shared" si="2"/>
        <v/>
      </c>
      <c r="E403" s="40"/>
      <c r="F403" s="42"/>
      <c r="G403" s="40"/>
      <c r="H403" s="40"/>
      <c r="I403" s="40"/>
      <c r="J403" s="43"/>
      <c r="K403" s="43">
        <f>IF(I403="Professional Billing Rate",J403,'Lists &amp; Settings'!$E$2)</f>
        <v>35.47</v>
      </c>
      <c r="L403" s="40"/>
    </row>
    <row r="404">
      <c r="A404" s="28" t="str">
        <f t="shared" si="1"/>
        <v/>
      </c>
      <c r="B404" s="28"/>
      <c r="C404" s="28"/>
      <c r="D404" s="26" t="str">
        <f t="shared" si="2"/>
        <v/>
      </c>
      <c r="E404" s="28"/>
      <c r="F404" s="35"/>
      <c r="G404" s="28"/>
      <c r="H404" s="28"/>
      <c r="I404" s="28"/>
      <c r="J404" s="37"/>
      <c r="K404" s="37">
        <f>IF(I404="Professional Billing Rate",J404,'Lists &amp; Settings'!$E$2)</f>
        <v>35.47</v>
      </c>
      <c r="L404" s="28"/>
    </row>
    <row r="405">
      <c r="A405" s="40" t="str">
        <f t="shared" si="1"/>
        <v/>
      </c>
      <c r="B405" s="40"/>
      <c r="C405" s="40"/>
      <c r="D405" s="41" t="str">
        <f t="shared" si="2"/>
        <v/>
      </c>
      <c r="E405" s="40"/>
      <c r="F405" s="42"/>
      <c r="G405" s="40"/>
      <c r="H405" s="40"/>
      <c r="I405" s="40"/>
      <c r="J405" s="43"/>
      <c r="K405" s="43">
        <f>IF(I405="Professional Billing Rate",J405,'Lists &amp; Settings'!$E$2)</f>
        <v>35.47</v>
      </c>
      <c r="L405" s="40"/>
    </row>
    <row r="406">
      <c r="A406" s="28" t="str">
        <f t="shared" si="1"/>
        <v/>
      </c>
      <c r="B406" s="28"/>
      <c r="C406" s="28"/>
      <c r="D406" s="26" t="str">
        <f t="shared" si="2"/>
        <v/>
      </c>
      <c r="E406" s="28"/>
      <c r="F406" s="35"/>
      <c r="G406" s="28"/>
      <c r="H406" s="28"/>
      <c r="I406" s="28"/>
      <c r="J406" s="37"/>
      <c r="K406" s="37">
        <f>IF(I406="Professional Billing Rate",J406,'Lists &amp; Settings'!$E$2)</f>
        <v>35.47</v>
      </c>
      <c r="L406" s="28"/>
    </row>
    <row r="407">
      <c r="A407" s="40" t="str">
        <f t="shared" si="1"/>
        <v/>
      </c>
      <c r="B407" s="40"/>
      <c r="C407" s="40"/>
      <c r="D407" s="41" t="str">
        <f t="shared" si="2"/>
        <v/>
      </c>
      <c r="E407" s="40"/>
      <c r="F407" s="42"/>
      <c r="G407" s="40"/>
      <c r="H407" s="40"/>
      <c r="I407" s="40"/>
      <c r="J407" s="43"/>
      <c r="K407" s="43">
        <f>IF(I407="Professional Billing Rate",J407,'Lists &amp; Settings'!$E$2)</f>
        <v>35.47</v>
      </c>
      <c r="L407" s="40"/>
    </row>
    <row r="408">
      <c r="A408" s="28" t="str">
        <f t="shared" si="1"/>
        <v/>
      </c>
      <c r="B408" s="28"/>
      <c r="C408" s="28"/>
      <c r="D408" s="26" t="str">
        <f t="shared" si="2"/>
        <v/>
      </c>
      <c r="E408" s="28"/>
      <c r="F408" s="35"/>
      <c r="G408" s="28"/>
      <c r="H408" s="28"/>
      <c r="I408" s="28"/>
      <c r="J408" s="37"/>
      <c r="K408" s="37">
        <f>IF(I408="Professional Billing Rate",J408,'Lists &amp; Settings'!$E$2)</f>
        <v>35.47</v>
      </c>
      <c r="L408" s="28"/>
    </row>
    <row r="409">
      <c r="A409" s="40" t="str">
        <f t="shared" si="1"/>
        <v/>
      </c>
      <c r="B409" s="40"/>
      <c r="C409" s="40"/>
      <c r="D409" s="41" t="str">
        <f t="shared" si="2"/>
        <v/>
      </c>
      <c r="E409" s="40"/>
      <c r="F409" s="42"/>
      <c r="G409" s="40"/>
      <c r="H409" s="40"/>
      <c r="I409" s="40"/>
      <c r="J409" s="43"/>
      <c r="K409" s="43">
        <f>IF(I409="Professional Billing Rate",J409,'Lists &amp; Settings'!$E$2)</f>
        <v>35.47</v>
      </c>
      <c r="L409" s="40"/>
    </row>
    <row r="410">
      <c r="A410" s="28" t="str">
        <f t="shared" si="1"/>
        <v/>
      </c>
      <c r="B410" s="28"/>
      <c r="C410" s="28"/>
      <c r="D410" s="26" t="str">
        <f t="shared" si="2"/>
        <v/>
      </c>
      <c r="E410" s="28"/>
      <c r="F410" s="35"/>
      <c r="G410" s="28"/>
      <c r="H410" s="28"/>
      <c r="I410" s="28"/>
      <c r="J410" s="37"/>
      <c r="K410" s="37">
        <f>IF(I410="Professional Billing Rate",J410,'Lists &amp; Settings'!$E$2)</f>
        <v>35.47</v>
      </c>
      <c r="L410" s="28"/>
    </row>
    <row r="411">
      <c r="A411" s="40" t="str">
        <f t="shared" si="1"/>
        <v/>
      </c>
      <c r="B411" s="40"/>
      <c r="C411" s="40"/>
      <c r="D411" s="41" t="str">
        <f t="shared" si="2"/>
        <v/>
      </c>
      <c r="E411" s="40"/>
      <c r="F411" s="42"/>
      <c r="G411" s="40"/>
      <c r="H411" s="40"/>
      <c r="I411" s="40"/>
      <c r="J411" s="43"/>
      <c r="K411" s="43">
        <f>IF(I411="Professional Billing Rate",J411,'Lists &amp; Settings'!$E$2)</f>
        <v>35.47</v>
      </c>
      <c r="L411" s="40"/>
    </row>
    <row r="412">
      <c r="A412" s="28" t="str">
        <f t="shared" si="1"/>
        <v/>
      </c>
      <c r="B412" s="28"/>
      <c r="C412" s="28"/>
      <c r="D412" s="26" t="str">
        <f t="shared" si="2"/>
        <v/>
      </c>
      <c r="E412" s="28"/>
      <c r="F412" s="35"/>
      <c r="G412" s="28"/>
      <c r="H412" s="28"/>
      <c r="I412" s="28"/>
      <c r="J412" s="37"/>
      <c r="K412" s="37">
        <f>IF(I412="Professional Billing Rate",J412,'Lists &amp; Settings'!$E$2)</f>
        <v>35.47</v>
      </c>
      <c r="L412" s="28"/>
    </row>
    <row r="413">
      <c r="A413" s="40" t="str">
        <f t="shared" si="1"/>
        <v/>
      </c>
      <c r="B413" s="40"/>
      <c r="C413" s="40"/>
      <c r="D413" s="41" t="str">
        <f t="shared" si="2"/>
        <v/>
      </c>
      <c r="E413" s="40"/>
      <c r="F413" s="42"/>
      <c r="G413" s="40"/>
      <c r="H413" s="40"/>
      <c r="I413" s="40"/>
      <c r="J413" s="43"/>
      <c r="K413" s="43">
        <f>IF(I413="Professional Billing Rate",J413,'Lists &amp; Settings'!$E$2)</f>
        <v>35.47</v>
      </c>
      <c r="L413" s="40"/>
    </row>
    <row r="414">
      <c r="A414" s="28" t="str">
        <f t="shared" si="1"/>
        <v/>
      </c>
      <c r="B414" s="28"/>
      <c r="C414" s="28"/>
      <c r="D414" s="26" t="str">
        <f t="shared" si="2"/>
        <v/>
      </c>
      <c r="E414" s="28"/>
      <c r="F414" s="35"/>
      <c r="G414" s="28"/>
      <c r="H414" s="28"/>
      <c r="I414" s="28"/>
      <c r="J414" s="37"/>
      <c r="K414" s="37">
        <f>IF(I414="Professional Billing Rate",J414,'Lists &amp; Settings'!$E$2)</f>
        <v>35.47</v>
      </c>
      <c r="L414" s="28"/>
    </row>
    <row r="415">
      <c r="A415" s="40" t="str">
        <f t="shared" si="1"/>
        <v/>
      </c>
      <c r="B415" s="40"/>
      <c r="C415" s="40"/>
      <c r="D415" s="41" t="str">
        <f t="shared" si="2"/>
        <v/>
      </c>
      <c r="E415" s="40"/>
      <c r="F415" s="42"/>
      <c r="G415" s="40"/>
      <c r="H415" s="40"/>
      <c r="I415" s="40"/>
      <c r="J415" s="43"/>
      <c r="K415" s="43">
        <f>IF(I415="Professional Billing Rate",J415,'Lists &amp; Settings'!$E$2)</f>
        <v>35.47</v>
      </c>
      <c r="L415" s="40"/>
    </row>
    <row r="416">
      <c r="A416" s="28" t="str">
        <f t="shared" si="1"/>
        <v/>
      </c>
      <c r="B416" s="28"/>
      <c r="C416" s="28"/>
      <c r="D416" s="26" t="str">
        <f t="shared" si="2"/>
        <v/>
      </c>
      <c r="E416" s="28"/>
      <c r="F416" s="35"/>
      <c r="G416" s="28"/>
      <c r="H416" s="28"/>
      <c r="I416" s="28"/>
      <c r="J416" s="37"/>
      <c r="K416" s="37">
        <f>IF(I416="Professional Billing Rate",J416,'Lists &amp; Settings'!$E$2)</f>
        <v>35.47</v>
      </c>
      <c r="L416" s="28"/>
    </row>
    <row r="417">
      <c r="A417" s="40" t="str">
        <f t="shared" si="1"/>
        <v/>
      </c>
      <c r="B417" s="40"/>
      <c r="C417" s="40"/>
      <c r="D417" s="41" t="str">
        <f t="shared" si="2"/>
        <v/>
      </c>
      <c r="E417" s="40"/>
      <c r="F417" s="42"/>
      <c r="G417" s="40"/>
      <c r="H417" s="40"/>
      <c r="I417" s="40"/>
      <c r="J417" s="43"/>
      <c r="K417" s="43">
        <f>IF(I417="Professional Billing Rate",J417,'Lists &amp; Settings'!$E$2)</f>
        <v>35.47</v>
      </c>
      <c r="L417" s="40"/>
    </row>
    <row r="418">
      <c r="A418" s="28" t="str">
        <f t="shared" si="1"/>
        <v/>
      </c>
      <c r="B418" s="28"/>
      <c r="C418" s="28"/>
      <c r="D418" s="26" t="str">
        <f t="shared" si="2"/>
        <v/>
      </c>
      <c r="E418" s="28"/>
      <c r="F418" s="35"/>
      <c r="G418" s="28"/>
      <c r="H418" s="28"/>
      <c r="I418" s="28"/>
      <c r="J418" s="37"/>
      <c r="K418" s="37">
        <f>IF(I418="Professional Billing Rate",J418,'Lists &amp; Settings'!$E$2)</f>
        <v>35.47</v>
      </c>
      <c r="L418" s="28"/>
    </row>
    <row r="419">
      <c r="A419" s="40" t="str">
        <f t="shared" si="1"/>
        <v/>
      </c>
      <c r="B419" s="40"/>
      <c r="C419" s="40"/>
      <c r="D419" s="41" t="str">
        <f t="shared" si="2"/>
        <v/>
      </c>
      <c r="E419" s="40"/>
      <c r="F419" s="42"/>
      <c r="G419" s="40"/>
      <c r="H419" s="40"/>
      <c r="I419" s="40"/>
      <c r="J419" s="43"/>
      <c r="K419" s="43">
        <f>IF(I419="Professional Billing Rate",J419,'Lists &amp; Settings'!$E$2)</f>
        <v>35.47</v>
      </c>
      <c r="L419" s="40"/>
    </row>
    <row r="420">
      <c r="A420" s="28" t="str">
        <f t="shared" si="1"/>
        <v/>
      </c>
      <c r="B420" s="28"/>
      <c r="C420" s="28"/>
      <c r="D420" s="26" t="str">
        <f t="shared" si="2"/>
        <v/>
      </c>
      <c r="E420" s="28"/>
      <c r="F420" s="35"/>
      <c r="G420" s="28"/>
      <c r="H420" s="28"/>
      <c r="I420" s="28"/>
      <c r="J420" s="37"/>
      <c r="K420" s="37">
        <f>IF(I420="Professional Billing Rate",J420,'Lists &amp; Settings'!$E$2)</f>
        <v>35.47</v>
      </c>
      <c r="L420" s="28"/>
    </row>
    <row r="421">
      <c r="A421" s="40" t="str">
        <f t="shared" si="1"/>
        <v/>
      </c>
      <c r="B421" s="40"/>
      <c r="C421" s="40"/>
      <c r="D421" s="41" t="str">
        <f t="shared" si="2"/>
        <v/>
      </c>
      <c r="E421" s="40"/>
      <c r="F421" s="42"/>
      <c r="G421" s="40"/>
      <c r="H421" s="40"/>
      <c r="I421" s="40"/>
      <c r="J421" s="43"/>
      <c r="K421" s="43">
        <f>IF(I421="Professional Billing Rate",J421,'Lists &amp; Settings'!$E$2)</f>
        <v>35.47</v>
      </c>
      <c r="L421" s="40"/>
    </row>
    <row r="422">
      <c r="A422" s="28" t="str">
        <f t="shared" si="1"/>
        <v/>
      </c>
      <c r="B422" s="28"/>
      <c r="C422" s="28"/>
      <c r="D422" s="26" t="str">
        <f t="shared" si="2"/>
        <v/>
      </c>
      <c r="E422" s="28"/>
      <c r="F422" s="35"/>
      <c r="G422" s="28"/>
      <c r="H422" s="28"/>
      <c r="I422" s="28"/>
      <c r="J422" s="37"/>
      <c r="K422" s="37">
        <f>IF(I422="Professional Billing Rate",J422,'Lists &amp; Settings'!$E$2)</f>
        <v>35.47</v>
      </c>
      <c r="L422" s="28"/>
    </row>
    <row r="423">
      <c r="A423" s="40" t="str">
        <f t="shared" si="1"/>
        <v/>
      </c>
      <c r="B423" s="40"/>
      <c r="C423" s="40"/>
      <c r="D423" s="41" t="str">
        <f t="shared" si="2"/>
        <v/>
      </c>
      <c r="E423" s="40"/>
      <c r="F423" s="42"/>
      <c r="G423" s="40"/>
      <c r="H423" s="40"/>
      <c r="I423" s="40"/>
      <c r="J423" s="43"/>
      <c r="K423" s="43">
        <f>IF(I423="Professional Billing Rate",J423,'Lists &amp; Settings'!$E$2)</f>
        <v>35.47</v>
      </c>
      <c r="L423" s="40"/>
    </row>
    <row r="424">
      <c r="A424" s="28" t="str">
        <f t="shared" si="1"/>
        <v/>
      </c>
      <c r="B424" s="28"/>
      <c r="C424" s="28"/>
      <c r="D424" s="26" t="str">
        <f t="shared" si="2"/>
        <v/>
      </c>
      <c r="E424" s="28"/>
      <c r="F424" s="35"/>
      <c r="G424" s="28"/>
      <c r="H424" s="28"/>
      <c r="I424" s="28"/>
      <c r="J424" s="37"/>
      <c r="K424" s="37">
        <f>IF(I424="Professional Billing Rate",J424,'Lists &amp; Settings'!$E$2)</f>
        <v>35.47</v>
      </c>
      <c r="L424" s="28"/>
    </row>
    <row r="425">
      <c r="A425" s="40" t="str">
        <f t="shared" si="1"/>
        <v/>
      </c>
      <c r="B425" s="40"/>
      <c r="C425" s="40"/>
      <c r="D425" s="41" t="str">
        <f t="shared" si="2"/>
        <v/>
      </c>
      <c r="E425" s="40"/>
      <c r="F425" s="42"/>
      <c r="G425" s="40"/>
      <c r="H425" s="40"/>
      <c r="I425" s="40"/>
      <c r="J425" s="43"/>
      <c r="K425" s="43">
        <f>IF(I425="Professional Billing Rate",J425,'Lists &amp; Settings'!$E$2)</f>
        <v>35.47</v>
      </c>
      <c r="L425" s="40"/>
    </row>
    <row r="426">
      <c r="A426" s="28" t="str">
        <f t="shared" si="1"/>
        <v/>
      </c>
      <c r="B426" s="28"/>
      <c r="C426" s="28"/>
      <c r="D426" s="26" t="str">
        <f t="shared" si="2"/>
        <v/>
      </c>
      <c r="E426" s="28"/>
      <c r="F426" s="35"/>
      <c r="G426" s="28"/>
      <c r="H426" s="28"/>
      <c r="I426" s="28"/>
      <c r="J426" s="37"/>
      <c r="K426" s="37">
        <f>IF(I426="Professional Billing Rate",J426,'Lists &amp; Settings'!$E$2)</f>
        <v>35.47</v>
      </c>
      <c r="L426" s="28"/>
    </row>
    <row r="427">
      <c r="A427" s="40" t="str">
        <f t="shared" si="1"/>
        <v/>
      </c>
      <c r="B427" s="40"/>
      <c r="C427" s="40"/>
      <c r="D427" s="41" t="str">
        <f t="shared" si="2"/>
        <v/>
      </c>
      <c r="E427" s="40"/>
      <c r="F427" s="42"/>
      <c r="G427" s="40"/>
      <c r="H427" s="40"/>
      <c r="I427" s="40"/>
      <c r="J427" s="43"/>
      <c r="K427" s="43">
        <f>IF(I427="Professional Billing Rate",J427,'Lists &amp; Settings'!$E$2)</f>
        <v>35.47</v>
      </c>
      <c r="L427" s="40"/>
    </row>
    <row r="428">
      <c r="A428" s="28" t="str">
        <f t="shared" si="1"/>
        <v/>
      </c>
      <c r="B428" s="28"/>
      <c r="C428" s="28"/>
      <c r="D428" s="26" t="str">
        <f t="shared" si="2"/>
        <v/>
      </c>
      <c r="E428" s="28"/>
      <c r="F428" s="35"/>
      <c r="G428" s="28"/>
      <c r="H428" s="28"/>
      <c r="I428" s="28"/>
      <c r="J428" s="37"/>
      <c r="K428" s="37">
        <f>IF(I428="Professional Billing Rate",J428,'Lists &amp; Settings'!$E$2)</f>
        <v>35.47</v>
      </c>
      <c r="L428" s="28"/>
    </row>
    <row r="429">
      <c r="A429" s="40" t="str">
        <f t="shared" si="1"/>
        <v/>
      </c>
      <c r="B429" s="40"/>
      <c r="C429" s="40"/>
      <c r="D429" s="41" t="str">
        <f t="shared" si="2"/>
        <v/>
      </c>
      <c r="E429" s="40"/>
      <c r="F429" s="42"/>
      <c r="G429" s="40"/>
      <c r="H429" s="40"/>
      <c r="I429" s="40"/>
      <c r="J429" s="43"/>
      <c r="K429" s="43">
        <f>IF(I429="Professional Billing Rate",J429,'Lists &amp; Settings'!$E$2)</f>
        <v>35.47</v>
      </c>
      <c r="L429" s="40"/>
    </row>
    <row r="430">
      <c r="A430" s="28" t="str">
        <f t="shared" si="1"/>
        <v/>
      </c>
      <c r="B430" s="28"/>
      <c r="C430" s="28"/>
      <c r="D430" s="26" t="str">
        <f t="shared" si="2"/>
        <v/>
      </c>
      <c r="E430" s="28"/>
      <c r="F430" s="35"/>
      <c r="G430" s="28"/>
      <c r="H430" s="28"/>
      <c r="I430" s="28"/>
      <c r="J430" s="37"/>
      <c r="K430" s="37">
        <f>IF(I430="Professional Billing Rate",J430,'Lists &amp; Settings'!$E$2)</f>
        <v>35.47</v>
      </c>
      <c r="L430" s="28"/>
    </row>
    <row r="431">
      <c r="A431" s="40" t="str">
        <f t="shared" si="1"/>
        <v/>
      </c>
      <c r="B431" s="40"/>
      <c r="C431" s="40"/>
      <c r="D431" s="41" t="str">
        <f t="shared" si="2"/>
        <v/>
      </c>
      <c r="E431" s="40"/>
      <c r="F431" s="42"/>
      <c r="G431" s="40"/>
      <c r="H431" s="40"/>
      <c r="I431" s="40"/>
      <c r="J431" s="43"/>
      <c r="K431" s="43">
        <f>IF(I431="Professional Billing Rate",J431,'Lists &amp; Settings'!$E$2)</f>
        <v>35.47</v>
      </c>
      <c r="L431" s="40"/>
    </row>
    <row r="432">
      <c r="A432" s="28" t="str">
        <f t="shared" si="1"/>
        <v/>
      </c>
      <c r="B432" s="28"/>
      <c r="C432" s="28"/>
      <c r="D432" s="26" t="str">
        <f t="shared" si="2"/>
        <v/>
      </c>
      <c r="E432" s="28"/>
      <c r="F432" s="35"/>
      <c r="G432" s="28"/>
      <c r="H432" s="28"/>
      <c r="I432" s="28"/>
      <c r="J432" s="37"/>
      <c r="K432" s="37">
        <f>IF(I432="Professional Billing Rate",J432,'Lists &amp; Settings'!$E$2)</f>
        <v>35.47</v>
      </c>
      <c r="L432" s="28"/>
    </row>
    <row r="433">
      <c r="A433" s="40" t="str">
        <f t="shared" si="1"/>
        <v/>
      </c>
      <c r="B433" s="40"/>
      <c r="C433" s="40"/>
      <c r="D433" s="41" t="str">
        <f t="shared" si="2"/>
        <v/>
      </c>
      <c r="E433" s="40"/>
      <c r="F433" s="42"/>
      <c r="G433" s="40"/>
      <c r="H433" s="40"/>
      <c r="I433" s="40"/>
      <c r="J433" s="43"/>
      <c r="K433" s="43">
        <f>IF(I433="Professional Billing Rate",J433,'Lists &amp; Settings'!$E$2)</f>
        <v>35.47</v>
      </c>
      <c r="L433" s="40"/>
    </row>
    <row r="434">
      <c r="A434" s="28" t="str">
        <f t="shared" si="1"/>
        <v/>
      </c>
      <c r="B434" s="28"/>
      <c r="C434" s="28"/>
      <c r="D434" s="26" t="str">
        <f t="shared" si="2"/>
        <v/>
      </c>
      <c r="E434" s="28"/>
      <c r="F434" s="35"/>
      <c r="G434" s="28"/>
      <c r="H434" s="28"/>
      <c r="I434" s="28"/>
      <c r="J434" s="37"/>
      <c r="K434" s="37">
        <f>IF(I434="Professional Billing Rate",J434,'Lists &amp; Settings'!$E$2)</f>
        <v>35.47</v>
      </c>
      <c r="L434" s="28"/>
    </row>
    <row r="435">
      <c r="A435" s="40" t="str">
        <f t="shared" si="1"/>
        <v/>
      </c>
      <c r="B435" s="40"/>
      <c r="C435" s="40"/>
      <c r="D435" s="41" t="str">
        <f t="shared" si="2"/>
        <v/>
      </c>
      <c r="E435" s="40"/>
      <c r="F435" s="42"/>
      <c r="G435" s="40"/>
      <c r="H435" s="40"/>
      <c r="I435" s="40"/>
      <c r="J435" s="43"/>
      <c r="K435" s="43">
        <f>IF(I435="Professional Billing Rate",J435,'Lists &amp; Settings'!$E$2)</f>
        <v>35.47</v>
      </c>
      <c r="L435" s="40"/>
    </row>
    <row r="436">
      <c r="A436" s="28" t="str">
        <f t="shared" si="1"/>
        <v/>
      </c>
      <c r="B436" s="28"/>
      <c r="C436" s="28"/>
      <c r="D436" s="26" t="str">
        <f t="shared" si="2"/>
        <v/>
      </c>
      <c r="E436" s="28"/>
      <c r="F436" s="35"/>
      <c r="G436" s="28"/>
      <c r="H436" s="28"/>
      <c r="I436" s="28"/>
      <c r="J436" s="37"/>
      <c r="K436" s="37">
        <f>IF(I436="Professional Billing Rate",J436,'Lists &amp; Settings'!$E$2)</f>
        <v>35.47</v>
      </c>
      <c r="L436" s="28"/>
    </row>
    <row r="437">
      <c r="A437" s="40" t="str">
        <f t="shared" si="1"/>
        <v/>
      </c>
      <c r="B437" s="40"/>
      <c r="C437" s="40"/>
      <c r="D437" s="41" t="str">
        <f t="shared" si="2"/>
        <v/>
      </c>
      <c r="E437" s="40"/>
      <c r="F437" s="42"/>
      <c r="G437" s="40"/>
      <c r="H437" s="40"/>
      <c r="I437" s="40"/>
      <c r="J437" s="43"/>
      <c r="K437" s="43">
        <f>IF(I437="Professional Billing Rate",J437,'Lists &amp; Settings'!$E$2)</f>
        <v>35.47</v>
      </c>
      <c r="L437" s="40"/>
    </row>
    <row r="438">
      <c r="A438" s="28" t="str">
        <f t="shared" si="1"/>
        <v/>
      </c>
      <c r="B438" s="28"/>
      <c r="C438" s="28"/>
      <c r="D438" s="26" t="str">
        <f t="shared" si="2"/>
        <v/>
      </c>
      <c r="E438" s="28"/>
      <c r="F438" s="35"/>
      <c r="G438" s="28"/>
      <c r="H438" s="28"/>
      <c r="I438" s="28"/>
      <c r="J438" s="37"/>
      <c r="K438" s="37">
        <f>IF(I438="Professional Billing Rate",J438,'Lists &amp; Settings'!$E$2)</f>
        <v>35.47</v>
      </c>
      <c r="L438" s="28"/>
    </row>
    <row r="439">
      <c r="A439" s="40" t="str">
        <f t="shared" si="1"/>
        <v/>
      </c>
      <c r="B439" s="40"/>
      <c r="C439" s="40"/>
      <c r="D439" s="41" t="str">
        <f t="shared" si="2"/>
        <v/>
      </c>
      <c r="E439" s="40"/>
      <c r="F439" s="42"/>
      <c r="G439" s="40"/>
      <c r="H439" s="40"/>
      <c r="I439" s="40"/>
      <c r="J439" s="43"/>
      <c r="K439" s="43">
        <f>IF(I439="Professional Billing Rate",J439,'Lists &amp; Settings'!$E$2)</f>
        <v>35.47</v>
      </c>
      <c r="L439" s="40"/>
    </row>
    <row r="440">
      <c r="A440" s="28" t="str">
        <f t="shared" si="1"/>
        <v/>
      </c>
      <c r="B440" s="28"/>
      <c r="C440" s="28"/>
      <c r="D440" s="26" t="str">
        <f t="shared" si="2"/>
        <v/>
      </c>
      <c r="E440" s="28"/>
      <c r="F440" s="35"/>
      <c r="G440" s="28"/>
      <c r="H440" s="28"/>
      <c r="I440" s="28"/>
      <c r="J440" s="37"/>
      <c r="K440" s="37">
        <f>IF(I440="Professional Billing Rate",J440,'Lists &amp; Settings'!$E$2)</f>
        <v>35.47</v>
      </c>
      <c r="L440" s="28"/>
    </row>
    <row r="441">
      <c r="A441" s="40" t="str">
        <f t="shared" si="1"/>
        <v/>
      </c>
      <c r="B441" s="40"/>
      <c r="C441" s="40"/>
      <c r="D441" s="41" t="str">
        <f t="shared" si="2"/>
        <v/>
      </c>
      <c r="E441" s="40"/>
      <c r="F441" s="42"/>
      <c r="G441" s="40"/>
      <c r="H441" s="40"/>
      <c r="I441" s="40"/>
      <c r="J441" s="43"/>
      <c r="K441" s="43">
        <f>IF(I441="Professional Billing Rate",J441,'Lists &amp; Settings'!$E$2)</f>
        <v>35.47</v>
      </c>
      <c r="L441" s="40"/>
    </row>
    <row r="442">
      <c r="A442" s="28" t="str">
        <f t="shared" si="1"/>
        <v/>
      </c>
      <c r="B442" s="28"/>
      <c r="C442" s="28"/>
      <c r="D442" s="26" t="str">
        <f t="shared" si="2"/>
        <v/>
      </c>
      <c r="E442" s="28"/>
      <c r="F442" s="35"/>
      <c r="G442" s="28"/>
      <c r="H442" s="28"/>
      <c r="I442" s="28"/>
      <c r="J442" s="37"/>
      <c r="K442" s="37">
        <f>IF(I442="Professional Billing Rate",J442,'Lists &amp; Settings'!$E$2)</f>
        <v>35.47</v>
      </c>
      <c r="L442" s="28"/>
    </row>
    <row r="443">
      <c r="A443" s="40" t="str">
        <f t="shared" si="1"/>
        <v/>
      </c>
      <c r="B443" s="40"/>
      <c r="C443" s="40"/>
      <c r="D443" s="41" t="str">
        <f t="shared" si="2"/>
        <v/>
      </c>
      <c r="E443" s="40"/>
      <c r="F443" s="42"/>
      <c r="G443" s="40"/>
      <c r="H443" s="40"/>
      <c r="I443" s="40"/>
      <c r="J443" s="43"/>
      <c r="K443" s="43">
        <f>IF(I443="Professional Billing Rate",J443,'Lists &amp; Settings'!$E$2)</f>
        <v>35.47</v>
      </c>
      <c r="L443" s="40"/>
    </row>
    <row r="444">
      <c r="A444" s="28" t="str">
        <f t="shared" si="1"/>
        <v/>
      </c>
      <c r="B444" s="28"/>
      <c r="C444" s="28"/>
      <c r="D444" s="26" t="str">
        <f t="shared" si="2"/>
        <v/>
      </c>
      <c r="E444" s="28"/>
      <c r="F444" s="35"/>
      <c r="G444" s="28"/>
      <c r="H444" s="28"/>
      <c r="I444" s="28"/>
      <c r="J444" s="37"/>
      <c r="K444" s="37">
        <f>IF(I444="Professional Billing Rate",J444,'Lists &amp; Settings'!$E$2)</f>
        <v>35.47</v>
      </c>
      <c r="L444" s="28"/>
    </row>
    <row r="445">
      <c r="A445" s="40" t="str">
        <f t="shared" si="1"/>
        <v/>
      </c>
      <c r="B445" s="40"/>
      <c r="C445" s="40"/>
      <c r="D445" s="41" t="str">
        <f t="shared" si="2"/>
        <v/>
      </c>
      <c r="E445" s="40"/>
      <c r="F445" s="42"/>
      <c r="G445" s="40"/>
      <c r="H445" s="40"/>
      <c r="I445" s="40"/>
      <c r="J445" s="43"/>
      <c r="K445" s="43">
        <f>IF(I445="Professional Billing Rate",J445,'Lists &amp; Settings'!$E$2)</f>
        <v>35.47</v>
      </c>
      <c r="L445" s="40"/>
    </row>
    <row r="446">
      <c r="A446" s="28" t="str">
        <f t="shared" si="1"/>
        <v/>
      </c>
      <c r="B446" s="28"/>
      <c r="C446" s="28"/>
      <c r="D446" s="26" t="str">
        <f t="shared" si="2"/>
        <v/>
      </c>
      <c r="E446" s="28"/>
      <c r="F446" s="35"/>
      <c r="G446" s="28"/>
      <c r="H446" s="28"/>
      <c r="I446" s="28"/>
      <c r="J446" s="37"/>
      <c r="K446" s="37">
        <f>IF(I446="Professional Billing Rate",J446,'Lists &amp; Settings'!$E$2)</f>
        <v>35.47</v>
      </c>
      <c r="L446" s="28"/>
    </row>
    <row r="447">
      <c r="A447" s="40" t="str">
        <f t="shared" si="1"/>
        <v/>
      </c>
      <c r="B447" s="40"/>
      <c r="C447" s="40"/>
      <c r="D447" s="41" t="str">
        <f t="shared" si="2"/>
        <v/>
      </c>
      <c r="E447" s="40"/>
      <c r="F447" s="42"/>
      <c r="G447" s="40"/>
      <c r="H447" s="40"/>
      <c r="I447" s="40"/>
      <c r="J447" s="43"/>
      <c r="K447" s="43">
        <f>IF(I447="Professional Billing Rate",J447,'Lists &amp; Settings'!$E$2)</f>
        <v>35.47</v>
      </c>
      <c r="L447" s="40"/>
    </row>
    <row r="448">
      <c r="A448" s="28" t="str">
        <f t="shared" si="1"/>
        <v/>
      </c>
      <c r="B448" s="28"/>
      <c r="C448" s="28"/>
      <c r="D448" s="26" t="str">
        <f t="shared" si="2"/>
        <v/>
      </c>
      <c r="E448" s="28"/>
      <c r="F448" s="35"/>
      <c r="G448" s="28"/>
      <c r="H448" s="28"/>
      <c r="I448" s="28"/>
      <c r="J448" s="37"/>
      <c r="K448" s="37">
        <f>IF(I448="Professional Billing Rate",J448,'Lists &amp; Settings'!$E$2)</f>
        <v>35.47</v>
      </c>
      <c r="L448" s="28"/>
    </row>
    <row r="449">
      <c r="A449" s="40" t="str">
        <f t="shared" si="1"/>
        <v/>
      </c>
      <c r="B449" s="40"/>
      <c r="C449" s="40"/>
      <c r="D449" s="41" t="str">
        <f t="shared" si="2"/>
        <v/>
      </c>
      <c r="E449" s="40"/>
      <c r="F449" s="42"/>
      <c r="G449" s="40"/>
      <c r="H449" s="40"/>
      <c r="I449" s="40"/>
      <c r="J449" s="43"/>
      <c r="K449" s="43">
        <f>IF(I449="Professional Billing Rate",J449,'Lists &amp; Settings'!$E$2)</f>
        <v>35.47</v>
      </c>
      <c r="L449" s="40"/>
    </row>
    <row r="450">
      <c r="A450" s="28" t="str">
        <f t="shared" si="1"/>
        <v/>
      </c>
      <c r="B450" s="28"/>
      <c r="C450" s="28"/>
      <c r="D450" s="26" t="str">
        <f t="shared" si="2"/>
        <v/>
      </c>
      <c r="E450" s="28"/>
      <c r="F450" s="35"/>
      <c r="G450" s="28"/>
      <c r="H450" s="28"/>
      <c r="I450" s="28"/>
      <c r="J450" s="37"/>
      <c r="K450" s="37">
        <f>IF(I450="Professional Billing Rate",J450,'Lists &amp; Settings'!$E$2)</f>
        <v>35.47</v>
      </c>
      <c r="L450" s="28"/>
    </row>
    <row r="451">
      <c r="A451" s="40" t="str">
        <f t="shared" si="1"/>
        <v/>
      </c>
      <c r="B451" s="40"/>
      <c r="C451" s="40"/>
      <c r="D451" s="41" t="str">
        <f t="shared" si="2"/>
        <v/>
      </c>
      <c r="E451" s="40"/>
      <c r="F451" s="42"/>
      <c r="G451" s="40"/>
      <c r="H451" s="40"/>
      <c r="I451" s="40"/>
      <c r="J451" s="43"/>
      <c r="K451" s="43">
        <f>IF(I451="Professional Billing Rate",J451,'Lists &amp; Settings'!$E$2)</f>
        <v>35.47</v>
      </c>
      <c r="L451" s="40"/>
    </row>
    <row r="452">
      <c r="A452" s="28" t="str">
        <f t="shared" si="1"/>
        <v/>
      </c>
      <c r="B452" s="28"/>
      <c r="C452" s="28"/>
      <c r="D452" s="26" t="str">
        <f t="shared" si="2"/>
        <v/>
      </c>
      <c r="E452" s="28"/>
      <c r="F452" s="35"/>
      <c r="G452" s="28"/>
      <c r="H452" s="28"/>
      <c r="I452" s="28"/>
      <c r="J452" s="37"/>
      <c r="K452" s="37">
        <f>IF(I452="Professional Billing Rate",J452,'Lists &amp; Settings'!$E$2)</f>
        <v>35.47</v>
      </c>
      <c r="L452" s="28"/>
    </row>
    <row r="453">
      <c r="A453" s="40" t="str">
        <f t="shared" si="1"/>
        <v/>
      </c>
      <c r="B453" s="40"/>
      <c r="C453" s="40"/>
      <c r="D453" s="41" t="str">
        <f t="shared" si="2"/>
        <v/>
      </c>
      <c r="E453" s="40"/>
      <c r="F453" s="42"/>
      <c r="G453" s="40"/>
      <c r="H453" s="40"/>
      <c r="I453" s="40"/>
      <c r="J453" s="43"/>
      <c r="K453" s="43">
        <f>IF(I453="Professional Billing Rate",J453,'Lists &amp; Settings'!$E$2)</f>
        <v>35.47</v>
      </c>
      <c r="L453" s="40"/>
    </row>
    <row r="454">
      <c r="A454" s="28" t="str">
        <f t="shared" si="1"/>
        <v/>
      </c>
      <c r="B454" s="28"/>
      <c r="C454" s="28"/>
      <c r="D454" s="26" t="str">
        <f t="shared" si="2"/>
        <v/>
      </c>
      <c r="E454" s="28"/>
      <c r="F454" s="35"/>
      <c r="G454" s="28"/>
      <c r="H454" s="28"/>
      <c r="I454" s="28"/>
      <c r="J454" s="37"/>
      <c r="K454" s="37">
        <f>IF(I454="Professional Billing Rate",J454,'Lists &amp; Settings'!$E$2)</f>
        <v>35.47</v>
      </c>
      <c r="L454" s="28"/>
    </row>
    <row r="455">
      <c r="A455" s="40" t="str">
        <f t="shared" si="1"/>
        <v/>
      </c>
      <c r="B455" s="40"/>
      <c r="C455" s="40"/>
      <c r="D455" s="41" t="str">
        <f t="shared" si="2"/>
        <v/>
      </c>
      <c r="E455" s="40"/>
      <c r="F455" s="42"/>
      <c r="G455" s="40"/>
      <c r="H455" s="40"/>
      <c r="I455" s="40"/>
      <c r="J455" s="43"/>
      <c r="K455" s="43">
        <f>IF(I455="Professional Billing Rate",J455,'Lists &amp; Settings'!$E$2)</f>
        <v>35.47</v>
      </c>
      <c r="L455" s="40"/>
    </row>
    <row r="456">
      <c r="A456" s="28" t="str">
        <f t="shared" si="1"/>
        <v/>
      </c>
      <c r="B456" s="28"/>
      <c r="C456" s="28"/>
      <c r="D456" s="26" t="str">
        <f t="shared" si="2"/>
        <v/>
      </c>
      <c r="E456" s="28"/>
      <c r="F456" s="35"/>
      <c r="G456" s="28"/>
      <c r="H456" s="28"/>
      <c r="I456" s="28"/>
      <c r="J456" s="37"/>
      <c r="K456" s="37">
        <f>IF(I456="Professional Billing Rate",J456,'Lists &amp; Settings'!$E$2)</f>
        <v>35.47</v>
      </c>
      <c r="L456" s="28"/>
    </row>
    <row r="457">
      <c r="A457" s="40" t="str">
        <f t="shared" si="1"/>
        <v/>
      </c>
      <c r="B457" s="40"/>
      <c r="C457" s="40"/>
      <c r="D457" s="41" t="str">
        <f t="shared" si="2"/>
        <v/>
      </c>
      <c r="E457" s="40"/>
      <c r="F457" s="42"/>
      <c r="G457" s="40"/>
      <c r="H457" s="40"/>
      <c r="I457" s="40"/>
      <c r="J457" s="43"/>
      <c r="K457" s="43">
        <f>IF(I457="Professional Billing Rate",J457,'Lists &amp; Settings'!$E$2)</f>
        <v>35.47</v>
      </c>
      <c r="L457" s="40"/>
    </row>
    <row r="458">
      <c r="A458" s="28" t="str">
        <f t="shared" si="1"/>
        <v/>
      </c>
      <c r="B458" s="28"/>
      <c r="C458" s="28"/>
      <c r="D458" s="26" t="str">
        <f t="shared" si="2"/>
        <v/>
      </c>
      <c r="E458" s="28"/>
      <c r="F458" s="35"/>
      <c r="G458" s="28"/>
      <c r="H458" s="28"/>
      <c r="I458" s="28"/>
      <c r="J458" s="37"/>
      <c r="K458" s="37">
        <f>IF(I458="Professional Billing Rate",J458,'Lists &amp; Settings'!$E$2)</f>
        <v>35.47</v>
      </c>
      <c r="L458" s="28"/>
    </row>
    <row r="459">
      <c r="A459" s="40" t="str">
        <f t="shared" si="1"/>
        <v/>
      </c>
      <c r="B459" s="40"/>
      <c r="C459" s="40"/>
      <c r="D459" s="41" t="str">
        <f t="shared" si="2"/>
        <v/>
      </c>
      <c r="E459" s="40"/>
      <c r="F459" s="42"/>
      <c r="G459" s="40"/>
      <c r="H459" s="40"/>
      <c r="I459" s="40"/>
      <c r="J459" s="43"/>
      <c r="K459" s="43">
        <f>IF(I459="Professional Billing Rate",J459,'Lists &amp; Settings'!$E$2)</f>
        <v>35.47</v>
      </c>
      <c r="L459" s="40"/>
    </row>
    <row r="460">
      <c r="A460" s="28" t="str">
        <f t="shared" si="1"/>
        <v/>
      </c>
      <c r="B460" s="28"/>
      <c r="C460" s="28"/>
      <c r="D460" s="26" t="str">
        <f t="shared" si="2"/>
        <v/>
      </c>
      <c r="E460" s="28"/>
      <c r="F460" s="35"/>
      <c r="G460" s="28"/>
      <c r="H460" s="28"/>
      <c r="I460" s="28"/>
      <c r="J460" s="37"/>
      <c r="K460" s="37">
        <f>IF(I460="Professional Billing Rate",J460,'Lists &amp; Settings'!$E$2)</f>
        <v>35.47</v>
      </c>
      <c r="L460" s="28"/>
    </row>
    <row r="461">
      <c r="A461" s="40" t="str">
        <f t="shared" si="1"/>
        <v/>
      </c>
      <c r="B461" s="40"/>
      <c r="C461" s="40"/>
      <c r="D461" s="41" t="str">
        <f t="shared" si="2"/>
        <v/>
      </c>
      <c r="E461" s="40"/>
      <c r="F461" s="42"/>
      <c r="G461" s="40"/>
      <c r="H461" s="40"/>
      <c r="I461" s="40"/>
      <c r="J461" s="43"/>
      <c r="K461" s="43">
        <f>IF(I461="Professional Billing Rate",J461,'Lists &amp; Settings'!$E$2)</f>
        <v>35.47</v>
      </c>
      <c r="L461" s="40"/>
    </row>
    <row r="462">
      <c r="A462" s="28" t="str">
        <f t="shared" si="1"/>
        <v/>
      </c>
      <c r="B462" s="28"/>
      <c r="C462" s="28"/>
      <c r="D462" s="26" t="str">
        <f t="shared" si="2"/>
        <v/>
      </c>
      <c r="E462" s="28"/>
      <c r="F462" s="35"/>
      <c r="G462" s="28"/>
      <c r="H462" s="28"/>
      <c r="I462" s="28"/>
      <c r="J462" s="37"/>
      <c r="K462" s="37">
        <f>IF(I462="Professional Billing Rate",J462,'Lists &amp; Settings'!$E$2)</f>
        <v>35.47</v>
      </c>
      <c r="L462" s="28"/>
    </row>
    <row r="463">
      <c r="A463" s="40" t="str">
        <f t="shared" si="1"/>
        <v/>
      </c>
      <c r="B463" s="40"/>
      <c r="C463" s="40"/>
      <c r="D463" s="41" t="str">
        <f t="shared" si="2"/>
        <v/>
      </c>
      <c r="E463" s="40"/>
      <c r="F463" s="42"/>
      <c r="G463" s="40"/>
      <c r="H463" s="40"/>
      <c r="I463" s="40"/>
      <c r="J463" s="43"/>
      <c r="K463" s="43">
        <f>IF(I463="Professional Billing Rate",J463,'Lists &amp; Settings'!$E$2)</f>
        <v>35.47</v>
      </c>
      <c r="L463" s="40"/>
    </row>
    <row r="464">
      <c r="A464" s="28" t="str">
        <f t="shared" si="1"/>
        <v/>
      </c>
      <c r="B464" s="28"/>
      <c r="C464" s="28"/>
      <c r="D464" s="26" t="str">
        <f t="shared" si="2"/>
        <v/>
      </c>
      <c r="E464" s="28"/>
      <c r="F464" s="35"/>
      <c r="G464" s="28"/>
      <c r="H464" s="28"/>
      <c r="I464" s="28"/>
      <c r="J464" s="37"/>
      <c r="K464" s="37">
        <f>IF(I464="Professional Billing Rate",J464,'Lists &amp; Settings'!$E$2)</f>
        <v>35.47</v>
      </c>
      <c r="L464" s="28"/>
    </row>
    <row r="465">
      <c r="A465" s="40" t="str">
        <f t="shared" si="1"/>
        <v/>
      </c>
      <c r="B465" s="40"/>
      <c r="C465" s="40"/>
      <c r="D465" s="41" t="str">
        <f t="shared" si="2"/>
        <v/>
      </c>
      <c r="E465" s="40"/>
      <c r="F465" s="42"/>
      <c r="G465" s="40"/>
      <c r="H465" s="40"/>
      <c r="I465" s="40"/>
      <c r="J465" s="43"/>
      <c r="K465" s="43">
        <f>IF(I465="Professional Billing Rate",J465,'Lists &amp; Settings'!$E$2)</f>
        <v>35.47</v>
      </c>
      <c r="L465" s="40"/>
    </row>
    <row r="466">
      <c r="A466" s="28" t="str">
        <f t="shared" si="1"/>
        <v/>
      </c>
      <c r="B466" s="28"/>
      <c r="C466" s="28"/>
      <c r="D466" s="26" t="str">
        <f t="shared" si="2"/>
        <v/>
      </c>
      <c r="E466" s="28"/>
      <c r="F466" s="35"/>
      <c r="G466" s="28"/>
      <c r="H466" s="28"/>
      <c r="I466" s="28"/>
      <c r="J466" s="37"/>
      <c r="K466" s="37">
        <f>IF(I466="Professional Billing Rate",J466,'Lists &amp; Settings'!$E$2)</f>
        <v>35.47</v>
      </c>
      <c r="L466" s="28"/>
    </row>
    <row r="467">
      <c r="A467" s="40" t="str">
        <f t="shared" si="1"/>
        <v/>
      </c>
      <c r="B467" s="40"/>
      <c r="C467" s="40"/>
      <c r="D467" s="41" t="str">
        <f t="shared" si="2"/>
        <v/>
      </c>
      <c r="E467" s="40"/>
      <c r="F467" s="42"/>
      <c r="G467" s="40"/>
      <c r="H467" s="40"/>
      <c r="I467" s="40"/>
      <c r="J467" s="43"/>
      <c r="K467" s="43">
        <f>IF(I467="Professional Billing Rate",J467,'Lists &amp; Settings'!$E$2)</f>
        <v>35.47</v>
      </c>
      <c r="L467" s="40"/>
    </row>
    <row r="468">
      <c r="A468" s="28" t="str">
        <f t="shared" si="1"/>
        <v/>
      </c>
      <c r="B468" s="28"/>
      <c r="C468" s="28"/>
      <c r="D468" s="26" t="str">
        <f t="shared" si="2"/>
        <v/>
      </c>
      <c r="E468" s="28"/>
      <c r="F468" s="35"/>
      <c r="G468" s="28"/>
      <c r="H468" s="28"/>
      <c r="I468" s="28"/>
      <c r="J468" s="37"/>
      <c r="K468" s="37">
        <f>IF(I468="Professional Billing Rate",J468,'Lists &amp; Settings'!$E$2)</f>
        <v>35.47</v>
      </c>
      <c r="L468" s="28"/>
    </row>
    <row r="469">
      <c r="A469" s="40" t="str">
        <f t="shared" si="1"/>
        <v/>
      </c>
      <c r="B469" s="40"/>
      <c r="C469" s="40"/>
      <c r="D469" s="41" t="str">
        <f t="shared" si="2"/>
        <v/>
      </c>
      <c r="E469" s="40"/>
      <c r="F469" s="42"/>
      <c r="G469" s="40"/>
      <c r="H469" s="40"/>
      <c r="I469" s="40"/>
      <c r="J469" s="43"/>
      <c r="K469" s="43">
        <f>IF(I469="Professional Billing Rate",J469,'Lists &amp; Settings'!$E$2)</f>
        <v>35.47</v>
      </c>
      <c r="L469" s="40"/>
    </row>
    <row r="470">
      <c r="A470" s="28" t="str">
        <f t="shared" si="1"/>
        <v/>
      </c>
      <c r="B470" s="28"/>
      <c r="C470" s="28"/>
      <c r="D470" s="26" t="str">
        <f t="shared" si="2"/>
        <v/>
      </c>
      <c r="E470" s="28"/>
      <c r="F470" s="35"/>
      <c r="G470" s="28"/>
      <c r="H470" s="28"/>
      <c r="I470" s="28"/>
      <c r="J470" s="37"/>
      <c r="K470" s="37">
        <f>IF(I470="Professional Billing Rate",J470,'Lists &amp; Settings'!$E$2)</f>
        <v>35.47</v>
      </c>
      <c r="L470" s="28"/>
    </row>
    <row r="471">
      <c r="A471" s="40" t="str">
        <f t="shared" si="1"/>
        <v/>
      </c>
      <c r="B471" s="40"/>
      <c r="C471" s="40"/>
      <c r="D471" s="41" t="str">
        <f t="shared" si="2"/>
        <v/>
      </c>
      <c r="E471" s="40"/>
      <c r="F471" s="42"/>
      <c r="G471" s="40"/>
      <c r="H471" s="40"/>
      <c r="I471" s="40"/>
      <c r="J471" s="43"/>
      <c r="K471" s="43">
        <f>IF(I471="Professional Billing Rate",J471,'Lists &amp; Settings'!$E$2)</f>
        <v>35.47</v>
      </c>
      <c r="L471" s="40"/>
    </row>
    <row r="472">
      <c r="A472" s="28" t="str">
        <f t="shared" si="1"/>
        <v/>
      </c>
      <c r="B472" s="28"/>
      <c r="C472" s="28"/>
      <c r="D472" s="26" t="str">
        <f t="shared" si="2"/>
        <v/>
      </c>
      <c r="E472" s="28"/>
      <c r="F472" s="35"/>
      <c r="G472" s="28"/>
      <c r="H472" s="28"/>
      <c r="I472" s="28"/>
      <c r="J472" s="37"/>
      <c r="K472" s="37">
        <f>IF(I472="Professional Billing Rate",J472,'Lists &amp; Settings'!$E$2)</f>
        <v>35.47</v>
      </c>
      <c r="L472" s="28"/>
    </row>
    <row r="473">
      <c r="A473" s="40" t="str">
        <f t="shared" si="1"/>
        <v/>
      </c>
      <c r="B473" s="40"/>
      <c r="C473" s="40"/>
      <c r="D473" s="41" t="str">
        <f t="shared" si="2"/>
        <v/>
      </c>
      <c r="E473" s="40"/>
      <c r="F473" s="42"/>
      <c r="G473" s="40"/>
      <c r="H473" s="40"/>
      <c r="I473" s="40"/>
      <c r="J473" s="43"/>
      <c r="K473" s="43">
        <f>IF(I473="Professional Billing Rate",J473,'Lists &amp; Settings'!$E$2)</f>
        <v>35.47</v>
      </c>
      <c r="L473" s="40"/>
    </row>
    <row r="474">
      <c r="A474" s="28" t="str">
        <f t="shared" si="1"/>
        <v/>
      </c>
      <c r="B474" s="28"/>
      <c r="C474" s="28"/>
      <c r="D474" s="26" t="str">
        <f t="shared" si="2"/>
        <v/>
      </c>
      <c r="E474" s="28"/>
      <c r="F474" s="35"/>
      <c r="G474" s="28"/>
      <c r="H474" s="28"/>
      <c r="I474" s="28"/>
      <c r="J474" s="37"/>
      <c r="K474" s="37">
        <f>IF(I474="Professional Billing Rate",J474,'Lists &amp; Settings'!$E$2)</f>
        <v>35.47</v>
      </c>
      <c r="L474" s="28"/>
    </row>
    <row r="475">
      <c r="A475" s="40" t="str">
        <f t="shared" si="1"/>
        <v/>
      </c>
      <c r="B475" s="40"/>
      <c r="C475" s="40"/>
      <c r="D475" s="41" t="str">
        <f t="shared" si="2"/>
        <v/>
      </c>
      <c r="E475" s="40"/>
      <c r="F475" s="42"/>
      <c r="G475" s="40"/>
      <c r="H475" s="40"/>
      <c r="I475" s="40"/>
      <c r="J475" s="43"/>
      <c r="K475" s="43">
        <f>IF(I475="Professional Billing Rate",J475,'Lists &amp; Settings'!$E$2)</f>
        <v>35.47</v>
      </c>
      <c r="L475" s="40"/>
    </row>
    <row r="476">
      <c r="A476" s="28" t="str">
        <f t="shared" si="1"/>
        <v/>
      </c>
      <c r="B476" s="28"/>
      <c r="C476" s="28"/>
      <c r="D476" s="26" t="str">
        <f t="shared" si="2"/>
        <v/>
      </c>
      <c r="E476" s="28"/>
      <c r="F476" s="35"/>
      <c r="G476" s="28"/>
      <c r="H476" s="28"/>
      <c r="I476" s="28"/>
      <c r="J476" s="37"/>
      <c r="K476" s="37">
        <f>IF(I476="Professional Billing Rate",J476,'Lists &amp; Settings'!$E$2)</f>
        <v>35.47</v>
      </c>
      <c r="L476" s="28"/>
    </row>
    <row r="477">
      <c r="A477" s="40" t="str">
        <f t="shared" si="1"/>
        <v/>
      </c>
      <c r="B477" s="40"/>
      <c r="C477" s="40"/>
      <c r="D477" s="41" t="str">
        <f t="shared" si="2"/>
        <v/>
      </c>
      <c r="E477" s="40"/>
      <c r="F477" s="42"/>
      <c r="G477" s="40"/>
      <c r="H477" s="40"/>
      <c r="I477" s="40"/>
      <c r="J477" s="43"/>
      <c r="K477" s="43">
        <f>IF(I477="Professional Billing Rate",J477,'Lists &amp; Settings'!$E$2)</f>
        <v>35.47</v>
      </c>
      <c r="L477" s="40"/>
    </row>
    <row r="478">
      <c r="A478" s="28" t="str">
        <f t="shared" si="1"/>
        <v/>
      </c>
      <c r="B478" s="28"/>
      <c r="C478" s="28"/>
      <c r="D478" s="26" t="str">
        <f t="shared" si="2"/>
        <v/>
      </c>
      <c r="E478" s="28"/>
      <c r="F478" s="35"/>
      <c r="G478" s="28"/>
      <c r="H478" s="28"/>
      <c r="I478" s="28"/>
      <c r="J478" s="37"/>
      <c r="K478" s="37">
        <f>IF(I478="Professional Billing Rate",J478,'Lists &amp; Settings'!$E$2)</f>
        <v>35.47</v>
      </c>
      <c r="L478" s="28"/>
    </row>
    <row r="479">
      <c r="A479" s="40" t="str">
        <f t="shared" si="1"/>
        <v/>
      </c>
      <c r="B479" s="40"/>
      <c r="C479" s="40"/>
      <c r="D479" s="41" t="str">
        <f t="shared" si="2"/>
        <v/>
      </c>
      <c r="E479" s="40"/>
      <c r="F479" s="42"/>
      <c r="G479" s="40"/>
      <c r="H479" s="40"/>
      <c r="I479" s="40"/>
      <c r="J479" s="43"/>
      <c r="K479" s="43">
        <f>IF(I479="Professional Billing Rate",J479,'Lists &amp; Settings'!$E$2)</f>
        <v>35.47</v>
      </c>
      <c r="L479" s="40"/>
    </row>
    <row r="480">
      <c r="A480" s="28" t="str">
        <f t="shared" si="1"/>
        <v/>
      </c>
      <c r="B480" s="28"/>
      <c r="C480" s="28"/>
      <c r="D480" s="26" t="str">
        <f t="shared" si="2"/>
        <v/>
      </c>
      <c r="E480" s="28"/>
      <c r="F480" s="35"/>
      <c r="G480" s="28"/>
      <c r="H480" s="28"/>
      <c r="I480" s="28"/>
      <c r="J480" s="37"/>
      <c r="K480" s="37">
        <f>IF(I480="Professional Billing Rate",J480,'Lists &amp; Settings'!$E$2)</f>
        <v>35.47</v>
      </c>
      <c r="L480" s="28"/>
    </row>
    <row r="481">
      <c r="A481" s="40" t="str">
        <f t="shared" si="1"/>
        <v/>
      </c>
      <c r="B481" s="40"/>
      <c r="C481" s="40"/>
      <c r="D481" s="41" t="str">
        <f t="shared" si="2"/>
        <v/>
      </c>
      <c r="E481" s="40"/>
      <c r="F481" s="42"/>
      <c r="G481" s="40"/>
      <c r="H481" s="40"/>
      <c r="I481" s="40"/>
      <c r="J481" s="43"/>
      <c r="K481" s="43">
        <f>IF(I481="Professional Billing Rate",J481,'Lists &amp; Settings'!$E$2)</f>
        <v>35.47</v>
      </c>
      <c r="L481" s="40"/>
    </row>
    <row r="482">
      <c r="A482" s="28" t="str">
        <f t="shared" si="1"/>
        <v/>
      </c>
      <c r="B482" s="28"/>
      <c r="C482" s="28"/>
      <c r="D482" s="26" t="str">
        <f t="shared" si="2"/>
        <v/>
      </c>
      <c r="E482" s="28"/>
      <c r="F482" s="35"/>
      <c r="G482" s="28"/>
      <c r="H482" s="28"/>
      <c r="I482" s="28"/>
      <c r="J482" s="37"/>
      <c r="K482" s="37">
        <f>IF(I482="Professional Billing Rate",J482,'Lists &amp; Settings'!$E$2)</f>
        <v>35.47</v>
      </c>
      <c r="L482" s="28"/>
    </row>
    <row r="483">
      <c r="A483" s="40" t="str">
        <f t="shared" si="1"/>
        <v/>
      </c>
      <c r="B483" s="40"/>
      <c r="C483" s="40"/>
      <c r="D483" s="41" t="str">
        <f t="shared" si="2"/>
        <v/>
      </c>
      <c r="E483" s="40"/>
      <c r="F483" s="42"/>
      <c r="G483" s="40"/>
      <c r="H483" s="40"/>
      <c r="I483" s="40"/>
      <c r="J483" s="43"/>
      <c r="K483" s="43">
        <f>IF(I483="Professional Billing Rate",J483,'Lists &amp; Settings'!$E$2)</f>
        <v>35.47</v>
      </c>
      <c r="L483" s="40"/>
    </row>
    <row r="484">
      <c r="A484" s="28" t="str">
        <f t="shared" si="1"/>
        <v/>
      </c>
      <c r="B484" s="28"/>
      <c r="C484" s="28"/>
      <c r="D484" s="26" t="str">
        <f t="shared" si="2"/>
        <v/>
      </c>
      <c r="E484" s="28"/>
      <c r="F484" s="35"/>
      <c r="G484" s="28"/>
      <c r="H484" s="28"/>
      <c r="I484" s="28"/>
      <c r="J484" s="37"/>
      <c r="K484" s="37">
        <f>IF(I484="Professional Billing Rate",J484,'Lists &amp; Settings'!$E$2)</f>
        <v>35.47</v>
      </c>
      <c r="L484" s="28"/>
    </row>
    <row r="485">
      <c r="A485" s="40" t="str">
        <f t="shared" si="1"/>
        <v/>
      </c>
      <c r="B485" s="40"/>
      <c r="C485" s="40"/>
      <c r="D485" s="41" t="str">
        <f t="shared" si="2"/>
        <v/>
      </c>
      <c r="E485" s="40"/>
      <c r="F485" s="42"/>
      <c r="G485" s="40"/>
      <c r="H485" s="40"/>
      <c r="I485" s="40"/>
      <c r="J485" s="43"/>
      <c r="K485" s="43">
        <f>IF(I485="Professional Billing Rate",J485,'Lists &amp; Settings'!$E$2)</f>
        <v>35.47</v>
      </c>
      <c r="L485" s="40"/>
    </row>
    <row r="486">
      <c r="A486" s="28" t="str">
        <f t="shared" si="1"/>
        <v/>
      </c>
      <c r="B486" s="28"/>
      <c r="C486" s="28"/>
      <c r="D486" s="26" t="str">
        <f t="shared" si="2"/>
        <v/>
      </c>
      <c r="E486" s="28"/>
      <c r="F486" s="35"/>
      <c r="G486" s="28"/>
      <c r="H486" s="28"/>
      <c r="I486" s="28"/>
      <c r="J486" s="37"/>
      <c r="K486" s="37">
        <f>IF(I486="Professional Billing Rate",J486,'Lists &amp; Settings'!$E$2)</f>
        <v>35.47</v>
      </c>
      <c r="L486" s="28"/>
    </row>
    <row r="487">
      <c r="A487" s="40" t="str">
        <f t="shared" si="1"/>
        <v/>
      </c>
      <c r="B487" s="40"/>
      <c r="C487" s="40"/>
      <c r="D487" s="41" t="str">
        <f t="shared" si="2"/>
        <v/>
      </c>
      <c r="E487" s="40"/>
      <c r="F487" s="42"/>
      <c r="G487" s="40"/>
      <c r="H487" s="40"/>
      <c r="I487" s="40"/>
      <c r="J487" s="43"/>
      <c r="K487" s="43">
        <f>IF(I487="Professional Billing Rate",J487,'Lists &amp; Settings'!$E$2)</f>
        <v>35.47</v>
      </c>
      <c r="L487" s="40"/>
    </row>
    <row r="488">
      <c r="A488" s="28" t="str">
        <f t="shared" si="1"/>
        <v/>
      </c>
      <c r="B488" s="28"/>
      <c r="C488" s="28"/>
      <c r="D488" s="26" t="str">
        <f t="shared" si="2"/>
        <v/>
      </c>
      <c r="E488" s="28"/>
      <c r="F488" s="35"/>
      <c r="G488" s="28"/>
      <c r="H488" s="28"/>
      <c r="I488" s="28"/>
      <c r="J488" s="37"/>
      <c r="K488" s="37">
        <f>IF(I488="Professional Billing Rate",J488,'Lists &amp; Settings'!$E$2)</f>
        <v>35.47</v>
      </c>
      <c r="L488" s="28"/>
    </row>
    <row r="489">
      <c r="A489" s="40" t="str">
        <f t="shared" si="1"/>
        <v/>
      </c>
      <c r="B489" s="40"/>
      <c r="C489" s="40"/>
      <c r="D489" s="41" t="str">
        <f t="shared" si="2"/>
        <v/>
      </c>
      <c r="E489" s="40"/>
      <c r="F489" s="42"/>
      <c r="G489" s="40"/>
      <c r="H489" s="40"/>
      <c r="I489" s="40"/>
      <c r="J489" s="43"/>
      <c r="K489" s="43">
        <f>IF(I489="Professional Billing Rate",J489,'Lists &amp; Settings'!$E$2)</f>
        <v>35.47</v>
      </c>
      <c r="L489" s="40"/>
    </row>
    <row r="490">
      <c r="A490" s="28" t="str">
        <f t="shared" si="1"/>
        <v/>
      </c>
      <c r="B490" s="28"/>
      <c r="C490" s="28"/>
      <c r="D490" s="26" t="str">
        <f t="shared" si="2"/>
        <v/>
      </c>
      <c r="E490" s="28"/>
      <c r="F490" s="35"/>
      <c r="G490" s="28"/>
      <c r="H490" s="28"/>
      <c r="I490" s="28"/>
      <c r="J490" s="37"/>
      <c r="K490" s="37">
        <f>IF(I490="Professional Billing Rate",J490,'Lists &amp; Settings'!$E$2)</f>
        <v>35.47</v>
      </c>
      <c r="L490" s="28"/>
    </row>
    <row r="491">
      <c r="A491" s="40" t="str">
        <f t="shared" si="1"/>
        <v/>
      </c>
      <c r="B491" s="40"/>
      <c r="C491" s="40"/>
      <c r="D491" s="41" t="str">
        <f t="shared" si="2"/>
        <v/>
      </c>
      <c r="E491" s="40"/>
      <c r="F491" s="42"/>
      <c r="G491" s="40"/>
      <c r="H491" s="40"/>
      <c r="I491" s="40"/>
      <c r="J491" s="43"/>
      <c r="K491" s="43">
        <f>IF(I491="Professional Billing Rate",J491,'Lists &amp; Settings'!$E$2)</f>
        <v>35.47</v>
      </c>
      <c r="L491" s="40"/>
    </row>
    <row r="492">
      <c r="A492" s="28" t="str">
        <f t="shared" si="1"/>
        <v/>
      </c>
      <c r="B492" s="28"/>
      <c r="C492" s="28"/>
      <c r="D492" s="26" t="str">
        <f t="shared" si="2"/>
        <v/>
      </c>
      <c r="E492" s="28"/>
      <c r="F492" s="35"/>
      <c r="G492" s="28"/>
      <c r="H492" s="28"/>
      <c r="I492" s="28"/>
      <c r="J492" s="37"/>
      <c r="K492" s="37">
        <f>IF(I492="Professional Billing Rate",J492,'Lists &amp; Settings'!$E$2)</f>
        <v>35.47</v>
      </c>
      <c r="L492" s="28"/>
    </row>
    <row r="493">
      <c r="A493" s="40" t="str">
        <f t="shared" si="1"/>
        <v/>
      </c>
      <c r="B493" s="40"/>
      <c r="C493" s="40"/>
      <c r="D493" s="41" t="str">
        <f t="shared" si="2"/>
        <v/>
      </c>
      <c r="E493" s="40"/>
      <c r="F493" s="42"/>
      <c r="G493" s="40"/>
      <c r="H493" s="40"/>
      <c r="I493" s="40"/>
      <c r="J493" s="43"/>
      <c r="K493" s="43">
        <f>IF(I493="Professional Billing Rate",J493,'Lists &amp; Settings'!$E$2)</f>
        <v>35.47</v>
      </c>
      <c r="L493" s="40"/>
    </row>
    <row r="494">
      <c r="A494" s="28" t="str">
        <f t="shared" si="1"/>
        <v/>
      </c>
      <c r="B494" s="28"/>
      <c r="C494" s="28"/>
      <c r="D494" s="26" t="str">
        <f t="shared" si="2"/>
        <v/>
      </c>
      <c r="E494" s="28"/>
      <c r="F494" s="35"/>
      <c r="G494" s="28"/>
      <c r="H494" s="28"/>
      <c r="I494" s="28"/>
      <c r="J494" s="37"/>
      <c r="K494" s="37">
        <f>IF(I494="Professional Billing Rate",J494,'Lists &amp; Settings'!$E$2)</f>
        <v>35.47</v>
      </c>
      <c r="L494" s="28"/>
    </row>
    <row r="495">
      <c r="A495" s="40" t="str">
        <f t="shared" si="1"/>
        <v/>
      </c>
      <c r="B495" s="40"/>
      <c r="C495" s="40"/>
      <c r="D495" s="41" t="str">
        <f t="shared" si="2"/>
        <v/>
      </c>
      <c r="E495" s="40"/>
      <c r="F495" s="42"/>
      <c r="G495" s="40"/>
      <c r="H495" s="40"/>
      <c r="I495" s="40"/>
      <c r="J495" s="43"/>
      <c r="K495" s="43">
        <f>IF(I495="Professional Billing Rate",J495,'Lists &amp; Settings'!$E$2)</f>
        <v>35.47</v>
      </c>
      <c r="L495" s="40"/>
    </row>
    <row r="496">
      <c r="A496" s="28" t="str">
        <f t="shared" si="1"/>
        <v/>
      </c>
      <c r="B496" s="28"/>
      <c r="C496" s="28"/>
      <c r="D496" s="26" t="str">
        <f t="shared" si="2"/>
        <v/>
      </c>
      <c r="E496" s="28"/>
      <c r="F496" s="35"/>
      <c r="G496" s="28"/>
      <c r="H496" s="28"/>
      <c r="I496" s="28"/>
      <c r="J496" s="37"/>
      <c r="K496" s="37">
        <f>IF(I496="Professional Billing Rate",J496,'Lists &amp; Settings'!$E$2)</f>
        <v>35.47</v>
      </c>
      <c r="L496" s="28"/>
    </row>
    <row r="497">
      <c r="A497" s="40" t="str">
        <f t="shared" si="1"/>
        <v/>
      </c>
      <c r="B497" s="40"/>
      <c r="C497" s="40"/>
      <c r="D497" s="41" t="str">
        <f t="shared" si="2"/>
        <v/>
      </c>
      <c r="E497" s="40"/>
      <c r="F497" s="42"/>
      <c r="G497" s="40"/>
      <c r="H497" s="40"/>
      <c r="I497" s="40"/>
      <c r="J497" s="43"/>
      <c r="K497" s="43">
        <f>IF(I497="Professional Billing Rate",J497,'Lists &amp; Settings'!$E$2)</f>
        <v>35.47</v>
      </c>
      <c r="L497" s="40"/>
    </row>
    <row r="498">
      <c r="A498" s="28" t="str">
        <f t="shared" si="1"/>
        <v/>
      </c>
      <c r="B498" s="28"/>
      <c r="C498" s="28"/>
      <c r="D498" s="26" t="str">
        <f t="shared" si="2"/>
        <v/>
      </c>
      <c r="E498" s="28"/>
      <c r="F498" s="35"/>
      <c r="G498" s="28"/>
      <c r="H498" s="28"/>
      <c r="I498" s="28"/>
      <c r="J498" s="37"/>
      <c r="K498" s="37">
        <f>IF(I498="Professional Billing Rate",J498,'Lists &amp; Settings'!$E$2)</f>
        <v>35.47</v>
      </c>
      <c r="L498" s="28"/>
    </row>
    <row r="499">
      <c r="A499" s="40" t="str">
        <f t="shared" si="1"/>
        <v/>
      </c>
      <c r="B499" s="40"/>
      <c r="C499" s="40"/>
      <c r="D499" s="41" t="str">
        <f t="shared" si="2"/>
        <v/>
      </c>
      <c r="E499" s="40"/>
      <c r="F499" s="42"/>
      <c r="G499" s="40"/>
      <c r="H499" s="40"/>
      <c r="I499" s="40"/>
      <c r="J499" s="43"/>
      <c r="K499" s="43">
        <f>IF(I499="Professional Billing Rate",J499,'Lists &amp; Settings'!$E$2)</f>
        <v>35.47</v>
      </c>
      <c r="L499" s="40"/>
    </row>
    <row r="500">
      <c r="A500" s="28" t="str">
        <f t="shared" si="1"/>
        <v/>
      </c>
      <c r="B500" s="28"/>
      <c r="C500" s="28"/>
      <c r="D500" s="26" t="str">
        <f t="shared" si="2"/>
        <v/>
      </c>
      <c r="E500" s="28"/>
      <c r="F500" s="35"/>
      <c r="G500" s="28"/>
      <c r="H500" s="28"/>
      <c r="I500" s="28"/>
      <c r="J500" s="37"/>
      <c r="K500" s="37">
        <f>IF(I500="Professional Billing Rate",J500,'Lists &amp; Settings'!$E$2)</f>
        <v>35.47</v>
      </c>
      <c r="L500" s="28"/>
    </row>
    <row r="501">
      <c r="A501" s="40" t="str">
        <f t="shared" si="1"/>
        <v/>
      </c>
      <c r="B501" s="40"/>
      <c r="C501" s="40"/>
      <c r="D501" s="41" t="str">
        <f t="shared" si="2"/>
        <v/>
      </c>
      <c r="E501" s="40"/>
      <c r="F501" s="42"/>
      <c r="G501" s="40"/>
      <c r="H501" s="40"/>
      <c r="I501" s="40"/>
      <c r="J501" s="43"/>
      <c r="K501" s="43">
        <f>IF(I501="Professional Billing Rate",J501,'Lists &amp; Settings'!$E$2)</f>
        <v>35.47</v>
      </c>
      <c r="L501" s="40"/>
    </row>
    <row r="502">
      <c r="A502" s="28" t="str">
        <f t="shared" si="1"/>
        <v/>
      </c>
      <c r="B502" s="28"/>
      <c r="C502" s="28"/>
      <c r="D502" s="26" t="str">
        <f t="shared" si="2"/>
        <v/>
      </c>
      <c r="E502" s="28"/>
      <c r="F502" s="35"/>
      <c r="G502" s="28"/>
      <c r="H502" s="28"/>
      <c r="I502" s="28"/>
      <c r="J502" s="37"/>
      <c r="K502" s="37">
        <f>IF(I502="Professional Billing Rate",J502,'Lists &amp; Settings'!$E$2)</f>
        <v>35.47</v>
      </c>
      <c r="L502" s="28"/>
    </row>
    <row r="503">
      <c r="A503" s="40" t="str">
        <f t="shared" si="1"/>
        <v/>
      </c>
      <c r="B503" s="40"/>
      <c r="C503" s="40"/>
      <c r="D503" s="41" t="str">
        <f t="shared" si="2"/>
        <v/>
      </c>
      <c r="E503" s="40"/>
      <c r="F503" s="42"/>
      <c r="G503" s="40"/>
      <c r="H503" s="40"/>
      <c r="I503" s="40"/>
      <c r="J503" s="43"/>
      <c r="K503" s="43">
        <f>IF(I503="Professional Billing Rate",J503,'Lists &amp; Settings'!$E$2)</f>
        <v>35.47</v>
      </c>
      <c r="L503" s="40"/>
    </row>
    <row r="504">
      <c r="A504" s="28" t="str">
        <f t="shared" si="1"/>
        <v/>
      </c>
      <c r="B504" s="28"/>
      <c r="C504" s="28"/>
      <c r="D504" s="26" t="str">
        <f t="shared" si="2"/>
        <v/>
      </c>
      <c r="E504" s="28"/>
      <c r="F504" s="35"/>
      <c r="G504" s="28"/>
      <c r="H504" s="28"/>
      <c r="I504" s="28"/>
      <c r="J504" s="37"/>
      <c r="K504" s="37">
        <f>IF(I504="Professional Billing Rate",J504,'Lists &amp; Settings'!$E$2)</f>
        <v>35.47</v>
      </c>
      <c r="L504" s="28"/>
    </row>
    <row r="505">
      <c r="A505" s="40" t="str">
        <f t="shared" si="1"/>
        <v/>
      </c>
      <c r="B505" s="40"/>
      <c r="C505" s="40"/>
      <c r="D505" s="41" t="str">
        <f t="shared" si="2"/>
        <v/>
      </c>
      <c r="E505" s="40"/>
      <c r="F505" s="42"/>
      <c r="G505" s="40"/>
      <c r="H505" s="40"/>
      <c r="I505" s="40"/>
      <c r="J505" s="43"/>
      <c r="K505" s="43">
        <f>IF(I505="Professional Billing Rate",J505,'Lists &amp; Settings'!$E$2)</f>
        <v>35.47</v>
      </c>
      <c r="L505" s="40"/>
    </row>
    <row r="506">
      <c r="A506" s="28" t="str">
        <f t="shared" si="1"/>
        <v/>
      </c>
      <c r="B506" s="28"/>
      <c r="C506" s="28"/>
      <c r="D506" s="26" t="str">
        <f t="shared" si="2"/>
        <v/>
      </c>
      <c r="E506" s="28"/>
      <c r="F506" s="35"/>
      <c r="G506" s="28"/>
      <c r="H506" s="28"/>
      <c r="I506" s="28"/>
      <c r="J506" s="37"/>
      <c r="K506" s="37">
        <f>IF(I506="Professional Billing Rate",J506,'Lists &amp; Settings'!$E$2)</f>
        <v>35.47</v>
      </c>
      <c r="L506" s="28"/>
    </row>
    <row r="507">
      <c r="A507" s="40" t="str">
        <f t="shared" si="1"/>
        <v/>
      </c>
      <c r="B507" s="40"/>
      <c r="C507" s="40"/>
      <c r="D507" s="41" t="str">
        <f t="shared" si="2"/>
        <v/>
      </c>
      <c r="E507" s="40"/>
      <c r="F507" s="42"/>
      <c r="G507" s="40"/>
      <c r="H507" s="40"/>
      <c r="I507" s="40"/>
      <c r="J507" s="43"/>
      <c r="K507" s="43">
        <f>IF(I507="Professional Billing Rate",J507,'Lists &amp; Settings'!$E$2)</f>
        <v>35.47</v>
      </c>
      <c r="L507" s="40"/>
    </row>
    <row r="508">
      <c r="A508" s="28" t="str">
        <f t="shared" si="1"/>
        <v/>
      </c>
      <c r="B508" s="28"/>
      <c r="C508" s="28"/>
      <c r="D508" s="26" t="str">
        <f t="shared" si="2"/>
        <v/>
      </c>
      <c r="E508" s="28"/>
      <c r="F508" s="35"/>
      <c r="G508" s="28"/>
      <c r="H508" s="28"/>
      <c r="I508" s="28"/>
      <c r="J508" s="37"/>
      <c r="K508" s="37">
        <f>IF(I508="Professional Billing Rate",J508,'Lists &amp; Settings'!$E$2)</f>
        <v>35.47</v>
      </c>
      <c r="L508" s="28"/>
    </row>
    <row r="509">
      <c r="A509" s="40" t="str">
        <f t="shared" si="1"/>
        <v/>
      </c>
      <c r="B509" s="40"/>
      <c r="C509" s="40"/>
      <c r="D509" s="41" t="str">
        <f t="shared" si="2"/>
        <v/>
      </c>
      <c r="E509" s="40"/>
      <c r="F509" s="42"/>
      <c r="G509" s="40"/>
      <c r="H509" s="40"/>
      <c r="I509" s="40"/>
      <c r="J509" s="43"/>
      <c r="K509" s="43">
        <f>IF(I509="Professional Billing Rate",J509,'Lists &amp; Settings'!$E$2)</f>
        <v>35.47</v>
      </c>
      <c r="L509" s="40"/>
    </row>
    <row r="510">
      <c r="A510" s="28" t="str">
        <f t="shared" si="1"/>
        <v/>
      </c>
      <c r="B510" s="28"/>
      <c r="C510" s="28"/>
      <c r="D510" s="26" t="str">
        <f t="shared" si="2"/>
        <v/>
      </c>
      <c r="E510" s="28"/>
      <c r="F510" s="35"/>
      <c r="G510" s="28"/>
      <c r="H510" s="28"/>
      <c r="I510" s="28"/>
      <c r="J510" s="37"/>
      <c r="K510" s="37">
        <f>IF(I510="Professional Billing Rate",J510,'Lists &amp; Settings'!$E$2)</f>
        <v>35.47</v>
      </c>
      <c r="L510" s="28"/>
    </row>
    <row r="511">
      <c r="A511" s="40" t="str">
        <f t="shared" si="1"/>
        <v/>
      </c>
      <c r="B511" s="40"/>
      <c r="C511" s="40"/>
      <c r="D511" s="41" t="str">
        <f t="shared" si="2"/>
        <v/>
      </c>
      <c r="E511" s="40"/>
      <c r="F511" s="42"/>
      <c r="G511" s="40"/>
      <c r="H511" s="40"/>
      <c r="I511" s="40"/>
      <c r="J511" s="43"/>
      <c r="K511" s="43">
        <f>IF(I511="Professional Billing Rate",J511,'Lists &amp; Settings'!$E$2)</f>
        <v>35.47</v>
      </c>
      <c r="L511" s="40"/>
    </row>
    <row r="512">
      <c r="A512" s="28" t="str">
        <f t="shared" si="1"/>
        <v/>
      </c>
      <c r="B512" s="28"/>
      <c r="C512" s="28"/>
      <c r="D512" s="26" t="str">
        <f t="shared" si="2"/>
        <v/>
      </c>
      <c r="E512" s="28"/>
      <c r="F512" s="35"/>
      <c r="G512" s="28"/>
      <c r="H512" s="28"/>
      <c r="I512" s="28"/>
      <c r="J512" s="37"/>
      <c r="K512" s="37">
        <f>IF(I512="Professional Billing Rate",J512,'Lists &amp; Settings'!$E$2)</f>
        <v>35.47</v>
      </c>
      <c r="L512" s="28"/>
    </row>
    <row r="513">
      <c r="A513" s="40" t="str">
        <f t="shared" si="1"/>
        <v/>
      </c>
      <c r="B513" s="40"/>
      <c r="C513" s="40"/>
      <c r="D513" s="41" t="str">
        <f t="shared" si="2"/>
        <v/>
      </c>
      <c r="E513" s="40"/>
      <c r="F513" s="42"/>
      <c r="G513" s="40"/>
      <c r="H513" s="40"/>
      <c r="I513" s="40"/>
      <c r="J513" s="43"/>
      <c r="K513" s="43">
        <f>IF(I513="Professional Billing Rate",J513,'Lists &amp; Settings'!$E$2)</f>
        <v>35.47</v>
      </c>
      <c r="L513" s="40"/>
    </row>
    <row r="514">
      <c r="A514" s="28" t="str">
        <f t="shared" si="1"/>
        <v/>
      </c>
      <c r="B514" s="28"/>
      <c r="C514" s="28"/>
      <c r="D514" s="26" t="str">
        <f t="shared" si="2"/>
        <v/>
      </c>
      <c r="E514" s="28"/>
      <c r="F514" s="35"/>
      <c r="G514" s="28"/>
      <c r="H514" s="28"/>
      <c r="I514" s="28"/>
      <c r="J514" s="37"/>
      <c r="K514" s="37">
        <f>IF(I514="Professional Billing Rate",J514,'Lists &amp; Settings'!$E$2)</f>
        <v>35.47</v>
      </c>
      <c r="L514" s="28"/>
    </row>
    <row r="515">
      <c r="A515" s="40" t="str">
        <f t="shared" si="1"/>
        <v/>
      </c>
      <c r="B515" s="40"/>
      <c r="C515" s="40"/>
      <c r="D515" s="41" t="str">
        <f t="shared" si="2"/>
        <v/>
      </c>
      <c r="E515" s="40"/>
      <c r="F515" s="42"/>
      <c r="G515" s="40"/>
      <c r="H515" s="40"/>
      <c r="I515" s="40"/>
      <c r="J515" s="43"/>
      <c r="K515" s="43">
        <f>IF(I515="Professional Billing Rate",J515,'Lists &amp; Settings'!$E$2)</f>
        <v>35.47</v>
      </c>
      <c r="L515" s="40"/>
    </row>
    <row r="516">
      <c r="A516" s="28" t="str">
        <f t="shared" si="1"/>
        <v/>
      </c>
      <c r="B516" s="28"/>
      <c r="C516" s="28"/>
      <c r="D516" s="26" t="str">
        <f t="shared" si="2"/>
        <v/>
      </c>
      <c r="E516" s="28"/>
      <c r="F516" s="35"/>
      <c r="G516" s="28"/>
      <c r="H516" s="28"/>
      <c r="I516" s="28"/>
      <c r="J516" s="37"/>
      <c r="K516" s="37">
        <f>IF(I516="Professional Billing Rate",J516,'Lists &amp; Settings'!$E$2)</f>
        <v>35.47</v>
      </c>
      <c r="L516" s="28"/>
    </row>
    <row r="517">
      <c r="A517" s="40" t="str">
        <f t="shared" si="1"/>
        <v/>
      </c>
      <c r="B517" s="40"/>
      <c r="C517" s="40"/>
      <c r="D517" s="41" t="str">
        <f t="shared" si="2"/>
        <v/>
      </c>
      <c r="E517" s="40"/>
      <c r="F517" s="42"/>
      <c r="G517" s="40"/>
      <c r="H517" s="40"/>
      <c r="I517" s="40"/>
      <c r="J517" s="43"/>
      <c r="K517" s="43">
        <f>IF(I517="Professional Billing Rate",J517,'Lists &amp; Settings'!$E$2)</f>
        <v>35.47</v>
      </c>
      <c r="L517" s="40"/>
    </row>
    <row r="518">
      <c r="A518" s="28" t="str">
        <f t="shared" si="1"/>
        <v/>
      </c>
      <c r="B518" s="28"/>
      <c r="C518" s="28"/>
      <c r="D518" s="26" t="str">
        <f t="shared" si="2"/>
        <v/>
      </c>
      <c r="E518" s="28"/>
      <c r="F518" s="35"/>
      <c r="G518" s="28"/>
      <c r="H518" s="28"/>
      <c r="I518" s="28"/>
      <c r="J518" s="37"/>
      <c r="K518" s="37">
        <f>IF(I518="Professional Billing Rate",J518,'Lists &amp; Settings'!$E$2)</f>
        <v>35.47</v>
      </c>
      <c r="L518" s="28"/>
    </row>
    <row r="519">
      <c r="A519" s="40" t="str">
        <f t="shared" si="1"/>
        <v/>
      </c>
      <c r="B519" s="40"/>
      <c r="C519" s="40"/>
      <c r="D519" s="41" t="str">
        <f t="shared" si="2"/>
        <v/>
      </c>
      <c r="E519" s="40"/>
      <c r="F519" s="42"/>
      <c r="G519" s="40"/>
      <c r="H519" s="40"/>
      <c r="I519" s="40"/>
      <c r="J519" s="43"/>
      <c r="K519" s="43">
        <f>IF(I519="Professional Billing Rate",J519,'Lists &amp; Settings'!$E$2)</f>
        <v>35.47</v>
      </c>
      <c r="L519" s="40"/>
    </row>
    <row r="520">
      <c r="A520" s="28" t="str">
        <f t="shared" si="1"/>
        <v/>
      </c>
      <c r="B520" s="28"/>
      <c r="C520" s="28"/>
      <c r="D520" s="26" t="str">
        <f t="shared" si="2"/>
        <v/>
      </c>
      <c r="E520" s="28"/>
      <c r="F520" s="35"/>
      <c r="G520" s="28"/>
      <c r="H520" s="28"/>
      <c r="I520" s="28"/>
      <c r="J520" s="37"/>
      <c r="K520" s="37">
        <f>IF(I520="Professional Billing Rate",J520,'Lists &amp; Settings'!$E$2)</f>
        <v>35.47</v>
      </c>
      <c r="L520" s="28"/>
    </row>
    <row r="521">
      <c r="A521" s="40" t="str">
        <f t="shared" si="1"/>
        <v/>
      </c>
      <c r="B521" s="40"/>
      <c r="C521" s="40"/>
      <c r="D521" s="41" t="str">
        <f t="shared" si="2"/>
        <v/>
      </c>
      <c r="E521" s="40"/>
      <c r="F521" s="42"/>
      <c r="G521" s="40"/>
      <c r="H521" s="40"/>
      <c r="I521" s="40"/>
      <c r="J521" s="43"/>
      <c r="K521" s="43">
        <f>IF(I521="Professional Billing Rate",J521,'Lists &amp; Settings'!$E$2)</f>
        <v>35.47</v>
      </c>
      <c r="L521" s="40"/>
    </row>
    <row r="522">
      <c r="A522" s="28" t="str">
        <f t="shared" si="1"/>
        <v/>
      </c>
      <c r="B522" s="28"/>
      <c r="C522" s="28"/>
      <c r="D522" s="26" t="str">
        <f t="shared" si="2"/>
        <v/>
      </c>
      <c r="E522" s="28"/>
      <c r="F522" s="35"/>
      <c r="G522" s="28"/>
      <c r="H522" s="28"/>
      <c r="I522" s="28"/>
      <c r="J522" s="37"/>
      <c r="K522" s="37">
        <f>IF(I522="Professional Billing Rate",J522,'Lists &amp; Settings'!$E$2)</f>
        <v>35.47</v>
      </c>
      <c r="L522" s="28"/>
    </row>
    <row r="523">
      <c r="A523" s="40" t="str">
        <f t="shared" si="1"/>
        <v/>
      </c>
      <c r="B523" s="40"/>
      <c r="C523" s="40"/>
      <c r="D523" s="41" t="str">
        <f t="shared" si="2"/>
        <v/>
      </c>
      <c r="E523" s="40"/>
      <c r="F523" s="42"/>
      <c r="G523" s="40"/>
      <c r="H523" s="40"/>
      <c r="I523" s="40"/>
      <c r="J523" s="43"/>
      <c r="K523" s="43">
        <f>IF(I523="Professional Billing Rate",J523,'Lists &amp; Settings'!$E$2)</f>
        <v>35.47</v>
      </c>
      <c r="L523" s="40"/>
    </row>
    <row r="524">
      <c r="A524" s="28" t="str">
        <f t="shared" si="1"/>
        <v/>
      </c>
      <c r="B524" s="28"/>
      <c r="C524" s="28"/>
      <c r="D524" s="26" t="str">
        <f t="shared" si="2"/>
        <v/>
      </c>
      <c r="E524" s="28"/>
      <c r="F524" s="35"/>
      <c r="G524" s="28"/>
      <c r="H524" s="28"/>
      <c r="I524" s="28"/>
      <c r="J524" s="37"/>
      <c r="K524" s="37">
        <f>IF(I524="Professional Billing Rate",J524,'Lists &amp; Settings'!$E$2)</f>
        <v>35.47</v>
      </c>
      <c r="L524" s="28"/>
    </row>
    <row r="525">
      <c r="A525" s="40" t="str">
        <f t="shared" si="1"/>
        <v/>
      </c>
      <c r="B525" s="40"/>
      <c r="C525" s="40"/>
      <c r="D525" s="41" t="str">
        <f t="shared" si="2"/>
        <v/>
      </c>
      <c r="E525" s="40"/>
      <c r="F525" s="42"/>
      <c r="G525" s="40"/>
      <c r="H525" s="40"/>
      <c r="I525" s="40"/>
      <c r="J525" s="43"/>
      <c r="K525" s="43">
        <f>IF(I525="Professional Billing Rate",J525,'Lists &amp; Settings'!$E$2)</f>
        <v>35.47</v>
      </c>
      <c r="L525" s="40"/>
    </row>
    <row r="526">
      <c r="A526" s="28" t="str">
        <f t="shared" si="1"/>
        <v/>
      </c>
      <c r="B526" s="28"/>
      <c r="C526" s="28"/>
      <c r="D526" s="26" t="str">
        <f t="shared" si="2"/>
        <v/>
      </c>
      <c r="E526" s="28"/>
      <c r="F526" s="35"/>
      <c r="G526" s="28"/>
      <c r="H526" s="28"/>
      <c r="I526" s="28"/>
      <c r="J526" s="37"/>
      <c r="K526" s="37">
        <f>IF(I526="Professional Billing Rate",J526,'Lists &amp; Settings'!$E$2)</f>
        <v>35.47</v>
      </c>
      <c r="L526" s="28"/>
    </row>
    <row r="527">
      <c r="A527" s="40" t="str">
        <f t="shared" si="1"/>
        <v/>
      </c>
      <c r="B527" s="40"/>
      <c r="C527" s="40"/>
      <c r="D527" s="41" t="str">
        <f t="shared" si="2"/>
        <v/>
      </c>
      <c r="E527" s="40"/>
      <c r="F527" s="42"/>
      <c r="G527" s="40"/>
      <c r="H527" s="40"/>
      <c r="I527" s="40"/>
      <c r="J527" s="43"/>
      <c r="K527" s="43">
        <f>IF(I527="Professional Billing Rate",J527,'Lists &amp; Settings'!$E$2)</f>
        <v>35.47</v>
      </c>
      <c r="L527" s="40"/>
    </row>
    <row r="528">
      <c r="A528" s="28" t="str">
        <f t="shared" si="1"/>
        <v/>
      </c>
      <c r="B528" s="28"/>
      <c r="C528" s="28"/>
      <c r="D528" s="26" t="str">
        <f t="shared" si="2"/>
        <v/>
      </c>
      <c r="E528" s="28"/>
      <c r="F528" s="35"/>
      <c r="G528" s="28"/>
      <c r="H528" s="28"/>
      <c r="I528" s="28"/>
      <c r="J528" s="37"/>
      <c r="K528" s="37">
        <f>IF(I528="Professional Billing Rate",J528,'Lists &amp; Settings'!$E$2)</f>
        <v>35.47</v>
      </c>
      <c r="L528" s="28"/>
    </row>
    <row r="529">
      <c r="A529" s="40" t="str">
        <f t="shared" si="1"/>
        <v/>
      </c>
      <c r="B529" s="40"/>
      <c r="C529" s="40"/>
      <c r="D529" s="41" t="str">
        <f t="shared" si="2"/>
        <v/>
      </c>
      <c r="E529" s="40"/>
      <c r="F529" s="42"/>
      <c r="G529" s="40"/>
      <c r="H529" s="40"/>
      <c r="I529" s="40"/>
      <c r="J529" s="43"/>
      <c r="K529" s="43">
        <f>IF(I529="Professional Billing Rate",J529,'Lists &amp; Settings'!$E$2)</f>
        <v>35.47</v>
      </c>
      <c r="L529" s="40"/>
    </row>
    <row r="530">
      <c r="A530" s="28" t="str">
        <f t="shared" si="1"/>
        <v/>
      </c>
      <c r="B530" s="28"/>
      <c r="C530" s="28"/>
      <c r="D530" s="26" t="str">
        <f t="shared" si="2"/>
        <v/>
      </c>
      <c r="E530" s="28"/>
      <c r="F530" s="35"/>
      <c r="G530" s="28"/>
      <c r="H530" s="28"/>
      <c r="I530" s="28"/>
      <c r="J530" s="37"/>
      <c r="K530" s="37">
        <f>IF(I530="Professional Billing Rate",J530,'Lists &amp; Settings'!$E$2)</f>
        <v>35.47</v>
      </c>
      <c r="L530" s="28"/>
    </row>
    <row r="531">
      <c r="A531" s="40" t="str">
        <f t="shared" si="1"/>
        <v/>
      </c>
      <c r="B531" s="40"/>
      <c r="C531" s="40"/>
      <c r="D531" s="41" t="str">
        <f t="shared" si="2"/>
        <v/>
      </c>
      <c r="E531" s="40"/>
      <c r="F531" s="42"/>
      <c r="G531" s="40"/>
      <c r="H531" s="40"/>
      <c r="I531" s="40"/>
      <c r="J531" s="43"/>
      <c r="K531" s="43">
        <f>IF(I531="Professional Billing Rate",J531,'Lists &amp; Settings'!$E$2)</f>
        <v>35.47</v>
      </c>
      <c r="L531" s="40"/>
    </row>
    <row r="532">
      <c r="A532" s="28" t="str">
        <f t="shared" si="1"/>
        <v/>
      </c>
      <c r="B532" s="28"/>
      <c r="C532" s="28"/>
      <c r="D532" s="26" t="str">
        <f t="shared" si="2"/>
        <v/>
      </c>
      <c r="E532" s="28"/>
      <c r="F532" s="35"/>
      <c r="G532" s="28"/>
      <c r="H532" s="28"/>
      <c r="I532" s="28"/>
      <c r="J532" s="37"/>
      <c r="K532" s="37">
        <f>IF(I532="Professional Billing Rate",J532,'Lists &amp; Settings'!$E$2)</f>
        <v>35.47</v>
      </c>
      <c r="L532" s="28"/>
    </row>
    <row r="533">
      <c r="A533" s="40" t="str">
        <f t="shared" si="1"/>
        <v/>
      </c>
      <c r="B533" s="40"/>
      <c r="C533" s="40"/>
      <c r="D533" s="41" t="str">
        <f t="shared" si="2"/>
        <v/>
      </c>
      <c r="E533" s="40"/>
      <c r="F533" s="42"/>
      <c r="G533" s="40"/>
      <c r="H533" s="40"/>
      <c r="I533" s="40"/>
      <c r="J533" s="43"/>
      <c r="K533" s="43">
        <f>IF(I533="Professional Billing Rate",J533,'Lists &amp; Settings'!$E$2)</f>
        <v>35.47</v>
      </c>
      <c r="L533" s="40"/>
    </row>
    <row r="534">
      <c r="A534" s="28" t="str">
        <f t="shared" si="1"/>
        <v/>
      </c>
      <c r="B534" s="28"/>
      <c r="C534" s="28"/>
      <c r="D534" s="26" t="str">
        <f t="shared" si="2"/>
        <v/>
      </c>
      <c r="E534" s="28"/>
      <c r="F534" s="35"/>
      <c r="G534" s="28"/>
      <c r="H534" s="28"/>
      <c r="I534" s="28"/>
      <c r="J534" s="37"/>
      <c r="K534" s="37">
        <f>IF(I534="Professional Billing Rate",J534,'Lists &amp; Settings'!$E$2)</f>
        <v>35.47</v>
      </c>
      <c r="L534" s="28"/>
    </row>
    <row r="535">
      <c r="A535" s="40" t="str">
        <f t="shared" si="1"/>
        <v/>
      </c>
      <c r="B535" s="40"/>
      <c r="C535" s="40"/>
      <c r="D535" s="41" t="str">
        <f t="shared" si="2"/>
        <v/>
      </c>
      <c r="E535" s="40"/>
      <c r="F535" s="42"/>
      <c r="G535" s="40"/>
      <c r="H535" s="40"/>
      <c r="I535" s="40"/>
      <c r="J535" s="43"/>
      <c r="K535" s="43">
        <f>IF(I535="Professional Billing Rate",J535,'Lists &amp; Settings'!$E$2)</f>
        <v>35.47</v>
      </c>
      <c r="L535" s="40"/>
    </row>
    <row r="536">
      <c r="A536" s="28" t="str">
        <f t="shared" si="1"/>
        <v/>
      </c>
      <c r="B536" s="28"/>
      <c r="C536" s="28"/>
      <c r="D536" s="26" t="str">
        <f t="shared" si="2"/>
        <v/>
      </c>
      <c r="E536" s="28"/>
      <c r="F536" s="35"/>
      <c r="G536" s="28"/>
      <c r="H536" s="28"/>
      <c r="I536" s="28"/>
      <c r="J536" s="37"/>
      <c r="K536" s="37">
        <f>IF(I536="Professional Billing Rate",J536,'Lists &amp; Settings'!$E$2)</f>
        <v>35.47</v>
      </c>
      <c r="L536" s="28"/>
    </row>
    <row r="537">
      <c r="A537" s="40" t="str">
        <f t="shared" si="1"/>
        <v/>
      </c>
      <c r="B537" s="40"/>
      <c r="C537" s="40"/>
      <c r="D537" s="41" t="str">
        <f t="shared" si="2"/>
        <v/>
      </c>
      <c r="E537" s="40"/>
      <c r="F537" s="42"/>
      <c r="G537" s="40"/>
      <c r="H537" s="40"/>
      <c r="I537" s="40"/>
      <c r="J537" s="43"/>
      <c r="K537" s="43">
        <f>IF(I537="Professional Billing Rate",J537,'Lists &amp; Settings'!$E$2)</f>
        <v>35.47</v>
      </c>
      <c r="L537" s="40"/>
    </row>
    <row r="538">
      <c r="A538" s="28" t="str">
        <f t="shared" si="1"/>
        <v/>
      </c>
      <c r="B538" s="28"/>
      <c r="C538" s="28"/>
      <c r="D538" s="26" t="str">
        <f t="shared" si="2"/>
        <v/>
      </c>
      <c r="E538" s="28"/>
      <c r="F538" s="35"/>
      <c r="G538" s="28"/>
      <c r="H538" s="28"/>
      <c r="I538" s="28"/>
      <c r="J538" s="37"/>
      <c r="K538" s="37">
        <f>IF(I538="Professional Billing Rate",J538,'Lists &amp; Settings'!$E$2)</f>
        <v>35.47</v>
      </c>
      <c r="L538" s="28"/>
    </row>
    <row r="539">
      <c r="A539" s="40" t="str">
        <f t="shared" si="1"/>
        <v/>
      </c>
      <c r="B539" s="40"/>
      <c r="C539" s="40"/>
      <c r="D539" s="41" t="str">
        <f t="shared" si="2"/>
        <v/>
      </c>
      <c r="E539" s="40"/>
      <c r="F539" s="42"/>
      <c r="G539" s="40"/>
      <c r="H539" s="40"/>
      <c r="I539" s="40"/>
      <c r="J539" s="43"/>
      <c r="K539" s="43">
        <f>IF(I539="Professional Billing Rate",J539,'Lists &amp; Settings'!$E$2)</f>
        <v>35.47</v>
      </c>
      <c r="L539" s="40"/>
    </row>
    <row r="540">
      <c r="A540" s="28" t="str">
        <f t="shared" si="1"/>
        <v/>
      </c>
      <c r="B540" s="28"/>
      <c r="C540" s="28"/>
      <c r="D540" s="26" t="str">
        <f t="shared" si="2"/>
        <v/>
      </c>
      <c r="E540" s="28"/>
      <c r="F540" s="35"/>
      <c r="G540" s="28"/>
      <c r="H540" s="28"/>
      <c r="I540" s="28"/>
      <c r="J540" s="37"/>
      <c r="K540" s="37">
        <f>IF(I540="Professional Billing Rate",J540,'Lists &amp; Settings'!$E$2)</f>
        <v>35.47</v>
      </c>
      <c r="L540" s="28"/>
    </row>
    <row r="541">
      <c r="A541" s="40" t="str">
        <f t="shared" si="1"/>
        <v/>
      </c>
      <c r="B541" s="40"/>
      <c r="C541" s="40"/>
      <c r="D541" s="41" t="str">
        <f t="shared" si="2"/>
        <v/>
      </c>
      <c r="E541" s="40"/>
      <c r="F541" s="42"/>
      <c r="G541" s="40"/>
      <c r="H541" s="40"/>
      <c r="I541" s="40"/>
      <c r="J541" s="43"/>
      <c r="K541" s="43">
        <f>IF(I541="Professional Billing Rate",J541,'Lists &amp; Settings'!$E$2)</f>
        <v>35.47</v>
      </c>
      <c r="L541" s="40"/>
    </row>
    <row r="542">
      <c r="A542" s="28" t="str">
        <f t="shared" si="1"/>
        <v/>
      </c>
      <c r="B542" s="28"/>
      <c r="C542" s="28"/>
      <c r="D542" s="26" t="str">
        <f t="shared" si="2"/>
        <v/>
      </c>
      <c r="E542" s="28"/>
      <c r="F542" s="35"/>
      <c r="G542" s="28"/>
      <c r="H542" s="28"/>
      <c r="I542" s="28"/>
      <c r="J542" s="37"/>
      <c r="K542" s="37">
        <f>IF(I542="Professional Billing Rate",J542,'Lists &amp; Settings'!$E$2)</f>
        <v>35.47</v>
      </c>
      <c r="L542" s="28"/>
    </row>
    <row r="543">
      <c r="A543" s="40" t="str">
        <f t="shared" si="1"/>
        <v/>
      </c>
      <c r="B543" s="40"/>
      <c r="C543" s="40"/>
      <c r="D543" s="41" t="str">
        <f t="shared" si="2"/>
        <v/>
      </c>
      <c r="E543" s="40"/>
      <c r="F543" s="42"/>
      <c r="G543" s="40"/>
      <c r="H543" s="40"/>
      <c r="I543" s="40"/>
      <c r="J543" s="43"/>
      <c r="K543" s="43">
        <f>IF(I543="Professional Billing Rate",J543,'Lists &amp; Settings'!$E$2)</f>
        <v>35.47</v>
      </c>
      <c r="L543" s="40"/>
    </row>
    <row r="544">
      <c r="A544" s="28" t="str">
        <f t="shared" si="1"/>
        <v/>
      </c>
      <c r="B544" s="28"/>
      <c r="C544" s="28"/>
      <c r="D544" s="26" t="str">
        <f t="shared" si="2"/>
        <v/>
      </c>
      <c r="E544" s="28"/>
      <c r="F544" s="35"/>
      <c r="G544" s="28"/>
      <c r="H544" s="28"/>
      <c r="I544" s="28"/>
      <c r="J544" s="37"/>
      <c r="K544" s="37">
        <f>IF(I544="Professional Billing Rate",J544,'Lists &amp; Settings'!$E$2)</f>
        <v>35.47</v>
      </c>
      <c r="L544" s="28"/>
    </row>
    <row r="545">
      <c r="A545" s="40" t="str">
        <f t="shared" si="1"/>
        <v/>
      </c>
      <c r="B545" s="40"/>
      <c r="C545" s="40"/>
      <c r="D545" s="41" t="str">
        <f t="shared" si="2"/>
        <v/>
      </c>
      <c r="E545" s="40"/>
      <c r="F545" s="42"/>
      <c r="G545" s="40"/>
      <c r="H545" s="40"/>
      <c r="I545" s="40"/>
      <c r="J545" s="43"/>
      <c r="K545" s="43">
        <f>IF(I545="Professional Billing Rate",J545,'Lists &amp; Settings'!$E$2)</f>
        <v>35.47</v>
      </c>
      <c r="L545" s="40"/>
    </row>
    <row r="546">
      <c r="A546" s="28" t="str">
        <f t="shared" si="1"/>
        <v/>
      </c>
      <c r="B546" s="28"/>
      <c r="C546" s="28"/>
      <c r="D546" s="26" t="str">
        <f t="shared" si="2"/>
        <v/>
      </c>
      <c r="E546" s="28"/>
      <c r="F546" s="35"/>
      <c r="G546" s="28"/>
      <c r="H546" s="28"/>
      <c r="I546" s="28"/>
      <c r="J546" s="37"/>
      <c r="K546" s="37">
        <f>IF(I546="Professional Billing Rate",J546,'Lists &amp; Settings'!$E$2)</f>
        <v>35.47</v>
      </c>
      <c r="L546" s="28"/>
    </row>
    <row r="547">
      <c r="A547" s="40" t="str">
        <f t="shared" si="1"/>
        <v/>
      </c>
      <c r="B547" s="40"/>
      <c r="C547" s="40"/>
      <c r="D547" s="41" t="str">
        <f t="shared" si="2"/>
        <v/>
      </c>
      <c r="E547" s="40"/>
      <c r="F547" s="42"/>
      <c r="G547" s="40"/>
      <c r="H547" s="40"/>
      <c r="I547" s="40"/>
      <c r="J547" s="43"/>
      <c r="K547" s="43">
        <f>IF(I547="Professional Billing Rate",J547,'Lists &amp; Settings'!$E$2)</f>
        <v>35.47</v>
      </c>
      <c r="L547" s="40"/>
    </row>
    <row r="548">
      <c r="A548" s="28" t="str">
        <f t="shared" si="1"/>
        <v/>
      </c>
      <c r="B548" s="28"/>
      <c r="C548" s="28"/>
      <c r="D548" s="26" t="str">
        <f t="shared" si="2"/>
        <v/>
      </c>
      <c r="E548" s="28"/>
      <c r="F548" s="35"/>
      <c r="G548" s="28"/>
      <c r="H548" s="28"/>
      <c r="I548" s="28"/>
      <c r="J548" s="37"/>
      <c r="K548" s="37">
        <f>IF(I548="Professional Billing Rate",J548,'Lists &amp; Settings'!$E$2)</f>
        <v>35.47</v>
      </c>
      <c r="L548" s="28"/>
    </row>
    <row r="549">
      <c r="A549" s="40" t="str">
        <f t="shared" si="1"/>
        <v/>
      </c>
      <c r="B549" s="40"/>
      <c r="C549" s="40"/>
      <c r="D549" s="41" t="str">
        <f t="shared" si="2"/>
        <v/>
      </c>
      <c r="E549" s="40"/>
      <c r="F549" s="42"/>
      <c r="G549" s="40"/>
      <c r="H549" s="40"/>
      <c r="I549" s="40"/>
      <c r="J549" s="43"/>
      <c r="K549" s="43">
        <f>IF(I549="Professional Billing Rate",J549,'Lists &amp; Settings'!$E$2)</f>
        <v>35.47</v>
      </c>
      <c r="L549" s="40"/>
    </row>
    <row r="550">
      <c r="A550" s="28" t="str">
        <f t="shared" si="1"/>
        <v/>
      </c>
      <c r="B550" s="28"/>
      <c r="C550" s="28"/>
      <c r="D550" s="26" t="str">
        <f t="shared" si="2"/>
        <v/>
      </c>
      <c r="E550" s="28"/>
      <c r="F550" s="35"/>
      <c r="G550" s="28"/>
      <c r="H550" s="28"/>
      <c r="I550" s="28"/>
      <c r="J550" s="37"/>
      <c r="K550" s="37">
        <f>IF(I550="Professional Billing Rate",J550,'Lists &amp; Settings'!$E$2)</f>
        <v>35.47</v>
      </c>
      <c r="L550" s="28"/>
    </row>
    <row r="551">
      <c r="A551" s="40" t="str">
        <f t="shared" si="1"/>
        <v/>
      </c>
      <c r="B551" s="40"/>
      <c r="C551" s="40"/>
      <c r="D551" s="41" t="str">
        <f t="shared" si="2"/>
        <v/>
      </c>
      <c r="E551" s="40"/>
      <c r="F551" s="42"/>
      <c r="G551" s="40"/>
      <c r="H551" s="40"/>
      <c r="I551" s="40"/>
      <c r="J551" s="43"/>
      <c r="K551" s="43">
        <f>IF(I551="Professional Billing Rate",J551,'Lists &amp; Settings'!$E$2)</f>
        <v>35.47</v>
      </c>
      <c r="L551" s="40"/>
    </row>
    <row r="552">
      <c r="A552" s="28" t="str">
        <f t="shared" si="1"/>
        <v/>
      </c>
      <c r="B552" s="28"/>
      <c r="C552" s="28"/>
      <c r="D552" s="26" t="str">
        <f t="shared" si="2"/>
        <v/>
      </c>
      <c r="E552" s="28"/>
      <c r="F552" s="35"/>
      <c r="G552" s="28"/>
      <c r="H552" s="28"/>
      <c r="I552" s="28"/>
      <c r="J552" s="37"/>
      <c r="K552" s="37">
        <f>IF(I552="Professional Billing Rate",J552,'Lists &amp; Settings'!$E$2)</f>
        <v>35.47</v>
      </c>
      <c r="L552" s="28"/>
    </row>
    <row r="553">
      <c r="A553" s="40" t="str">
        <f t="shared" si="1"/>
        <v/>
      </c>
      <c r="B553" s="40"/>
      <c r="C553" s="40"/>
      <c r="D553" s="41" t="str">
        <f t="shared" si="2"/>
        <v/>
      </c>
      <c r="E553" s="40"/>
      <c r="F553" s="42"/>
      <c r="G553" s="40"/>
      <c r="H553" s="40"/>
      <c r="I553" s="40"/>
      <c r="J553" s="43"/>
      <c r="K553" s="43">
        <f>IF(I553="Professional Billing Rate",J553,'Lists &amp; Settings'!$E$2)</f>
        <v>35.47</v>
      </c>
      <c r="L553" s="40"/>
    </row>
    <row r="554">
      <c r="A554" s="28" t="str">
        <f t="shared" si="1"/>
        <v/>
      </c>
      <c r="B554" s="28"/>
      <c r="C554" s="28"/>
      <c r="D554" s="26" t="str">
        <f t="shared" si="2"/>
        <v/>
      </c>
      <c r="E554" s="28"/>
      <c r="F554" s="35"/>
      <c r="G554" s="28"/>
      <c r="H554" s="28"/>
      <c r="I554" s="28"/>
      <c r="J554" s="37"/>
      <c r="K554" s="37">
        <f>IF(I554="Professional Billing Rate",J554,'Lists &amp; Settings'!$E$2)</f>
        <v>35.47</v>
      </c>
      <c r="L554" s="28"/>
    </row>
    <row r="555">
      <c r="A555" s="40" t="str">
        <f t="shared" si="1"/>
        <v/>
      </c>
      <c r="B555" s="40"/>
      <c r="C555" s="40"/>
      <c r="D555" s="41" t="str">
        <f t="shared" si="2"/>
        <v/>
      </c>
      <c r="E555" s="40"/>
      <c r="F555" s="42"/>
      <c r="G555" s="40"/>
      <c r="H555" s="40"/>
      <c r="I555" s="40"/>
      <c r="J555" s="43"/>
      <c r="K555" s="43">
        <f>IF(I555="Professional Billing Rate",J555,'Lists &amp; Settings'!$E$2)</f>
        <v>35.47</v>
      </c>
      <c r="L555" s="40"/>
    </row>
    <row r="556">
      <c r="A556" s="28" t="str">
        <f t="shared" si="1"/>
        <v/>
      </c>
      <c r="B556" s="28"/>
      <c r="C556" s="28"/>
      <c r="D556" s="26" t="str">
        <f t="shared" si="2"/>
        <v/>
      </c>
      <c r="E556" s="28"/>
      <c r="F556" s="35"/>
      <c r="G556" s="28"/>
      <c r="H556" s="28"/>
      <c r="I556" s="28"/>
      <c r="J556" s="37"/>
      <c r="K556" s="37">
        <f>IF(I556="Professional Billing Rate",J556,'Lists &amp; Settings'!$E$2)</f>
        <v>35.47</v>
      </c>
      <c r="L556" s="28"/>
    </row>
    <row r="557">
      <c r="A557" s="40" t="str">
        <f t="shared" si="1"/>
        <v/>
      </c>
      <c r="B557" s="40"/>
      <c r="C557" s="40"/>
      <c r="D557" s="41" t="str">
        <f t="shared" si="2"/>
        <v/>
      </c>
      <c r="E557" s="40"/>
      <c r="F557" s="42"/>
      <c r="G557" s="40"/>
      <c r="H557" s="40"/>
      <c r="I557" s="40"/>
      <c r="J557" s="43"/>
      <c r="K557" s="43">
        <f>IF(I557="Professional Billing Rate",J557,'Lists &amp; Settings'!$E$2)</f>
        <v>35.47</v>
      </c>
      <c r="L557" s="40"/>
    </row>
    <row r="558">
      <c r="A558" s="28" t="str">
        <f t="shared" si="1"/>
        <v/>
      </c>
      <c r="B558" s="28"/>
      <c r="C558" s="28"/>
      <c r="D558" s="26" t="str">
        <f t="shared" si="2"/>
        <v/>
      </c>
      <c r="E558" s="28"/>
      <c r="F558" s="35"/>
      <c r="G558" s="28"/>
      <c r="H558" s="28"/>
      <c r="I558" s="28"/>
      <c r="J558" s="37"/>
      <c r="K558" s="37">
        <f>IF(I558="Professional Billing Rate",J558,'Lists &amp; Settings'!$E$2)</f>
        <v>35.47</v>
      </c>
      <c r="L558" s="28"/>
    </row>
    <row r="559">
      <c r="A559" s="40" t="str">
        <f t="shared" si="1"/>
        <v/>
      </c>
      <c r="B559" s="40"/>
      <c r="C559" s="40"/>
      <c r="D559" s="41" t="str">
        <f t="shared" si="2"/>
        <v/>
      </c>
      <c r="E559" s="40"/>
      <c r="F559" s="42"/>
      <c r="G559" s="40"/>
      <c r="H559" s="40"/>
      <c r="I559" s="40"/>
      <c r="J559" s="43"/>
      <c r="K559" s="43">
        <f>IF(I559="Professional Billing Rate",J559,'Lists &amp; Settings'!$E$2)</f>
        <v>35.47</v>
      </c>
      <c r="L559" s="40"/>
    </row>
    <row r="560">
      <c r="A560" s="28" t="str">
        <f t="shared" si="1"/>
        <v/>
      </c>
      <c r="B560" s="28"/>
      <c r="C560" s="28"/>
      <c r="D560" s="26" t="str">
        <f t="shared" si="2"/>
        <v/>
      </c>
      <c r="E560" s="28"/>
      <c r="F560" s="35"/>
      <c r="G560" s="28"/>
      <c r="H560" s="28"/>
      <c r="I560" s="28"/>
      <c r="J560" s="37"/>
      <c r="K560" s="37">
        <f>IF(I560="Professional Billing Rate",J560,'Lists &amp; Settings'!$E$2)</f>
        <v>35.47</v>
      </c>
      <c r="L560" s="28"/>
    </row>
    <row r="561">
      <c r="A561" s="40" t="str">
        <f t="shared" si="1"/>
        <v/>
      </c>
      <c r="B561" s="40"/>
      <c r="C561" s="40"/>
      <c r="D561" s="41" t="str">
        <f t="shared" si="2"/>
        <v/>
      </c>
      <c r="E561" s="40"/>
      <c r="F561" s="42"/>
      <c r="G561" s="40"/>
      <c r="H561" s="40"/>
      <c r="I561" s="40"/>
      <c r="J561" s="43"/>
      <c r="K561" s="43">
        <f>IF(I561="Professional Billing Rate",J561,'Lists &amp; Settings'!$E$2)</f>
        <v>35.47</v>
      </c>
      <c r="L561" s="40"/>
    </row>
    <row r="562">
      <c r="A562" s="28" t="str">
        <f t="shared" si="1"/>
        <v/>
      </c>
      <c r="B562" s="28"/>
      <c r="C562" s="28"/>
      <c r="D562" s="26" t="str">
        <f t="shared" si="2"/>
        <v/>
      </c>
      <c r="E562" s="28"/>
      <c r="F562" s="35"/>
      <c r="G562" s="28"/>
      <c r="H562" s="28"/>
      <c r="I562" s="28"/>
      <c r="J562" s="37"/>
      <c r="K562" s="37">
        <f>IF(I562="Professional Billing Rate",J562,'Lists &amp; Settings'!$E$2)</f>
        <v>35.47</v>
      </c>
      <c r="L562" s="28"/>
    </row>
    <row r="563">
      <c r="A563" s="40" t="str">
        <f t="shared" si="1"/>
        <v/>
      </c>
      <c r="B563" s="40"/>
      <c r="C563" s="40"/>
      <c r="D563" s="41" t="str">
        <f t="shared" si="2"/>
        <v/>
      </c>
      <c r="E563" s="40"/>
      <c r="F563" s="42"/>
      <c r="G563" s="40"/>
      <c r="H563" s="40"/>
      <c r="I563" s="40"/>
      <c r="J563" s="43"/>
      <c r="K563" s="43">
        <f>IF(I563="Professional Billing Rate",J563,'Lists &amp; Settings'!$E$2)</f>
        <v>35.47</v>
      </c>
      <c r="L563" s="40"/>
    </row>
    <row r="564">
      <c r="A564" s="28" t="str">
        <f t="shared" si="1"/>
        <v/>
      </c>
      <c r="B564" s="28"/>
      <c r="C564" s="28"/>
      <c r="D564" s="26" t="str">
        <f t="shared" si="2"/>
        <v/>
      </c>
      <c r="E564" s="28"/>
      <c r="F564" s="35"/>
      <c r="G564" s="28"/>
      <c r="H564" s="28"/>
      <c r="I564" s="28"/>
      <c r="J564" s="37"/>
      <c r="K564" s="37">
        <f>IF(I564="Professional Billing Rate",J564,'Lists &amp; Settings'!$E$2)</f>
        <v>35.47</v>
      </c>
      <c r="L564" s="28"/>
    </row>
    <row r="565">
      <c r="A565" s="40" t="str">
        <f t="shared" si="1"/>
        <v/>
      </c>
      <c r="B565" s="40"/>
      <c r="C565" s="40"/>
      <c r="D565" s="41" t="str">
        <f t="shared" si="2"/>
        <v/>
      </c>
      <c r="E565" s="40"/>
      <c r="F565" s="42"/>
      <c r="G565" s="40"/>
      <c r="H565" s="40"/>
      <c r="I565" s="40"/>
      <c r="J565" s="43"/>
      <c r="K565" s="43">
        <f>IF(I565="Professional Billing Rate",J565,'Lists &amp; Settings'!$E$2)</f>
        <v>35.47</v>
      </c>
      <c r="L565" s="40"/>
    </row>
    <row r="566">
      <c r="A566" s="28" t="str">
        <f t="shared" si="1"/>
        <v/>
      </c>
      <c r="B566" s="28"/>
      <c r="C566" s="28"/>
      <c r="D566" s="26" t="str">
        <f t="shared" si="2"/>
        <v/>
      </c>
      <c r="E566" s="28"/>
      <c r="F566" s="35"/>
      <c r="G566" s="28"/>
      <c r="H566" s="28"/>
      <c r="I566" s="28"/>
      <c r="J566" s="37"/>
      <c r="K566" s="37">
        <f>IF(I566="Professional Billing Rate",J566,'Lists &amp; Settings'!$E$2)</f>
        <v>35.47</v>
      </c>
      <c r="L566" s="28"/>
    </row>
    <row r="567">
      <c r="A567" s="40" t="str">
        <f t="shared" si="1"/>
        <v/>
      </c>
      <c r="B567" s="40"/>
      <c r="C567" s="40"/>
      <c r="D567" s="41" t="str">
        <f t="shared" si="2"/>
        <v/>
      </c>
      <c r="E567" s="40"/>
      <c r="F567" s="42"/>
      <c r="G567" s="40"/>
      <c r="H567" s="40"/>
      <c r="I567" s="40"/>
      <c r="J567" s="43"/>
      <c r="K567" s="43">
        <f>IF(I567="Professional Billing Rate",J567,'Lists &amp; Settings'!$E$2)</f>
        <v>35.47</v>
      </c>
      <c r="L567" s="40"/>
    </row>
    <row r="568">
      <c r="A568" s="28" t="str">
        <f t="shared" si="1"/>
        <v/>
      </c>
      <c r="B568" s="28"/>
      <c r="C568" s="28"/>
      <c r="D568" s="26" t="str">
        <f t="shared" si="2"/>
        <v/>
      </c>
      <c r="E568" s="28"/>
      <c r="F568" s="35"/>
      <c r="G568" s="28"/>
      <c r="H568" s="28"/>
      <c r="I568" s="28"/>
      <c r="J568" s="37"/>
      <c r="K568" s="37">
        <f>IF(I568="Professional Billing Rate",J568,'Lists &amp; Settings'!$E$2)</f>
        <v>35.47</v>
      </c>
      <c r="L568" s="28"/>
    </row>
    <row r="569">
      <c r="A569" s="40" t="str">
        <f t="shared" si="1"/>
        <v/>
      </c>
      <c r="B569" s="40"/>
      <c r="C569" s="40"/>
      <c r="D569" s="41" t="str">
        <f t="shared" si="2"/>
        <v/>
      </c>
      <c r="E569" s="40"/>
      <c r="F569" s="42"/>
      <c r="G569" s="40"/>
      <c r="H569" s="40"/>
      <c r="I569" s="40"/>
      <c r="J569" s="43"/>
      <c r="K569" s="43">
        <f>IF(I569="Professional Billing Rate",J569,'Lists &amp; Settings'!$E$2)</f>
        <v>35.47</v>
      </c>
      <c r="L569" s="40"/>
    </row>
    <row r="570">
      <c r="A570" s="28" t="str">
        <f t="shared" si="1"/>
        <v/>
      </c>
      <c r="B570" s="28"/>
      <c r="C570" s="28"/>
      <c r="D570" s="26" t="str">
        <f t="shared" si="2"/>
        <v/>
      </c>
      <c r="E570" s="28"/>
      <c r="F570" s="35"/>
      <c r="G570" s="28"/>
      <c r="H570" s="28"/>
      <c r="I570" s="28"/>
      <c r="J570" s="37"/>
      <c r="K570" s="37">
        <f>IF(I570="Professional Billing Rate",J570,'Lists &amp; Settings'!$E$2)</f>
        <v>35.47</v>
      </c>
      <c r="L570" s="28"/>
    </row>
    <row r="571">
      <c r="A571" s="40" t="str">
        <f t="shared" si="1"/>
        <v/>
      </c>
      <c r="B571" s="40"/>
      <c r="C571" s="40"/>
      <c r="D571" s="41" t="str">
        <f t="shared" si="2"/>
        <v/>
      </c>
      <c r="E571" s="40"/>
      <c r="F571" s="42"/>
      <c r="G571" s="40"/>
      <c r="H571" s="40"/>
      <c r="I571" s="40"/>
      <c r="J571" s="43"/>
      <c r="K571" s="43">
        <f>IF(I571="Professional Billing Rate",J571,'Lists &amp; Settings'!$E$2)</f>
        <v>35.47</v>
      </c>
      <c r="L571" s="40"/>
    </row>
    <row r="572">
      <c r="A572" s="28" t="str">
        <f t="shared" si="1"/>
        <v/>
      </c>
      <c r="B572" s="28"/>
      <c r="C572" s="28"/>
      <c r="D572" s="26" t="str">
        <f t="shared" si="2"/>
        <v/>
      </c>
      <c r="E572" s="28"/>
      <c r="F572" s="35"/>
      <c r="G572" s="28"/>
      <c r="H572" s="28"/>
      <c r="I572" s="28"/>
      <c r="J572" s="37"/>
      <c r="K572" s="37">
        <f>IF(I572="Professional Billing Rate",J572,'Lists &amp; Settings'!$E$2)</f>
        <v>35.47</v>
      </c>
      <c r="L572" s="28"/>
    </row>
    <row r="573">
      <c r="A573" s="40" t="str">
        <f t="shared" si="1"/>
        <v/>
      </c>
      <c r="B573" s="40"/>
      <c r="C573" s="40"/>
      <c r="D573" s="41" t="str">
        <f t="shared" si="2"/>
        <v/>
      </c>
      <c r="E573" s="40"/>
      <c r="F573" s="42"/>
      <c r="G573" s="40"/>
      <c r="H573" s="40"/>
      <c r="I573" s="40"/>
      <c r="J573" s="43"/>
      <c r="K573" s="43">
        <f>IF(I573="Professional Billing Rate",J573,'Lists &amp; Settings'!$E$2)</f>
        <v>35.47</v>
      </c>
      <c r="L573" s="40"/>
    </row>
    <row r="574">
      <c r="A574" s="28" t="str">
        <f t="shared" si="1"/>
        <v/>
      </c>
      <c r="B574" s="28"/>
      <c r="C574" s="28"/>
      <c r="D574" s="26" t="str">
        <f t="shared" si="2"/>
        <v/>
      </c>
      <c r="E574" s="28"/>
      <c r="F574" s="35"/>
      <c r="G574" s="28"/>
      <c r="H574" s="28"/>
      <c r="I574" s="28"/>
      <c r="J574" s="37"/>
      <c r="K574" s="37">
        <f>IF(I574="Professional Billing Rate",J574,'Lists &amp; Settings'!$E$2)</f>
        <v>35.47</v>
      </c>
      <c r="L574" s="28"/>
    </row>
    <row r="575">
      <c r="A575" s="40" t="str">
        <f t="shared" si="1"/>
        <v/>
      </c>
      <c r="B575" s="40"/>
      <c r="C575" s="40"/>
      <c r="D575" s="41" t="str">
        <f t="shared" si="2"/>
        <v/>
      </c>
      <c r="E575" s="40"/>
      <c r="F575" s="42"/>
      <c r="G575" s="40"/>
      <c r="H575" s="40"/>
      <c r="I575" s="40"/>
      <c r="J575" s="43"/>
      <c r="K575" s="43">
        <f>IF(I575="Professional Billing Rate",J575,'Lists &amp; Settings'!$E$2)</f>
        <v>35.47</v>
      </c>
      <c r="L575" s="40"/>
    </row>
    <row r="576">
      <c r="A576" s="28" t="str">
        <f t="shared" si="1"/>
        <v/>
      </c>
      <c r="B576" s="28"/>
      <c r="C576" s="28"/>
      <c r="D576" s="26" t="str">
        <f t="shared" si="2"/>
        <v/>
      </c>
      <c r="E576" s="28"/>
      <c r="F576" s="35"/>
      <c r="G576" s="28"/>
      <c r="H576" s="28"/>
      <c r="I576" s="28"/>
      <c r="J576" s="37"/>
      <c r="K576" s="37">
        <f>IF(I576="Professional Billing Rate",J576,'Lists &amp; Settings'!$E$2)</f>
        <v>35.47</v>
      </c>
      <c r="L576" s="28"/>
    </row>
    <row r="577">
      <c r="A577" s="40" t="str">
        <f t="shared" si="1"/>
        <v/>
      </c>
      <c r="B577" s="40"/>
      <c r="C577" s="40"/>
      <c r="D577" s="41" t="str">
        <f t="shared" si="2"/>
        <v/>
      </c>
      <c r="E577" s="40"/>
      <c r="F577" s="42"/>
      <c r="G577" s="40"/>
      <c r="H577" s="40"/>
      <c r="I577" s="40"/>
      <c r="J577" s="43"/>
      <c r="K577" s="43">
        <f>IF(I577="Professional Billing Rate",J577,'Lists &amp; Settings'!$E$2)</f>
        <v>35.47</v>
      </c>
      <c r="L577" s="40"/>
    </row>
    <row r="578">
      <c r="A578" s="28" t="str">
        <f t="shared" si="1"/>
        <v/>
      </c>
      <c r="B578" s="28"/>
      <c r="C578" s="28"/>
      <c r="D578" s="26" t="str">
        <f t="shared" si="2"/>
        <v/>
      </c>
      <c r="E578" s="28"/>
      <c r="F578" s="35"/>
      <c r="G578" s="28"/>
      <c r="H578" s="28"/>
      <c r="I578" s="28"/>
      <c r="J578" s="37"/>
      <c r="K578" s="37">
        <f>IF(I578="Professional Billing Rate",J578,'Lists &amp; Settings'!$E$2)</f>
        <v>35.47</v>
      </c>
      <c r="L578" s="28"/>
    </row>
    <row r="579">
      <c r="A579" s="40" t="str">
        <f t="shared" si="1"/>
        <v/>
      </c>
      <c r="B579" s="40"/>
      <c r="C579" s="40"/>
      <c r="D579" s="41" t="str">
        <f t="shared" si="2"/>
        <v/>
      </c>
      <c r="E579" s="40"/>
      <c r="F579" s="42"/>
      <c r="G579" s="40"/>
      <c r="H579" s="40"/>
      <c r="I579" s="40"/>
      <c r="J579" s="43"/>
      <c r="K579" s="43">
        <f>IF(I579="Professional Billing Rate",J579,'Lists &amp; Settings'!$E$2)</f>
        <v>35.47</v>
      </c>
      <c r="L579" s="40"/>
    </row>
    <row r="580">
      <c r="A580" s="28" t="str">
        <f t="shared" si="1"/>
        <v/>
      </c>
      <c r="B580" s="28"/>
      <c r="C580" s="28"/>
      <c r="D580" s="26" t="str">
        <f t="shared" si="2"/>
        <v/>
      </c>
      <c r="E580" s="28"/>
      <c r="F580" s="35"/>
      <c r="G580" s="28"/>
      <c r="H580" s="28"/>
      <c r="I580" s="28"/>
      <c r="J580" s="37"/>
      <c r="K580" s="37">
        <f>IF(I580="Professional Billing Rate",J580,'Lists &amp; Settings'!$E$2)</f>
        <v>35.47</v>
      </c>
      <c r="L580" s="28"/>
    </row>
    <row r="581">
      <c r="A581" s="40" t="str">
        <f t="shared" si="1"/>
        <v/>
      </c>
      <c r="B581" s="40"/>
      <c r="C581" s="40"/>
      <c r="D581" s="41" t="str">
        <f t="shared" si="2"/>
        <v/>
      </c>
      <c r="E581" s="40"/>
      <c r="F581" s="42"/>
      <c r="G581" s="40"/>
      <c r="H581" s="40"/>
      <c r="I581" s="40"/>
      <c r="J581" s="43"/>
      <c r="K581" s="43">
        <f>IF(I581="Professional Billing Rate",J581,'Lists &amp; Settings'!$E$2)</f>
        <v>35.47</v>
      </c>
      <c r="L581" s="40"/>
    </row>
    <row r="582">
      <c r="A582" s="28" t="str">
        <f t="shared" si="1"/>
        <v/>
      </c>
      <c r="B582" s="28"/>
      <c r="C582" s="28"/>
      <c r="D582" s="26" t="str">
        <f t="shared" si="2"/>
        <v/>
      </c>
      <c r="E582" s="28"/>
      <c r="F582" s="35"/>
      <c r="G582" s="28"/>
      <c r="H582" s="28"/>
      <c r="I582" s="28"/>
      <c r="J582" s="37"/>
      <c r="K582" s="37">
        <f>IF(I582="Professional Billing Rate",J582,'Lists &amp; Settings'!$E$2)</f>
        <v>35.47</v>
      </c>
      <c r="L582" s="28"/>
    </row>
    <row r="583">
      <c r="A583" s="40" t="str">
        <f t="shared" si="1"/>
        <v/>
      </c>
      <c r="B583" s="40"/>
      <c r="C583" s="40"/>
      <c r="D583" s="41" t="str">
        <f t="shared" si="2"/>
        <v/>
      </c>
      <c r="E583" s="40"/>
      <c r="F583" s="42"/>
      <c r="G583" s="40"/>
      <c r="H583" s="40"/>
      <c r="I583" s="40"/>
      <c r="J583" s="43"/>
      <c r="K583" s="43">
        <f>IF(I583="Professional Billing Rate",J583,'Lists &amp; Settings'!$E$2)</f>
        <v>35.47</v>
      </c>
      <c r="L583" s="40"/>
    </row>
    <row r="584">
      <c r="A584" s="28" t="str">
        <f t="shared" si="1"/>
        <v/>
      </c>
      <c r="B584" s="28"/>
      <c r="C584" s="28"/>
      <c r="D584" s="26" t="str">
        <f t="shared" si="2"/>
        <v/>
      </c>
      <c r="E584" s="28"/>
      <c r="F584" s="35"/>
      <c r="G584" s="28"/>
      <c r="H584" s="28"/>
      <c r="I584" s="28"/>
      <c r="J584" s="37"/>
      <c r="K584" s="37">
        <f>IF(I584="Professional Billing Rate",J584,'Lists &amp; Settings'!$E$2)</f>
        <v>35.47</v>
      </c>
      <c r="L584" s="28"/>
    </row>
    <row r="585">
      <c r="A585" s="40" t="str">
        <f t="shared" si="1"/>
        <v/>
      </c>
      <c r="B585" s="40"/>
      <c r="C585" s="40"/>
      <c r="D585" s="41" t="str">
        <f t="shared" si="2"/>
        <v/>
      </c>
      <c r="E585" s="40"/>
      <c r="F585" s="42"/>
      <c r="G585" s="40"/>
      <c r="H585" s="40"/>
      <c r="I585" s="40"/>
      <c r="J585" s="43"/>
      <c r="K585" s="43">
        <f>IF(I585="Professional Billing Rate",J585,'Lists &amp; Settings'!$E$2)</f>
        <v>35.47</v>
      </c>
      <c r="L585" s="40"/>
    </row>
    <row r="586">
      <c r="A586" s="28" t="str">
        <f t="shared" si="1"/>
        <v/>
      </c>
      <c r="B586" s="28"/>
      <c r="C586" s="28"/>
      <c r="D586" s="26" t="str">
        <f t="shared" si="2"/>
        <v/>
      </c>
      <c r="E586" s="28"/>
      <c r="F586" s="35"/>
      <c r="G586" s="28"/>
      <c r="H586" s="28"/>
      <c r="I586" s="28"/>
      <c r="J586" s="37"/>
      <c r="K586" s="37">
        <f>IF(I586="Professional Billing Rate",J586,'Lists &amp; Settings'!$E$2)</f>
        <v>35.47</v>
      </c>
      <c r="L586" s="28"/>
    </row>
    <row r="587">
      <c r="A587" s="40" t="str">
        <f t="shared" si="1"/>
        <v/>
      </c>
      <c r="B587" s="40"/>
      <c r="C587" s="40"/>
      <c r="D587" s="41" t="str">
        <f t="shared" si="2"/>
        <v/>
      </c>
      <c r="E587" s="40"/>
      <c r="F587" s="42"/>
      <c r="G587" s="40"/>
      <c r="H587" s="40"/>
      <c r="I587" s="40"/>
      <c r="J587" s="43"/>
      <c r="K587" s="43">
        <f>IF(I587="Professional Billing Rate",J587,'Lists &amp; Settings'!$E$2)</f>
        <v>35.47</v>
      </c>
      <c r="L587" s="40"/>
    </row>
    <row r="588">
      <c r="A588" s="28" t="str">
        <f t="shared" si="1"/>
        <v/>
      </c>
      <c r="B588" s="28"/>
      <c r="C588" s="28"/>
      <c r="D588" s="26" t="str">
        <f t="shared" si="2"/>
        <v/>
      </c>
      <c r="E588" s="28"/>
      <c r="F588" s="35"/>
      <c r="G588" s="28"/>
      <c r="H588" s="28"/>
      <c r="I588" s="28"/>
      <c r="J588" s="37"/>
      <c r="K588" s="37">
        <f>IF(I588="Professional Billing Rate",J588,'Lists &amp; Settings'!$E$2)</f>
        <v>35.47</v>
      </c>
      <c r="L588" s="28"/>
    </row>
    <row r="589">
      <c r="A589" s="40" t="str">
        <f t="shared" si="1"/>
        <v/>
      </c>
      <c r="B589" s="40"/>
      <c r="C589" s="40"/>
      <c r="D589" s="41" t="str">
        <f t="shared" si="2"/>
        <v/>
      </c>
      <c r="E589" s="40"/>
      <c r="F589" s="42"/>
      <c r="G589" s="40"/>
      <c r="H589" s="40"/>
      <c r="I589" s="40"/>
      <c r="J589" s="43"/>
      <c r="K589" s="43">
        <f>IF(I589="Professional Billing Rate",J589,'Lists &amp; Settings'!$E$2)</f>
        <v>35.47</v>
      </c>
      <c r="L589" s="40"/>
    </row>
    <row r="590">
      <c r="A590" s="28" t="str">
        <f t="shared" si="1"/>
        <v/>
      </c>
      <c r="B590" s="28"/>
      <c r="C590" s="28"/>
      <c r="D590" s="26" t="str">
        <f t="shared" si="2"/>
        <v/>
      </c>
      <c r="E590" s="28"/>
      <c r="F590" s="35"/>
      <c r="G590" s="28"/>
      <c r="H590" s="28"/>
      <c r="I590" s="28"/>
      <c r="J590" s="37"/>
      <c r="K590" s="37">
        <f>IF(I590="Professional Billing Rate",J590,'Lists &amp; Settings'!$E$2)</f>
        <v>35.47</v>
      </c>
      <c r="L590" s="28"/>
    </row>
    <row r="591">
      <c r="A591" s="40" t="str">
        <f t="shared" si="1"/>
        <v/>
      </c>
      <c r="B591" s="40"/>
      <c r="C591" s="40"/>
      <c r="D591" s="41" t="str">
        <f t="shared" si="2"/>
        <v/>
      </c>
      <c r="E591" s="40"/>
      <c r="F591" s="42"/>
      <c r="G591" s="40"/>
      <c r="H591" s="40"/>
      <c r="I591" s="40"/>
      <c r="J591" s="43"/>
      <c r="K591" s="43">
        <f>IF(I591="Professional Billing Rate",J591,'Lists &amp; Settings'!$E$2)</f>
        <v>35.47</v>
      </c>
      <c r="L591" s="40"/>
    </row>
    <row r="592">
      <c r="A592" s="28" t="str">
        <f t="shared" si="1"/>
        <v/>
      </c>
      <c r="B592" s="28"/>
      <c r="C592" s="28"/>
      <c r="D592" s="26" t="str">
        <f t="shared" si="2"/>
        <v/>
      </c>
      <c r="E592" s="28"/>
      <c r="F592" s="35"/>
      <c r="G592" s="28"/>
      <c r="H592" s="28"/>
      <c r="I592" s="28"/>
      <c r="J592" s="37"/>
      <c r="K592" s="37">
        <f>IF(I592="Professional Billing Rate",J592,'Lists &amp; Settings'!$E$2)</f>
        <v>35.47</v>
      </c>
      <c r="L592" s="28"/>
    </row>
    <row r="593">
      <c r="A593" s="40" t="str">
        <f t="shared" si="1"/>
        <v/>
      </c>
      <c r="B593" s="40"/>
      <c r="C593" s="40"/>
      <c r="D593" s="41" t="str">
        <f t="shared" si="2"/>
        <v/>
      </c>
      <c r="E593" s="40"/>
      <c r="F593" s="42"/>
      <c r="G593" s="40"/>
      <c r="H593" s="40"/>
      <c r="I593" s="40"/>
      <c r="J593" s="43"/>
      <c r="K593" s="43">
        <f>IF(I593="Professional Billing Rate",J593,'Lists &amp; Settings'!$E$2)</f>
        <v>35.47</v>
      </c>
      <c r="L593" s="40"/>
    </row>
    <row r="594">
      <c r="A594" s="28" t="str">
        <f t="shared" si="1"/>
        <v/>
      </c>
      <c r="B594" s="28"/>
      <c r="C594" s="28"/>
      <c r="D594" s="26" t="str">
        <f t="shared" si="2"/>
        <v/>
      </c>
      <c r="E594" s="28"/>
      <c r="F594" s="35"/>
      <c r="G594" s="28"/>
      <c r="H594" s="28"/>
      <c r="I594" s="28"/>
      <c r="J594" s="37"/>
      <c r="K594" s="37">
        <f>IF(I594="Professional Billing Rate",J594,'Lists &amp; Settings'!$E$2)</f>
        <v>35.47</v>
      </c>
      <c r="L594" s="28"/>
    </row>
    <row r="595">
      <c r="A595" s="40" t="str">
        <f t="shared" si="1"/>
        <v/>
      </c>
      <c r="B595" s="40"/>
      <c r="C595" s="40"/>
      <c r="D595" s="41" t="str">
        <f t="shared" si="2"/>
        <v/>
      </c>
      <c r="E595" s="40"/>
      <c r="F595" s="42"/>
      <c r="G595" s="40"/>
      <c r="H595" s="40"/>
      <c r="I595" s="40"/>
      <c r="J595" s="43"/>
      <c r="K595" s="43">
        <f>IF(I595="Professional Billing Rate",J595,'Lists &amp; Settings'!$E$2)</f>
        <v>35.47</v>
      </c>
      <c r="L595" s="40"/>
    </row>
    <row r="596">
      <c r="A596" s="28" t="str">
        <f t="shared" si="1"/>
        <v/>
      </c>
      <c r="B596" s="28"/>
      <c r="C596" s="28"/>
      <c r="D596" s="26" t="str">
        <f t="shared" si="2"/>
        <v/>
      </c>
      <c r="E596" s="28"/>
      <c r="F596" s="35"/>
      <c r="G596" s="28"/>
      <c r="H596" s="28"/>
      <c r="I596" s="28"/>
      <c r="J596" s="37"/>
      <c r="K596" s="37">
        <f>IF(I596="Professional Billing Rate",J596,'Lists &amp; Settings'!$E$2)</f>
        <v>35.47</v>
      </c>
      <c r="L596" s="28"/>
    </row>
    <row r="597">
      <c r="A597" s="40" t="str">
        <f t="shared" si="1"/>
        <v/>
      </c>
      <c r="B597" s="40"/>
      <c r="C597" s="40"/>
      <c r="D597" s="41" t="str">
        <f t="shared" si="2"/>
        <v/>
      </c>
      <c r="E597" s="40"/>
      <c r="F597" s="42"/>
      <c r="G597" s="40"/>
      <c r="H597" s="40"/>
      <c r="I597" s="40"/>
      <c r="J597" s="43"/>
      <c r="K597" s="43">
        <f>IF(I597="Professional Billing Rate",J597,'Lists &amp; Settings'!$E$2)</f>
        <v>35.47</v>
      </c>
      <c r="L597" s="40"/>
    </row>
    <row r="598">
      <c r="A598" s="28" t="str">
        <f t="shared" si="1"/>
        <v/>
      </c>
      <c r="B598" s="28"/>
      <c r="C598" s="28"/>
      <c r="D598" s="26" t="str">
        <f t="shared" si="2"/>
        <v/>
      </c>
      <c r="E598" s="28"/>
      <c r="F598" s="35"/>
      <c r="G598" s="28"/>
      <c r="H598" s="28"/>
      <c r="I598" s="28"/>
      <c r="J598" s="37"/>
      <c r="K598" s="37">
        <f>IF(I598="Professional Billing Rate",J598,'Lists &amp; Settings'!$E$2)</f>
        <v>35.47</v>
      </c>
      <c r="L598" s="28"/>
    </row>
    <row r="599">
      <c r="A599" s="40" t="str">
        <f t="shared" si="1"/>
        <v/>
      </c>
      <c r="B599" s="40"/>
      <c r="C599" s="40"/>
      <c r="D599" s="41" t="str">
        <f t="shared" si="2"/>
        <v/>
      </c>
      <c r="E599" s="40"/>
      <c r="F599" s="42"/>
      <c r="G599" s="40"/>
      <c r="H599" s="40"/>
      <c r="I599" s="40"/>
      <c r="J599" s="43"/>
      <c r="K599" s="43">
        <f>IF(I599="Professional Billing Rate",J599,'Lists &amp; Settings'!$E$2)</f>
        <v>35.47</v>
      </c>
      <c r="L599" s="40"/>
    </row>
    <row r="600">
      <c r="A600" s="28" t="str">
        <f t="shared" si="1"/>
        <v/>
      </c>
      <c r="B600" s="28"/>
      <c r="C600" s="28"/>
      <c r="D600" s="26" t="str">
        <f t="shared" si="2"/>
        <v/>
      </c>
      <c r="E600" s="28"/>
      <c r="F600" s="35"/>
      <c r="G600" s="28"/>
      <c r="H600" s="28"/>
      <c r="I600" s="28"/>
      <c r="J600" s="37"/>
      <c r="K600" s="37">
        <f>IF(I600="Professional Billing Rate",J600,'Lists &amp; Settings'!$E$2)</f>
        <v>35.47</v>
      </c>
      <c r="L600" s="28"/>
    </row>
    <row r="601">
      <c r="A601" s="40" t="str">
        <f t="shared" si="1"/>
        <v/>
      </c>
      <c r="B601" s="40"/>
      <c r="C601" s="40"/>
      <c r="D601" s="41" t="str">
        <f t="shared" si="2"/>
        <v/>
      </c>
      <c r="E601" s="40"/>
      <c r="F601" s="42"/>
      <c r="G601" s="40"/>
      <c r="H601" s="40"/>
      <c r="I601" s="40"/>
      <c r="J601" s="43"/>
      <c r="K601" s="43">
        <f>IF(I601="Professional Billing Rate",J601,'Lists &amp; Settings'!$E$2)</f>
        <v>35.47</v>
      </c>
      <c r="L601" s="40"/>
    </row>
    <row r="602">
      <c r="A602" s="28" t="str">
        <f t="shared" si="1"/>
        <v/>
      </c>
      <c r="B602" s="28"/>
      <c r="C602" s="28"/>
      <c r="D602" s="26" t="str">
        <f t="shared" si="2"/>
        <v/>
      </c>
      <c r="E602" s="28"/>
      <c r="F602" s="35"/>
      <c r="G602" s="28"/>
      <c r="H602" s="28"/>
      <c r="I602" s="28"/>
      <c r="J602" s="37"/>
      <c r="K602" s="37">
        <f>IF(I602="Professional Billing Rate",J602,'Lists &amp; Settings'!$E$2)</f>
        <v>35.47</v>
      </c>
      <c r="L602" s="28"/>
    </row>
    <row r="603">
      <c r="A603" s="40" t="str">
        <f t="shared" si="1"/>
        <v/>
      </c>
      <c r="B603" s="40"/>
      <c r="C603" s="40"/>
      <c r="D603" s="41" t="str">
        <f t="shared" si="2"/>
        <v/>
      </c>
      <c r="E603" s="40"/>
      <c r="F603" s="42"/>
      <c r="G603" s="40"/>
      <c r="H603" s="40"/>
      <c r="I603" s="40"/>
      <c r="J603" s="43"/>
      <c r="K603" s="43">
        <f>IF(I603="Professional Billing Rate",J603,'Lists &amp; Settings'!$E$2)</f>
        <v>35.47</v>
      </c>
      <c r="L603" s="40"/>
    </row>
    <row r="604">
      <c r="A604" s="28" t="str">
        <f t="shared" si="1"/>
        <v/>
      </c>
      <c r="B604" s="28"/>
      <c r="C604" s="28"/>
      <c r="D604" s="26" t="str">
        <f t="shared" si="2"/>
        <v/>
      </c>
      <c r="E604" s="28"/>
      <c r="F604" s="35"/>
      <c r="G604" s="28"/>
      <c r="H604" s="28"/>
      <c r="I604" s="28"/>
      <c r="J604" s="37"/>
      <c r="K604" s="37">
        <f>IF(I604="Professional Billing Rate",J604,'Lists &amp; Settings'!$E$2)</f>
        <v>35.47</v>
      </c>
      <c r="L604" s="28"/>
    </row>
    <row r="605">
      <c r="A605" s="40" t="str">
        <f t="shared" si="1"/>
        <v/>
      </c>
      <c r="B605" s="40"/>
      <c r="C605" s="40"/>
      <c r="D605" s="41" t="str">
        <f t="shared" si="2"/>
        <v/>
      </c>
      <c r="E605" s="40"/>
      <c r="F605" s="42"/>
      <c r="G605" s="40"/>
      <c r="H605" s="40"/>
      <c r="I605" s="40"/>
      <c r="J605" s="43"/>
      <c r="K605" s="43">
        <f>IF(I605="Professional Billing Rate",J605,'Lists &amp; Settings'!$E$2)</f>
        <v>35.47</v>
      </c>
      <c r="L605" s="40"/>
    </row>
    <row r="606">
      <c r="A606" s="28" t="str">
        <f t="shared" si="1"/>
        <v/>
      </c>
      <c r="B606" s="28"/>
      <c r="C606" s="28"/>
      <c r="D606" s="26" t="str">
        <f t="shared" si="2"/>
        <v/>
      </c>
      <c r="E606" s="28"/>
      <c r="F606" s="35"/>
      <c r="G606" s="28"/>
      <c r="H606" s="28"/>
      <c r="I606" s="28"/>
      <c r="J606" s="37"/>
      <c r="K606" s="37">
        <f>IF(I606="Professional Billing Rate",J606,'Lists &amp; Settings'!$E$2)</f>
        <v>35.47</v>
      </c>
      <c r="L606" s="28"/>
    </row>
    <row r="607">
      <c r="A607" s="40" t="str">
        <f t="shared" si="1"/>
        <v/>
      </c>
      <c r="B607" s="40"/>
      <c r="C607" s="40"/>
      <c r="D607" s="41" t="str">
        <f t="shared" si="2"/>
        <v/>
      </c>
      <c r="E607" s="40"/>
      <c r="F607" s="42"/>
      <c r="G607" s="40"/>
      <c r="H607" s="40"/>
      <c r="I607" s="40"/>
      <c r="J607" s="43"/>
      <c r="K607" s="43">
        <f>IF(I607="Professional Billing Rate",J607,'Lists &amp; Settings'!$E$2)</f>
        <v>35.47</v>
      </c>
      <c r="L607" s="40"/>
    </row>
    <row r="608">
      <c r="A608" s="28" t="str">
        <f t="shared" si="1"/>
        <v/>
      </c>
      <c r="B608" s="28"/>
      <c r="C608" s="28"/>
      <c r="D608" s="26" t="str">
        <f t="shared" si="2"/>
        <v/>
      </c>
      <c r="E608" s="28"/>
      <c r="F608" s="35"/>
      <c r="G608" s="28"/>
      <c r="H608" s="28"/>
      <c r="I608" s="28"/>
      <c r="J608" s="37"/>
      <c r="K608" s="37">
        <f>IF(I608="Professional Billing Rate",J608,'Lists &amp; Settings'!$E$2)</f>
        <v>35.47</v>
      </c>
      <c r="L608" s="28"/>
    </row>
    <row r="609">
      <c r="A609" s="40" t="str">
        <f t="shared" si="1"/>
        <v/>
      </c>
      <c r="B609" s="40"/>
      <c r="C609" s="40"/>
      <c r="D609" s="41" t="str">
        <f t="shared" si="2"/>
        <v/>
      </c>
      <c r="E609" s="40"/>
      <c r="F609" s="42"/>
      <c r="G609" s="40"/>
      <c r="H609" s="40"/>
      <c r="I609" s="40"/>
      <c r="J609" s="43"/>
      <c r="K609" s="43">
        <f>IF(I609="Professional Billing Rate",J609,'Lists &amp; Settings'!$E$2)</f>
        <v>35.47</v>
      </c>
      <c r="L609" s="40"/>
    </row>
    <row r="610">
      <c r="A610" s="28" t="str">
        <f t="shared" si="1"/>
        <v/>
      </c>
      <c r="B610" s="28"/>
      <c r="C610" s="28"/>
      <c r="D610" s="26" t="str">
        <f t="shared" si="2"/>
        <v/>
      </c>
      <c r="E610" s="28"/>
      <c r="F610" s="35"/>
      <c r="G610" s="28"/>
      <c r="H610" s="28"/>
      <c r="I610" s="28"/>
      <c r="J610" s="37"/>
      <c r="K610" s="37">
        <f>IF(I610="Professional Billing Rate",J610,'Lists &amp; Settings'!$E$2)</f>
        <v>35.47</v>
      </c>
      <c r="L610" s="28"/>
    </row>
    <row r="611">
      <c r="A611" s="40" t="str">
        <f t="shared" si="1"/>
        <v/>
      </c>
      <c r="B611" s="40"/>
      <c r="C611" s="40"/>
      <c r="D611" s="41" t="str">
        <f t="shared" si="2"/>
        <v/>
      </c>
      <c r="E611" s="40"/>
      <c r="F611" s="42"/>
      <c r="G611" s="40"/>
      <c r="H611" s="40"/>
      <c r="I611" s="40"/>
      <c r="J611" s="43"/>
      <c r="K611" s="43">
        <f>IF(I611="Professional Billing Rate",J611,'Lists &amp; Settings'!$E$2)</f>
        <v>35.47</v>
      </c>
      <c r="L611" s="40"/>
    </row>
    <row r="612">
      <c r="A612" s="28" t="str">
        <f t="shared" si="1"/>
        <v/>
      </c>
      <c r="B612" s="28"/>
      <c r="C612" s="28"/>
      <c r="D612" s="26" t="str">
        <f t="shared" si="2"/>
        <v/>
      </c>
      <c r="E612" s="28"/>
      <c r="F612" s="35"/>
      <c r="G612" s="28"/>
      <c r="H612" s="28"/>
      <c r="I612" s="28"/>
      <c r="J612" s="37"/>
      <c r="K612" s="37">
        <f>IF(I612="Professional Billing Rate",J612,'Lists &amp; Settings'!$E$2)</f>
        <v>35.47</v>
      </c>
      <c r="L612" s="28"/>
    </row>
    <row r="613">
      <c r="A613" s="40" t="str">
        <f t="shared" si="1"/>
        <v/>
      </c>
      <c r="B613" s="40"/>
      <c r="C613" s="40"/>
      <c r="D613" s="41" t="str">
        <f t="shared" si="2"/>
        <v/>
      </c>
      <c r="E613" s="40"/>
      <c r="F613" s="42"/>
      <c r="G613" s="40"/>
      <c r="H613" s="40"/>
      <c r="I613" s="40"/>
      <c r="J613" s="43"/>
      <c r="K613" s="43">
        <f>IF(I613="Professional Billing Rate",J613,'Lists &amp; Settings'!$E$2)</f>
        <v>35.47</v>
      </c>
      <c r="L613" s="40"/>
    </row>
    <row r="614">
      <c r="A614" s="28" t="str">
        <f t="shared" si="1"/>
        <v/>
      </c>
      <c r="B614" s="28"/>
      <c r="C614" s="28"/>
      <c r="D614" s="26" t="str">
        <f t="shared" si="2"/>
        <v/>
      </c>
      <c r="E614" s="28"/>
      <c r="F614" s="35"/>
      <c r="G614" s="28"/>
      <c r="H614" s="28"/>
      <c r="I614" s="28"/>
      <c r="J614" s="37"/>
      <c r="K614" s="37">
        <f>IF(I614="Professional Billing Rate",J614,'Lists &amp; Settings'!$E$2)</f>
        <v>35.47</v>
      </c>
      <c r="L614" s="28"/>
    </row>
    <row r="615">
      <c r="A615" s="40" t="str">
        <f t="shared" si="1"/>
        <v/>
      </c>
      <c r="B615" s="40"/>
      <c r="C615" s="40"/>
      <c r="D615" s="41" t="str">
        <f t="shared" si="2"/>
        <v/>
      </c>
      <c r="E615" s="40"/>
      <c r="F615" s="42"/>
      <c r="G615" s="40"/>
      <c r="H615" s="40"/>
      <c r="I615" s="40"/>
      <c r="J615" s="43"/>
      <c r="K615" s="43">
        <f>IF(I615="Professional Billing Rate",J615,'Lists &amp; Settings'!$E$2)</f>
        <v>35.47</v>
      </c>
      <c r="L615" s="40"/>
    </row>
    <row r="616">
      <c r="A616" s="28" t="str">
        <f t="shared" si="1"/>
        <v/>
      </c>
      <c r="B616" s="28"/>
      <c r="C616" s="28"/>
      <c r="D616" s="26" t="str">
        <f t="shared" si="2"/>
        <v/>
      </c>
      <c r="E616" s="28"/>
      <c r="F616" s="35"/>
      <c r="G616" s="28"/>
      <c r="H616" s="28"/>
      <c r="I616" s="28"/>
      <c r="J616" s="37"/>
      <c r="K616" s="37">
        <f>IF(I616="Professional Billing Rate",J616,'Lists &amp; Settings'!$E$2)</f>
        <v>35.47</v>
      </c>
      <c r="L616" s="28"/>
    </row>
    <row r="617">
      <c r="A617" s="40" t="str">
        <f t="shared" si="1"/>
        <v/>
      </c>
      <c r="B617" s="40"/>
      <c r="C617" s="40"/>
      <c r="D617" s="41" t="str">
        <f t="shared" si="2"/>
        <v/>
      </c>
      <c r="E617" s="40"/>
      <c r="F617" s="42"/>
      <c r="G617" s="40"/>
      <c r="H617" s="40"/>
      <c r="I617" s="40"/>
      <c r="J617" s="43"/>
      <c r="K617" s="43">
        <f>IF(I617="Professional Billing Rate",J617,'Lists &amp; Settings'!$E$2)</f>
        <v>35.47</v>
      </c>
      <c r="L617" s="40"/>
    </row>
    <row r="618">
      <c r="A618" s="28" t="str">
        <f t="shared" si="1"/>
        <v/>
      </c>
      <c r="B618" s="28"/>
      <c r="C618" s="28"/>
      <c r="D618" s="26" t="str">
        <f t="shared" si="2"/>
        <v/>
      </c>
      <c r="E618" s="28"/>
      <c r="F618" s="35"/>
      <c r="G618" s="28"/>
      <c r="H618" s="28"/>
      <c r="I618" s="28"/>
      <c r="J618" s="37"/>
      <c r="K618" s="37">
        <f>IF(I618="Professional Billing Rate",J618,'Lists &amp; Settings'!$E$2)</f>
        <v>35.47</v>
      </c>
      <c r="L618" s="28"/>
    </row>
    <row r="619">
      <c r="A619" s="40" t="str">
        <f t="shared" si="1"/>
        <v/>
      </c>
      <c r="B619" s="40"/>
      <c r="C619" s="40"/>
      <c r="D619" s="41" t="str">
        <f t="shared" si="2"/>
        <v/>
      </c>
      <c r="E619" s="40"/>
      <c r="F619" s="42"/>
      <c r="G619" s="40"/>
      <c r="H619" s="40"/>
      <c r="I619" s="40"/>
      <c r="J619" s="43"/>
      <c r="K619" s="43">
        <f>IF(I619="Professional Billing Rate",J619,'Lists &amp; Settings'!$E$2)</f>
        <v>35.47</v>
      </c>
      <c r="L619" s="40"/>
    </row>
    <row r="620">
      <c r="A620" s="28" t="str">
        <f t="shared" si="1"/>
        <v/>
      </c>
      <c r="B620" s="28"/>
      <c r="C620" s="28"/>
      <c r="D620" s="26" t="str">
        <f t="shared" si="2"/>
        <v/>
      </c>
      <c r="E620" s="28"/>
      <c r="F620" s="35"/>
      <c r="G620" s="28"/>
      <c r="H620" s="28"/>
      <c r="I620" s="28"/>
      <c r="J620" s="37"/>
      <c r="K620" s="37">
        <f>IF(I620="Professional Billing Rate",J620,'Lists &amp; Settings'!$E$2)</f>
        <v>35.47</v>
      </c>
      <c r="L620" s="28"/>
    </row>
    <row r="621">
      <c r="A621" s="40" t="str">
        <f t="shared" si="1"/>
        <v/>
      </c>
      <c r="B621" s="40"/>
      <c r="C621" s="40"/>
      <c r="D621" s="41" t="str">
        <f t="shared" si="2"/>
        <v/>
      </c>
      <c r="E621" s="40"/>
      <c r="F621" s="42"/>
      <c r="G621" s="40"/>
      <c r="H621" s="40"/>
      <c r="I621" s="40"/>
      <c r="J621" s="43"/>
      <c r="K621" s="43">
        <f>IF(I621="Professional Billing Rate",J621,'Lists &amp; Settings'!$E$2)</f>
        <v>35.47</v>
      </c>
      <c r="L621" s="40"/>
    </row>
    <row r="622">
      <c r="A622" s="28" t="str">
        <f t="shared" si="1"/>
        <v/>
      </c>
      <c r="B622" s="28"/>
      <c r="C622" s="28"/>
      <c r="D622" s="26" t="str">
        <f t="shared" si="2"/>
        <v/>
      </c>
      <c r="E622" s="28"/>
      <c r="F622" s="35"/>
      <c r="G622" s="28"/>
      <c r="H622" s="28"/>
      <c r="I622" s="28"/>
      <c r="J622" s="37"/>
      <c r="K622" s="37">
        <f>IF(I622="Professional Billing Rate",J622,'Lists &amp; Settings'!$E$2)</f>
        <v>35.47</v>
      </c>
      <c r="L622" s="28"/>
    </row>
    <row r="623">
      <c r="A623" s="40" t="str">
        <f t="shared" si="1"/>
        <v/>
      </c>
      <c r="B623" s="40"/>
      <c r="C623" s="40"/>
      <c r="D623" s="41" t="str">
        <f t="shared" si="2"/>
        <v/>
      </c>
      <c r="E623" s="40"/>
      <c r="F623" s="42"/>
      <c r="G623" s="40"/>
      <c r="H623" s="40"/>
      <c r="I623" s="40"/>
      <c r="J623" s="43"/>
      <c r="K623" s="43">
        <f>IF(I623="Professional Billing Rate",J623,'Lists &amp; Settings'!$E$2)</f>
        <v>35.47</v>
      </c>
      <c r="L623" s="40"/>
    </row>
    <row r="624">
      <c r="A624" s="28" t="str">
        <f t="shared" si="1"/>
        <v/>
      </c>
      <c r="B624" s="28"/>
      <c r="C624" s="28"/>
      <c r="D624" s="26" t="str">
        <f t="shared" si="2"/>
        <v/>
      </c>
      <c r="E624" s="28"/>
      <c r="F624" s="35"/>
      <c r="G624" s="28"/>
      <c r="H624" s="28"/>
      <c r="I624" s="28"/>
      <c r="J624" s="37"/>
      <c r="K624" s="37">
        <f>IF(I624="Professional Billing Rate",J624,'Lists &amp; Settings'!$E$2)</f>
        <v>35.47</v>
      </c>
      <c r="L624" s="28"/>
    </row>
    <row r="625">
      <c r="A625" s="40" t="str">
        <f t="shared" si="1"/>
        <v/>
      </c>
      <c r="B625" s="40"/>
      <c r="C625" s="40"/>
      <c r="D625" s="41" t="str">
        <f t="shared" si="2"/>
        <v/>
      </c>
      <c r="E625" s="40"/>
      <c r="F625" s="42"/>
      <c r="G625" s="40"/>
      <c r="H625" s="40"/>
      <c r="I625" s="40"/>
      <c r="J625" s="43"/>
      <c r="K625" s="43">
        <f>IF(I625="Professional Billing Rate",J625,'Lists &amp; Settings'!$E$2)</f>
        <v>35.47</v>
      </c>
      <c r="L625" s="40"/>
    </row>
    <row r="626">
      <c r="A626" s="28" t="str">
        <f t="shared" si="1"/>
        <v/>
      </c>
      <c r="B626" s="28"/>
      <c r="C626" s="28"/>
      <c r="D626" s="26" t="str">
        <f t="shared" si="2"/>
        <v/>
      </c>
      <c r="E626" s="28"/>
      <c r="F626" s="35"/>
      <c r="G626" s="28"/>
      <c r="H626" s="28"/>
      <c r="I626" s="28"/>
      <c r="J626" s="37"/>
      <c r="K626" s="37">
        <f>IF(I626="Professional Billing Rate",J626,'Lists &amp; Settings'!$E$2)</f>
        <v>35.47</v>
      </c>
      <c r="L626" s="28"/>
    </row>
    <row r="627">
      <c r="A627" s="40" t="str">
        <f t="shared" si="1"/>
        <v/>
      </c>
      <c r="B627" s="40"/>
      <c r="C627" s="40"/>
      <c r="D627" s="41" t="str">
        <f t="shared" si="2"/>
        <v/>
      </c>
      <c r="E627" s="40"/>
      <c r="F627" s="42"/>
      <c r="G627" s="40"/>
      <c r="H627" s="40"/>
      <c r="I627" s="40"/>
      <c r="J627" s="43"/>
      <c r="K627" s="43">
        <f>IF(I627="Professional Billing Rate",J627,'Lists &amp; Settings'!$E$2)</f>
        <v>35.47</v>
      </c>
      <c r="L627" s="40"/>
    </row>
    <row r="628">
      <c r="A628" s="28" t="str">
        <f t="shared" si="1"/>
        <v/>
      </c>
      <c r="B628" s="28"/>
      <c r="C628" s="28"/>
      <c r="D628" s="26" t="str">
        <f t="shared" si="2"/>
        <v/>
      </c>
      <c r="E628" s="28"/>
      <c r="F628" s="35"/>
      <c r="G628" s="28"/>
      <c r="H628" s="28"/>
      <c r="I628" s="28"/>
      <c r="J628" s="37"/>
      <c r="K628" s="37">
        <f>IF(I628="Professional Billing Rate",J628,'Lists &amp; Settings'!$E$2)</f>
        <v>35.47</v>
      </c>
      <c r="L628" s="28"/>
    </row>
    <row r="629">
      <c r="A629" s="40" t="str">
        <f t="shared" si="1"/>
        <v/>
      </c>
      <c r="B629" s="40"/>
      <c r="C629" s="40"/>
      <c r="D629" s="41" t="str">
        <f t="shared" si="2"/>
        <v/>
      </c>
      <c r="E629" s="40"/>
      <c r="F629" s="42"/>
      <c r="G629" s="40"/>
      <c r="H629" s="40"/>
      <c r="I629" s="40"/>
      <c r="J629" s="43"/>
      <c r="K629" s="43">
        <f>IF(I629="Professional Billing Rate",J629,'Lists &amp; Settings'!$E$2)</f>
        <v>35.47</v>
      </c>
      <c r="L629" s="40"/>
    </row>
    <row r="630">
      <c r="A630" s="28" t="str">
        <f t="shared" si="1"/>
        <v/>
      </c>
      <c r="B630" s="28"/>
      <c r="C630" s="28"/>
      <c r="D630" s="26" t="str">
        <f t="shared" si="2"/>
        <v/>
      </c>
      <c r="E630" s="28"/>
      <c r="F630" s="35"/>
      <c r="G630" s="28"/>
      <c r="H630" s="28"/>
      <c r="I630" s="28"/>
      <c r="J630" s="37"/>
      <c r="K630" s="37">
        <f>IF(I630="Professional Billing Rate",J630,'Lists &amp; Settings'!$E$2)</f>
        <v>35.47</v>
      </c>
      <c r="L630" s="28"/>
    </row>
    <row r="631">
      <c r="A631" s="40" t="str">
        <f t="shared" si="1"/>
        <v/>
      </c>
      <c r="B631" s="40"/>
      <c r="C631" s="40"/>
      <c r="D631" s="41" t="str">
        <f t="shared" si="2"/>
        <v/>
      </c>
      <c r="E631" s="40"/>
      <c r="F631" s="42"/>
      <c r="G631" s="40"/>
      <c r="H631" s="40"/>
      <c r="I631" s="40"/>
      <c r="J631" s="43"/>
      <c r="K631" s="43">
        <f>IF(I631="Professional Billing Rate",J631,'Lists &amp; Settings'!$E$2)</f>
        <v>35.47</v>
      </c>
      <c r="L631" s="40"/>
    </row>
    <row r="632">
      <c r="A632" s="28" t="str">
        <f t="shared" si="1"/>
        <v/>
      </c>
      <c r="B632" s="28"/>
      <c r="C632" s="28"/>
      <c r="D632" s="26" t="str">
        <f t="shared" si="2"/>
        <v/>
      </c>
      <c r="E632" s="28"/>
      <c r="F632" s="35"/>
      <c r="G632" s="28"/>
      <c r="H632" s="28"/>
      <c r="I632" s="28"/>
      <c r="J632" s="37"/>
      <c r="K632" s="37">
        <f>IF(I632="Professional Billing Rate",J632,'Lists &amp; Settings'!$E$2)</f>
        <v>35.47</v>
      </c>
      <c r="L632" s="28"/>
    </row>
    <row r="633">
      <c r="A633" s="40" t="str">
        <f t="shared" si="1"/>
        <v/>
      </c>
      <c r="B633" s="40"/>
      <c r="C633" s="40"/>
      <c r="D633" s="41" t="str">
        <f t="shared" si="2"/>
        <v/>
      </c>
      <c r="E633" s="40"/>
      <c r="F633" s="42"/>
      <c r="G633" s="40"/>
      <c r="H633" s="40"/>
      <c r="I633" s="40"/>
      <c r="J633" s="43"/>
      <c r="K633" s="43">
        <f>IF(I633="Professional Billing Rate",J633,'Lists &amp; Settings'!$E$2)</f>
        <v>35.47</v>
      </c>
      <c r="L633" s="40"/>
    </row>
    <row r="634">
      <c r="A634" s="28" t="str">
        <f t="shared" si="1"/>
        <v/>
      </c>
      <c r="B634" s="28"/>
      <c r="C634" s="28"/>
      <c r="D634" s="26" t="str">
        <f t="shared" si="2"/>
        <v/>
      </c>
      <c r="E634" s="28"/>
      <c r="F634" s="35"/>
      <c r="G634" s="28"/>
      <c r="H634" s="28"/>
      <c r="I634" s="28"/>
      <c r="J634" s="37"/>
      <c r="K634" s="37">
        <f>IF(I634="Professional Billing Rate",J634,'Lists &amp; Settings'!$E$2)</f>
        <v>35.47</v>
      </c>
      <c r="L634" s="28"/>
    </row>
    <row r="635">
      <c r="A635" s="40" t="str">
        <f t="shared" si="1"/>
        <v/>
      </c>
      <c r="B635" s="40"/>
      <c r="C635" s="40"/>
      <c r="D635" s="41" t="str">
        <f t="shared" si="2"/>
        <v/>
      </c>
      <c r="E635" s="40"/>
      <c r="F635" s="42"/>
      <c r="G635" s="40"/>
      <c r="H635" s="40"/>
      <c r="I635" s="40"/>
      <c r="J635" s="43"/>
      <c r="K635" s="43">
        <f>IF(I635="Professional Billing Rate",J635,'Lists &amp; Settings'!$E$2)</f>
        <v>35.47</v>
      </c>
      <c r="L635" s="40"/>
    </row>
    <row r="636">
      <c r="A636" s="28" t="str">
        <f t="shared" si="1"/>
        <v/>
      </c>
      <c r="B636" s="28"/>
      <c r="C636" s="28"/>
      <c r="D636" s="26" t="str">
        <f t="shared" si="2"/>
        <v/>
      </c>
      <c r="E636" s="28"/>
      <c r="F636" s="35"/>
      <c r="G636" s="28"/>
      <c r="H636" s="28"/>
      <c r="I636" s="28"/>
      <c r="J636" s="37"/>
      <c r="K636" s="37">
        <f>IF(I636="Professional Billing Rate",J636,'Lists &amp; Settings'!$E$2)</f>
        <v>35.47</v>
      </c>
      <c r="L636" s="28"/>
    </row>
    <row r="637">
      <c r="A637" s="40" t="str">
        <f t="shared" si="1"/>
        <v/>
      </c>
      <c r="B637" s="40"/>
      <c r="C637" s="40"/>
      <c r="D637" s="41" t="str">
        <f t="shared" si="2"/>
        <v/>
      </c>
      <c r="E637" s="40"/>
      <c r="F637" s="42"/>
      <c r="G637" s="40"/>
      <c r="H637" s="40"/>
      <c r="I637" s="40"/>
      <c r="J637" s="43"/>
      <c r="K637" s="43">
        <f>IF(I637="Professional Billing Rate",J637,'Lists &amp; Settings'!$E$2)</f>
        <v>35.47</v>
      </c>
      <c r="L637" s="40"/>
    </row>
    <row r="638">
      <c r="A638" s="28" t="str">
        <f t="shared" si="1"/>
        <v/>
      </c>
      <c r="B638" s="28"/>
      <c r="C638" s="28"/>
      <c r="D638" s="26" t="str">
        <f t="shared" si="2"/>
        <v/>
      </c>
      <c r="E638" s="28"/>
      <c r="F638" s="35"/>
      <c r="G638" s="28"/>
      <c r="H638" s="28"/>
      <c r="I638" s="28"/>
      <c r="J638" s="37"/>
      <c r="K638" s="37">
        <f>IF(I638="Professional Billing Rate",J638,'Lists &amp; Settings'!$E$2)</f>
        <v>35.47</v>
      </c>
      <c r="L638" s="28"/>
    </row>
    <row r="639">
      <c r="A639" s="40" t="str">
        <f t="shared" si="1"/>
        <v/>
      </c>
      <c r="B639" s="40"/>
      <c r="C639" s="40"/>
      <c r="D639" s="41" t="str">
        <f t="shared" si="2"/>
        <v/>
      </c>
      <c r="E639" s="40"/>
      <c r="F639" s="42"/>
      <c r="G639" s="40"/>
      <c r="H639" s="40"/>
      <c r="I639" s="40"/>
      <c r="J639" s="43"/>
      <c r="K639" s="43">
        <f>IF(I639="Professional Billing Rate",J639,'Lists &amp; Settings'!$E$2)</f>
        <v>35.47</v>
      </c>
      <c r="L639" s="40"/>
    </row>
    <row r="640">
      <c r="A640" s="28" t="str">
        <f t="shared" si="1"/>
        <v/>
      </c>
      <c r="B640" s="28"/>
      <c r="C640" s="28"/>
      <c r="D640" s="26" t="str">
        <f t="shared" si="2"/>
        <v/>
      </c>
      <c r="E640" s="28"/>
      <c r="F640" s="35"/>
      <c r="G640" s="28"/>
      <c r="H640" s="28"/>
      <c r="I640" s="28"/>
      <c r="J640" s="37"/>
      <c r="K640" s="37">
        <f>IF(I640="Professional Billing Rate",J640,'Lists &amp; Settings'!$E$2)</f>
        <v>35.47</v>
      </c>
      <c r="L640" s="28"/>
    </row>
    <row r="641">
      <c r="A641" s="40" t="str">
        <f t="shared" si="1"/>
        <v/>
      </c>
      <c r="B641" s="40"/>
      <c r="C641" s="40"/>
      <c r="D641" s="41" t="str">
        <f t="shared" si="2"/>
        <v/>
      </c>
      <c r="E641" s="40"/>
      <c r="F641" s="42"/>
      <c r="G641" s="40"/>
      <c r="H641" s="40"/>
      <c r="I641" s="40"/>
      <c r="J641" s="43"/>
      <c r="K641" s="43">
        <f>IF(I641="Professional Billing Rate",J641,'Lists &amp; Settings'!$E$2)</f>
        <v>35.47</v>
      </c>
      <c r="L641" s="40"/>
    </row>
    <row r="642">
      <c r="A642" s="28" t="str">
        <f t="shared" si="1"/>
        <v/>
      </c>
      <c r="B642" s="28"/>
      <c r="C642" s="28"/>
      <c r="D642" s="26" t="str">
        <f t="shared" si="2"/>
        <v/>
      </c>
      <c r="E642" s="28"/>
      <c r="F642" s="35"/>
      <c r="G642" s="28"/>
      <c r="H642" s="28"/>
      <c r="I642" s="28"/>
      <c r="J642" s="37"/>
      <c r="K642" s="37">
        <f>IF(I642="Professional Billing Rate",J642,'Lists &amp; Settings'!$E$2)</f>
        <v>35.47</v>
      </c>
      <c r="L642" s="28"/>
    </row>
    <row r="643">
      <c r="A643" s="40" t="str">
        <f t="shared" si="1"/>
        <v/>
      </c>
      <c r="B643" s="40"/>
      <c r="C643" s="40"/>
      <c r="D643" s="41" t="str">
        <f t="shared" si="2"/>
        <v/>
      </c>
      <c r="E643" s="40"/>
      <c r="F643" s="42"/>
      <c r="G643" s="40"/>
      <c r="H643" s="40"/>
      <c r="I643" s="40"/>
      <c r="J643" s="43"/>
      <c r="K643" s="43">
        <f>IF(I643="Professional Billing Rate",J643,'Lists &amp; Settings'!$E$2)</f>
        <v>35.47</v>
      </c>
      <c r="L643" s="40"/>
    </row>
    <row r="644">
      <c r="A644" s="28" t="str">
        <f t="shared" si="1"/>
        <v/>
      </c>
      <c r="B644" s="28"/>
      <c r="C644" s="28"/>
      <c r="D644" s="26" t="str">
        <f t="shared" si="2"/>
        <v/>
      </c>
      <c r="E644" s="28"/>
      <c r="F644" s="35"/>
      <c r="G644" s="28"/>
      <c r="H644" s="28"/>
      <c r="I644" s="28"/>
      <c r="J644" s="37"/>
      <c r="K644" s="37">
        <f>IF(I644="Professional Billing Rate",J644,'Lists &amp; Settings'!$E$2)</f>
        <v>35.47</v>
      </c>
      <c r="L644" s="28"/>
    </row>
    <row r="645">
      <c r="A645" s="40" t="str">
        <f t="shared" si="1"/>
        <v/>
      </c>
      <c r="B645" s="40"/>
      <c r="C645" s="40"/>
      <c r="D645" s="41" t="str">
        <f t="shared" si="2"/>
        <v/>
      </c>
      <c r="E645" s="40"/>
      <c r="F645" s="42"/>
      <c r="G645" s="40"/>
      <c r="H645" s="40"/>
      <c r="I645" s="40"/>
      <c r="J645" s="43"/>
      <c r="K645" s="43">
        <f>IF(I645="Professional Billing Rate",J645,'Lists &amp; Settings'!$E$2)</f>
        <v>35.47</v>
      </c>
      <c r="L645" s="40"/>
    </row>
    <row r="646">
      <c r="A646" s="28" t="str">
        <f t="shared" si="1"/>
        <v/>
      </c>
      <c r="B646" s="28"/>
      <c r="C646" s="28"/>
      <c r="D646" s="26" t="str">
        <f t="shared" si="2"/>
        <v/>
      </c>
      <c r="E646" s="28"/>
      <c r="F646" s="35"/>
      <c r="G646" s="28"/>
      <c r="H646" s="28"/>
      <c r="I646" s="28"/>
      <c r="J646" s="37"/>
      <c r="K646" s="37">
        <f>IF(I646="Professional Billing Rate",J646,'Lists &amp; Settings'!$E$2)</f>
        <v>35.47</v>
      </c>
      <c r="L646" s="28"/>
    </row>
    <row r="647">
      <c r="A647" s="40" t="str">
        <f t="shared" si="1"/>
        <v/>
      </c>
      <c r="B647" s="40"/>
      <c r="C647" s="40"/>
      <c r="D647" s="41" t="str">
        <f t="shared" si="2"/>
        <v/>
      </c>
      <c r="E647" s="40"/>
      <c r="F647" s="42"/>
      <c r="G647" s="40"/>
      <c r="H647" s="40"/>
      <c r="I647" s="40"/>
      <c r="J647" s="43"/>
      <c r="K647" s="43">
        <f>IF(I647="Professional Billing Rate",J647,'Lists &amp; Settings'!$E$2)</f>
        <v>35.47</v>
      </c>
      <c r="L647" s="40"/>
    </row>
    <row r="648">
      <c r="A648" s="28" t="str">
        <f t="shared" si="1"/>
        <v/>
      </c>
      <c r="B648" s="28"/>
      <c r="C648" s="28"/>
      <c r="D648" s="26" t="str">
        <f t="shared" si="2"/>
        <v/>
      </c>
      <c r="E648" s="28"/>
      <c r="F648" s="35"/>
      <c r="G648" s="28"/>
      <c r="H648" s="28"/>
      <c r="I648" s="28"/>
      <c r="J648" s="37"/>
      <c r="K648" s="37">
        <f>IF(I648="Professional Billing Rate",J648,'Lists &amp; Settings'!$E$2)</f>
        <v>35.47</v>
      </c>
      <c r="L648" s="28"/>
    </row>
    <row r="649">
      <c r="A649" s="40" t="str">
        <f t="shared" si="1"/>
        <v/>
      </c>
      <c r="B649" s="40"/>
      <c r="C649" s="40"/>
      <c r="D649" s="41" t="str">
        <f t="shared" si="2"/>
        <v/>
      </c>
      <c r="E649" s="40"/>
      <c r="F649" s="42"/>
      <c r="G649" s="40"/>
      <c r="H649" s="40"/>
      <c r="I649" s="40"/>
      <c r="J649" s="43"/>
      <c r="K649" s="43">
        <f>IF(I649="Professional Billing Rate",J649,'Lists &amp; Settings'!$E$2)</f>
        <v>35.47</v>
      </c>
      <c r="L649" s="40"/>
    </row>
    <row r="650">
      <c r="A650" s="28" t="str">
        <f t="shared" si="1"/>
        <v/>
      </c>
      <c r="B650" s="28"/>
      <c r="C650" s="28"/>
      <c r="D650" s="26" t="str">
        <f t="shared" si="2"/>
        <v/>
      </c>
      <c r="E650" s="28"/>
      <c r="F650" s="35"/>
      <c r="G650" s="28"/>
      <c r="H650" s="28"/>
      <c r="I650" s="28"/>
      <c r="J650" s="37"/>
      <c r="K650" s="37">
        <f>IF(I650="Professional Billing Rate",J650,'Lists &amp; Settings'!$E$2)</f>
        <v>35.47</v>
      </c>
      <c r="L650" s="28"/>
    </row>
    <row r="651">
      <c r="A651" s="40" t="str">
        <f t="shared" si="1"/>
        <v/>
      </c>
      <c r="B651" s="40"/>
      <c r="C651" s="40"/>
      <c r="D651" s="41" t="str">
        <f t="shared" si="2"/>
        <v/>
      </c>
      <c r="E651" s="40"/>
      <c r="F651" s="42"/>
      <c r="G651" s="40"/>
      <c r="H651" s="40"/>
      <c r="I651" s="40"/>
      <c r="J651" s="43"/>
      <c r="K651" s="43">
        <f>IF(I651="Professional Billing Rate",J651,'Lists &amp; Settings'!$E$2)</f>
        <v>35.47</v>
      </c>
      <c r="L651" s="40"/>
    </row>
    <row r="652">
      <c r="A652" s="28" t="str">
        <f t="shared" si="1"/>
        <v/>
      </c>
      <c r="B652" s="28"/>
      <c r="C652" s="28"/>
      <c r="D652" s="26" t="str">
        <f t="shared" si="2"/>
        <v/>
      </c>
      <c r="E652" s="28"/>
      <c r="F652" s="35"/>
      <c r="G652" s="28"/>
      <c r="H652" s="28"/>
      <c r="I652" s="28"/>
      <c r="J652" s="37"/>
      <c r="K652" s="37">
        <f>IF(I652="Professional Billing Rate",J652,'Lists &amp; Settings'!$E$2)</f>
        <v>35.47</v>
      </c>
      <c r="L652" s="28"/>
    </row>
    <row r="653">
      <c r="A653" s="40" t="str">
        <f t="shared" si="1"/>
        <v/>
      </c>
      <c r="B653" s="40"/>
      <c r="C653" s="40"/>
      <c r="D653" s="41" t="str">
        <f t="shared" si="2"/>
        <v/>
      </c>
      <c r="E653" s="40"/>
      <c r="F653" s="42"/>
      <c r="G653" s="40"/>
      <c r="H653" s="40"/>
      <c r="I653" s="40"/>
      <c r="J653" s="43"/>
      <c r="K653" s="43">
        <f>IF(I653="Professional Billing Rate",J653,'Lists &amp; Settings'!$E$2)</f>
        <v>35.47</v>
      </c>
      <c r="L653" s="40"/>
    </row>
    <row r="654">
      <c r="A654" s="28" t="str">
        <f t="shared" si="1"/>
        <v/>
      </c>
      <c r="B654" s="28"/>
      <c r="C654" s="28"/>
      <c r="D654" s="26" t="str">
        <f t="shared" si="2"/>
        <v/>
      </c>
      <c r="E654" s="28"/>
      <c r="F654" s="35"/>
      <c r="G654" s="28"/>
      <c r="H654" s="28"/>
      <c r="I654" s="28"/>
      <c r="J654" s="37"/>
      <c r="K654" s="37">
        <f>IF(I654="Professional Billing Rate",J654,'Lists &amp; Settings'!$E$2)</f>
        <v>35.47</v>
      </c>
      <c r="L654" s="28"/>
    </row>
    <row r="655">
      <c r="A655" s="40" t="str">
        <f t="shared" si="1"/>
        <v/>
      </c>
      <c r="B655" s="40"/>
      <c r="C655" s="40"/>
      <c r="D655" s="41" t="str">
        <f t="shared" si="2"/>
        <v/>
      </c>
      <c r="E655" s="40"/>
      <c r="F655" s="42"/>
      <c r="G655" s="40"/>
      <c r="H655" s="40"/>
      <c r="I655" s="40"/>
      <c r="J655" s="43"/>
      <c r="K655" s="43">
        <f>IF(I655="Professional Billing Rate",J655,'Lists &amp; Settings'!$E$2)</f>
        <v>35.47</v>
      </c>
      <c r="L655" s="40"/>
    </row>
    <row r="656">
      <c r="A656" s="28" t="str">
        <f t="shared" si="1"/>
        <v/>
      </c>
      <c r="B656" s="28"/>
      <c r="C656" s="28"/>
      <c r="D656" s="26" t="str">
        <f t="shared" si="2"/>
        <v/>
      </c>
      <c r="E656" s="28"/>
      <c r="F656" s="35"/>
      <c r="G656" s="28"/>
      <c r="H656" s="28"/>
      <c r="I656" s="28"/>
      <c r="J656" s="37"/>
      <c r="K656" s="37">
        <f>IF(I656="Professional Billing Rate",J656,'Lists &amp; Settings'!$E$2)</f>
        <v>35.47</v>
      </c>
      <c r="L656" s="28"/>
    </row>
    <row r="657">
      <c r="A657" s="40" t="str">
        <f t="shared" si="1"/>
        <v/>
      </c>
      <c r="B657" s="40"/>
      <c r="C657" s="40"/>
      <c r="D657" s="41" t="str">
        <f t="shared" si="2"/>
        <v/>
      </c>
      <c r="E657" s="40"/>
      <c r="F657" s="42"/>
      <c r="G657" s="40"/>
      <c r="H657" s="40"/>
      <c r="I657" s="40"/>
      <c r="J657" s="43"/>
      <c r="K657" s="43">
        <f>IF(I657="Professional Billing Rate",J657,'Lists &amp; Settings'!$E$2)</f>
        <v>35.47</v>
      </c>
      <c r="L657" s="40"/>
    </row>
    <row r="658">
      <c r="A658" s="28" t="str">
        <f t="shared" si="1"/>
        <v/>
      </c>
      <c r="B658" s="28"/>
      <c r="C658" s="28"/>
      <c r="D658" s="26" t="str">
        <f t="shared" si="2"/>
        <v/>
      </c>
      <c r="E658" s="28"/>
      <c r="F658" s="35"/>
      <c r="G658" s="28"/>
      <c r="H658" s="28"/>
      <c r="I658" s="28"/>
      <c r="J658" s="37"/>
      <c r="K658" s="37">
        <f>IF(I658="Professional Billing Rate",J658,'Lists &amp; Settings'!$E$2)</f>
        <v>35.47</v>
      </c>
      <c r="L658" s="28"/>
    </row>
    <row r="659">
      <c r="A659" s="40" t="str">
        <f t="shared" si="1"/>
        <v/>
      </c>
      <c r="B659" s="40"/>
      <c r="C659" s="40"/>
      <c r="D659" s="41" t="str">
        <f t="shared" si="2"/>
        <v/>
      </c>
      <c r="E659" s="40"/>
      <c r="F659" s="42"/>
      <c r="G659" s="40"/>
      <c r="H659" s="40"/>
      <c r="I659" s="40"/>
      <c r="J659" s="43"/>
      <c r="K659" s="43">
        <f>IF(I659="Professional Billing Rate",J659,'Lists &amp; Settings'!$E$2)</f>
        <v>35.47</v>
      </c>
      <c r="L659" s="40"/>
    </row>
    <row r="660">
      <c r="A660" s="28" t="str">
        <f t="shared" si="1"/>
        <v/>
      </c>
      <c r="B660" s="28"/>
      <c r="C660" s="28"/>
      <c r="D660" s="26" t="str">
        <f t="shared" si="2"/>
        <v/>
      </c>
      <c r="E660" s="28"/>
      <c r="F660" s="35"/>
      <c r="G660" s="28"/>
      <c r="H660" s="28"/>
      <c r="I660" s="28"/>
      <c r="J660" s="37"/>
      <c r="K660" s="37">
        <f>IF(I660="Professional Billing Rate",J660,'Lists &amp; Settings'!$E$2)</f>
        <v>35.47</v>
      </c>
      <c r="L660" s="28"/>
    </row>
    <row r="661">
      <c r="A661" s="40" t="str">
        <f t="shared" si="1"/>
        <v/>
      </c>
      <c r="B661" s="40"/>
      <c r="C661" s="40"/>
      <c r="D661" s="41" t="str">
        <f t="shared" si="2"/>
        <v/>
      </c>
      <c r="E661" s="40"/>
      <c r="F661" s="42"/>
      <c r="G661" s="40"/>
      <c r="H661" s="40"/>
      <c r="I661" s="40"/>
      <c r="J661" s="43"/>
      <c r="K661" s="43">
        <f>IF(I661="Professional Billing Rate",J661,'Lists &amp; Settings'!$E$2)</f>
        <v>35.47</v>
      </c>
      <c r="L661" s="40"/>
    </row>
    <row r="662">
      <c r="A662" s="28" t="str">
        <f t="shared" si="1"/>
        <v/>
      </c>
      <c r="B662" s="28"/>
      <c r="C662" s="28"/>
      <c r="D662" s="26" t="str">
        <f t="shared" si="2"/>
        <v/>
      </c>
      <c r="E662" s="28"/>
      <c r="F662" s="35"/>
      <c r="G662" s="28"/>
      <c r="H662" s="28"/>
      <c r="I662" s="28"/>
      <c r="J662" s="37"/>
      <c r="K662" s="37">
        <f>IF(I662="Professional Billing Rate",J662,'Lists &amp; Settings'!$E$2)</f>
        <v>35.47</v>
      </c>
      <c r="L662" s="28"/>
    </row>
    <row r="663">
      <c r="A663" s="40" t="str">
        <f t="shared" si="1"/>
        <v/>
      </c>
      <c r="B663" s="40"/>
      <c r="C663" s="40"/>
      <c r="D663" s="41" t="str">
        <f t="shared" si="2"/>
        <v/>
      </c>
      <c r="E663" s="40"/>
      <c r="F663" s="42"/>
      <c r="G663" s="40"/>
      <c r="H663" s="40"/>
      <c r="I663" s="40"/>
      <c r="J663" s="43"/>
      <c r="K663" s="43">
        <f>IF(I663="Professional Billing Rate",J663,'Lists &amp; Settings'!$E$2)</f>
        <v>35.47</v>
      </c>
      <c r="L663" s="40"/>
    </row>
    <row r="664">
      <c r="A664" s="28" t="str">
        <f t="shared" si="1"/>
        <v/>
      </c>
      <c r="B664" s="28"/>
      <c r="C664" s="28"/>
      <c r="D664" s="26" t="str">
        <f t="shared" si="2"/>
        <v/>
      </c>
      <c r="E664" s="28"/>
      <c r="F664" s="35"/>
      <c r="G664" s="28"/>
      <c r="H664" s="28"/>
      <c r="I664" s="28"/>
      <c r="J664" s="37"/>
      <c r="K664" s="37">
        <f>IF(I664="Professional Billing Rate",J664,'Lists &amp; Settings'!$E$2)</f>
        <v>35.47</v>
      </c>
      <c r="L664" s="28"/>
    </row>
    <row r="665">
      <c r="A665" s="40" t="str">
        <f t="shared" si="1"/>
        <v/>
      </c>
      <c r="B665" s="40"/>
      <c r="C665" s="40"/>
      <c r="D665" s="41" t="str">
        <f t="shared" si="2"/>
        <v/>
      </c>
      <c r="E665" s="40"/>
      <c r="F665" s="42"/>
      <c r="G665" s="40"/>
      <c r="H665" s="40"/>
      <c r="I665" s="40"/>
      <c r="J665" s="43"/>
      <c r="K665" s="43">
        <f>IF(I665="Professional Billing Rate",J665,'Lists &amp; Settings'!$E$2)</f>
        <v>35.47</v>
      </c>
      <c r="L665" s="40"/>
    </row>
    <row r="666">
      <c r="A666" s="28" t="str">
        <f t="shared" si="1"/>
        <v/>
      </c>
      <c r="B666" s="28"/>
      <c r="C666" s="28"/>
      <c r="D666" s="26" t="str">
        <f t="shared" si="2"/>
        <v/>
      </c>
      <c r="E666" s="28"/>
      <c r="F666" s="35"/>
      <c r="G666" s="28"/>
      <c r="H666" s="28"/>
      <c r="I666" s="28"/>
      <c r="J666" s="37"/>
      <c r="K666" s="37">
        <f>IF(I666="Professional Billing Rate",J666,'Lists &amp; Settings'!$E$2)</f>
        <v>35.47</v>
      </c>
      <c r="L666" s="28"/>
    </row>
    <row r="667">
      <c r="A667" s="40" t="str">
        <f t="shared" si="1"/>
        <v/>
      </c>
      <c r="B667" s="40"/>
      <c r="C667" s="40"/>
      <c r="D667" s="41" t="str">
        <f t="shared" si="2"/>
        <v/>
      </c>
      <c r="E667" s="40"/>
      <c r="F667" s="42"/>
      <c r="G667" s="40"/>
      <c r="H667" s="40"/>
      <c r="I667" s="40"/>
      <c r="J667" s="43"/>
      <c r="K667" s="43">
        <f>IF(I667="Professional Billing Rate",J667,'Lists &amp; Settings'!$E$2)</f>
        <v>35.47</v>
      </c>
      <c r="L667" s="40"/>
    </row>
    <row r="668">
      <c r="A668" s="28" t="str">
        <f t="shared" si="1"/>
        <v/>
      </c>
      <c r="B668" s="28"/>
      <c r="C668" s="28"/>
      <c r="D668" s="26" t="str">
        <f t="shared" si="2"/>
        <v/>
      </c>
      <c r="E668" s="28"/>
      <c r="F668" s="35"/>
      <c r="G668" s="28"/>
      <c r="H668" s="28"/>
      <c r="I668" s="28"/>
      <c r="J668" s="37"/>
      <c r="K668" s="37">
        <f>IF(I668="Professional Billing Rate",J668,'Lists &amp; Settings'!$E$2)</f>
        <v>35.47</v>
      </c>
      <c r="L668" s="28"/>
    </row>
    <row r="669">
      <c r="A669" s="40" t="str">
        <f t="shared" si="1"/>
        <v/>
      </c>
      <c r="B669" s="40"/>
      <c r="C669" s="40"/>
      <c r="D669" s="41" t="str">
        <f t="shared" si="2"/>
        <v/>
      </c>
      <c r="E669" s="40"/>
      <c r="F669" s="42"/>
      <c r="G669" s="40"/>
      <c r="H669" s="40"/>
      <c r="I669" s="40"/>
      <c r="J669" s="43"/>
      <c r="K669" s="43">
        <f>IF(I669="Professional Billing Rate",J669,'Lists &amp; Settings'!$E$2)</f>
        <v>35.47</v>
      </c>
      <c r="L669" s="40"/>
    </row>
    <row r="670">
      <c r="A670" s="28" t="str">
        <f t="shared" si="1"/>
        <v/>
      </c>
      <c r="B670" s="28"/>
      <c r="C670" s="28"/>
      <c r="D670" s="26" t="str">
        <f t="shared" si="2"/>
        <v/>
      </c>
      <c r="E670" s="28"/>
      <c r="F670" s="35"/>
      <c r="G670" s="28"/>
      <c r="H670" s="28"/>
      <c r="I670" s="28"/>
      <c r="J670" s="37"/>
      <c r="K670" s="37">
        <f>IF(I670="Professional Billing Rate",J670,'Lists &amp; Settings'!$E$2)</f>
        <v>35.47</v>
      </c>
      <c r="L670" s="28"/>
    </row>
    <row r="671">
      <c r="A671" s="40" t="str">
        <f t="shared" si="1"/>
        <v/>
      </c>
      <c r="B671" s="40"/>
      <c r="C671" s="40"/>
      <c r="D671" s="41" t="str">
        <f t="shared" si="2"/>
        <v/>
      </c>
      <c r="E671" s="40"/>
      <c r="F671" s="42"/>
      <c r="G671" s="40"/>
      <c r="H671" s="40"/>
      <c r="I671" s="40"/>
      <c r="J671" s="43"/>
      <c r="K671" s="43">
        <f>IF(I671="Professional Billing Rate",J671,'Lists &amp; Settings'!$E$2)</f>
        <v>35.47</v>
      </c>
      <c r="L671" s="40"/>
    </row>
    <row r="672">
      <c r="A672" s="28" t="str">
        <f t="shared" si="1"/>
        <v/>
      </c>
      <c r="B672" s="28"/>
      <c r="C672" s="28"/>
      <c r="D672" s="26" t="str">
        <f t="shared" si="2"/>
        <v/>
      </c>
      <c r="E672" s="28"/>
      <c r="F672" s="35"/>
      <c r="G672" s="28"/>
      <c r="H672" s="28"/>
      <c r="I672" s="28"/>
      <c r="J672" s="37"/>
      <c r="K672" s="37">
        <f>IF(I672="Professional Billing Rate",J672,'Lists &amp; Settings'!$E$2)</f>
        <v>35.47</v>
      </c>
      <c r="L672" s="28"/>
    </row>
    <row r="673">
      <c r="A673" s="40" t="str">
        <f t="shared" si="1"/>
        <v/>
      </c>
      <c r="B673" s="40"/>
      <c r="C673" s="40"/>
      <c r="D673" s="41" t="str">
        <f t="shared" si="2"/>
        <v/>
      </c>
      <c r="E673" s="40"/>
      <c r="F673" s="42"/>
      <c r="G673" s="40"/>
      <c r="H673" s="40"/>
      <c r="I673" s="40"/>
      <c r="J673" s="43"/>
      <c r="K673" s="43">
        <f>IF(I673="Professional Billing Rate",J673,'Lists &amp; Settings'!$E$2)</f>
        <v>35.47</v>
      </c>
      <c r="L673" s="40"/>
    </row>
    <row r="674">
      <c r="A674" s="28" t="str">
        <f t="shared" si="1"/>
        <v/>
      </c>
      <c r="B674" s="28"/>
      <c r="C674" s="28"/>
      <c r="D674" s="26" t="str">
        <f t="shared" si="2"/>
        <v/>
      </c>
      <c r="E674" s="28"/>
      <c r="F674" s="35"/>
      <c r="G674" s="28"/>
      <c r="H674" s="28"/>
      <c r="I674" s="28"/>
      <c r="J674" s="37"/>
      <c r="K674" s="37">
        <f>IF(I674="Professional Billing Rate",J674,'Lists &amp; Settings'!$E$2)</f>
        <v>35.47</v>
      </c>
      <c r="L674" s="28"/>
    </row>
    <row r="675">
      <c r="A675" s="40" t="str">
        <f t="shared" si="1"/>
        <v/>
      </c>
      <c r="B675" s="40"/>
      <c r="C675" s="40"/>
      <c r="D675" s="41" t="str">
        <f t="shared" si="2"/>
        <v/>
      </c>
      <c r="E675" s="40"/>
      <c r="F675" s="42"/>
      <c r="G675" s="40"/>
      <c r="H675" s="40"/>
      <c r="I675" s="40"/>
      <c r="J675" s="43"/>
      <c r="K675" s="43">
        <f>IF(I675="Professional Billing Rate",J675,'Lists &amp; Settings'!$E$2)</f>
        <v>35.47</v>
      </c>
      <c r="L675" s="40"/>
    </row>
    <row r="676">
      <c r="A676" s="28" t="str">
        <f t="shared" si="1"/>
        <v/>
      </c>
      <c r="B676" s="28"/>
      <c r="C676" s="28"/>
      <c r="D676" s="26" t="str">
        <f t="shared" si="2"/>
        <v/>
      </c>
      <c r="E676" s="28"/>
      <c r="F676" s="35"/>
      <c r="G676" s="28"/>
      <c r="H676" s="28"/>
      <c r="I676" s="28"/>
      <c r="J676" s="37"/>
      <c r="K676" s="37">
        <f>IF(I676="Professional Billing Rate",J676,'Lists &amp; Settings'!$E$2)</f>
        <v>35.47</v>
      </c>
      <c r="L676" s="28"/>
    </row>
    <row r="677">
      <c r="A677" s="40" t="str">
        <f t="shared" si="1"/>
        <v/>
      </c>
      <c r="B677" s="40"/>
      <c r="C677" s="40"/>
      <c r="D677" s="41" t="str">
        <f t="shared" si="2"/>
        <v/>
      </c>
      <c r="E677" s="40"/>
      <c r="F677" s="42"/>
      <c r="G677" s="40"/>
      <c r="H677" s="40"/>
      <c r="I677" s="40"/>
      <c r="J677" s="43"/>
      <c r="K677" s="43">
        <f>IF(I677="Professional Billing Rate",J677,'Lists &amp; Settings'!$E$2)</f>
        <v>35.47</v>
      </c>
      <c r="L677" s="40"/>
    </row>
    <row r="678">
      <c r="A678" s="28" t="str">
        <f t="shared" si="1"/>
        <v/>
      </c>
      <c r="B678" s="28"/>
      <c r="C678" s="28"/>
      <c r="D678" s="26" t="str">
        <f t="shared" si="2"/>
        <v/>
      </c>
      <c r="E678" s="28"/>
      <c r="F678" s="35"/>
      <c r="G678" s="28"/>
      <c r="H678" s="28"/>
      <c r="I678" s="28"/>
      <c r="J678" s="37"/>
      <c r="K678" s="37">
        <f>IF(I678="Professional Billing Rate",J678,'Lists &amp; Settings'!$E$2)</f>
        <v>35.47</v>
      </c>
      <c r="L678" s="28"/>
    </row>
    <row r="679">
      <c r="A679" s="40" t="str">
        <f t="shared" si="1"/>
        <v/>
      </c>
      <c r="B679" s="40"/>
      <c r="C679" s="40"/>
      <c r="D679" s="41" t="str">
        <f t="shared" si="2"/>
        <v/>
      </c>
      <c r="E679" s="40"/>
      <c r="F679" s="42"/>
      <c r="G679" s="40"/>
      <c r="H679" s="40"/>
      <c r="I679" s="40"/>
      <c r="J679" s="43"/>
      <c r="K679" s="43">
        <f>IF(I679="Professional Billing Rate",J679,'Lists &amp; Settings'!$E$2)</f>
        <v>35.47</v>
      </c>
      <c r="L679" s="40"/>
    </row>
    <row r="680">
      <c r="A680" s="28" t="str">
        <f t="shared" si="1"/>
        <v/>
      </c>
      <c r="B680" s="28"/>
      <c r="C680" s="28"/>
      <c r="D680" s="26" t="str">
        <f t="shared" si="2"/>
        <v/>
      </c>
      <c r="E680" s="28"/>
      <c r="F680" s="35"/>
      <c r="G680" s="28"/>
      <c r="H680" s="28"/>
      <c r="I680" s="28"/>
      <c r="J680" s="37"/>
      <c r="K680" s="37">
        <f>IF(I680="Professional Billing Rate",J680,'Lists &amp; Settings'!$E$2)</f>
        <v>35.47</v>
      </c>
      <c r="L680" s="28"/>
    </row>
    <row r="681">
      <c r="A681" s="40" t="str">
        <f t="shared" si="1"/>
        <v/>
      </c>
      <c r="B681" s="40"/>
      <c r="C681" s="40"/>
      <c r="D681" s="41" t="str">
        <f t="shared" si="2"/>
        <v/>
      </c>
      <c r="E681" s="40"/>
      <c r="F681" s="42"/>
      <c r="G681" s="40"/>
      <c r="H681" s="40"/>
      <c r="I681" s="40"/>
      <c r="J681" s="43"/>
      <c r="K681" s="43">
        <f>IF(I681="Professional Billing Rate",J681,'Lists &amp; Settings'!$E$2)</f>
        <v>35.47</v>
      </c>
      <c r="L681" s="40"/>
    </row>
    <row r="682">
      <c r="A682" s="28" t="str">
        <f t="shared" si="1"/>
        <v/>
      </c>
      <c r="B682" s="28"/>
      <c r="C682" s="28"/>
      <c r="D682" s="26" t="str">
        <f t="shared" si="2"/>
        <v/>
      </c>
      <c r="E682" s="28"/>
      <c r="F682" s="35"/>
      <c r="G682" s="28"/>
      <c r="H682" s="28"/>
      <c r="I682" s="28"/>
      <c r="J682" s="37"/>
      <c r="K682" s="37">
        <f>IF(I682="Professional Billing Rate",J682,'Lists &amp; Settings'!$E$2)</f>
        <v>35.47</v>
      </c>
      <c r="L682" s="28"/>
    </row>
    <row r="683">
      <c r="A683" s="40" t="str">
        <f t="shared" si="1"/>
        <v/>
      </c>
      <c r="B683" s="40"/>
      <c r="C683" s="40"/>
      <c r="D683" s="41" t="str">
        <f t="shared" si="2"/>
        <v/>
      </c>
      <c r="E683" s="40"/>
      <c r="F683" s="42"/>
      <c r="G683" s="40"/>
      <c r="H683" s="40"/>
      <c r="I683" s="40"/>
      <c r="J683" s="43"/>
      <c r="K683" s="43">
        <f>IF(I683="Professional Billing Rate",J683,'Lists &amp; Settings'!$E$2)</f>
        <v>35.47</v>
      </c>
      <c r="L683" s="40"/>
    </row>
    <row r="684">
      <c r="A684" s="28" t="str">
        <f t="shared" si="1"/>
        <v/>
      </c>
      <c r="B684" s="28"/>
      <c r="C684" s="28"/>
      <c r="D684" s="26" t="str">
        <f t="shared" si="2"/>
        <v/>
      </c>
      <c r="E684" s="28"/>
      <c r="F684" s="35"/>
      <c r="G684" s="28"/>
      <c r="H684" s="28"/>
      <c r="I684" s="28"/>
      <c r="J684" s="37"/>
      <c r="K684" s="37">
        <f>IF(I684="Professional Billing Rate",J684,'Lists &amp; Settings'!$E$2)</f>
        <v>35.47</v>
      </c>
      <c r="L684" s="28"/>
    </row>
    <row r="685">
      <c r="A685" s="40" t="str">
        <f t="shared" si="1"/>
        <v/>
      </c>
      <c r="B685" s="40"/>
      <c r="C685" s="40"/>
      <c r="D685" s="41" t="str">
        <f t="shared" si="2"/>
        <v/>
      </c>
      <c r="E685" s="40"/>
      <c r="F685" s="42"/>
      <c r="G685" s="40"/>
      <c r="H685" s="40"/>
      <c r="I685" s="40"/>
      <c r="J685" s="43"/>
      <c r="K685" s="43">
        <f>IF(I685="Professional Billing Rate",J685,'Lists &amp; Settings'!$E$2)</f>
        <v>35.47</v>
      </c>
      <c r="L685" s="40"/>
    </row>
    <row r="686">
      <c r="A686" s="28" t="str">
        <f t="shared" si="1"/>
        <v/>
      </c>
      <c r="B686" s="28"/>
      <c r="C686" s="28"/>
      <c r="D686" s="26" t="str">
        <f t="shared" si="2"/>
        <v/>
      </c>
      <c r="E686" s="28"/>
      <c r="F686" s="35"/>
      <c r="G686" s="28"/>
      <c r="H686" s="28"/>
      <c r="I686" s="28"/>
      <c r="J686" s="37"/>
      <c r="K686" s="37">
        <f>IF(I686="Professional Billing Rate",J686,'Lists &amp; Settings'!$E$2)</f>
        <v>35.47</v>
      </c>
      <c r="L686" s="28"/>
    </row>
    <row r="687">
      <c r="A687" s="40" t="str">
        <f t="shared" si="1"/>
        <v/>
      </c>
      <c r="B687" s="40"/>
      <c r="C687" s="40"/>
      <c r="D687" s="41" t="str">
        <f t="shared" si="2"/>
        <v/>
      </c>
      <c r="E687" s="40"/>
      <c r="F687" s="42"/>
      <c r="G687" s="40"/>
      <c r="H687" s="40"/>
      <c r="I687" s="40"/>
      <c r="J687" s="43"/>
      <c r="K687" s="43">
        <f>IF(I687="Professional Billing Rate",J687,'Lists &amp; Settings'!$E$2)</f>
        <v>35.47</v>
      </c>
      <c r="L687" s="40"/>
    </row>
    <row r="688">
      <c r="A688" s="28" t="str">
        <f t="shared" si="1"/>
        <v/>
      </c>
      <c r="B688" s="28"/>
      <c r="C688" s="28"/>
      <c r="D688" s="26" t="str">
        <f t="shared" si="2"/>
        <v/>
      </c>
      <c r="E688" s="28"/>
      <c r="F688" s="35"/>
      <c r="G688" s="28"/>
      <c r="H688" s="28"/>
      <c r="I688" s="28"/>
      <c r="J688" s="37"/>
      <c r="K688" s="37">
        <f>IF(I688="Professional Billing Rate",J688,'Lists &amp; Settings'!$E$2)</f>
        <v>35.47</v>
      </c>
      <c r="L688" s="28"/>
    </row>
    <row r="689">
      <c r="A689" s="40" t="str">
        <f t="shared" si="1"/>
        <v/>
      </c>
      <c r="B689" s="40"/>
      <c r="C689" s="40"/>
      <c r="D689" s="41" t="str">
        <f t="shared" si="2"/>
        <v/>
      </c>
      <c r="E689" s="40"/>
      <c r="F689" s="42"/>
      <c r="G689" s="40"/>
      <c r="H689" s="40"/>
      <c r="I689" s="40"/>
      <c r="J689" s="43"/>
      <c r="K689" s="43">
        <f>IF(I689="Professional Billing Rate",J689,'Lists &amp; Settings'!$E$2)</f>
        <v>35.47</v>
      </c>
      <c r="L689" s="40"/>
    </row>
    <row r="690">
      <c r="A690" s="28" t="str">
        <f t="shared" si="1"/>
        <v/>
      </c>
      <c r="B690" s="28"/>
      <c r="C690" s="28"/>
      <c r="D690" s="26" t="str">
        <f t="shared" si="2"/>
        <v/>
      </c>
      <c r="E690" s="28"/>
      <c r="F690" s="35"/>
      <c r="G690" s="28"/>
      <c r="H690" s="28"/>
      <c r="I690" s="28"/>
      <c r="J690" s="37"/>
      <c r="K690" s="37">
        <f>IF(I690="Professional Billing Rate",J690,'Lists &amp; Settings'!$E$2)</f>
        <v>35.47</v>
      </c>
      <c r="L690" s="28"/>
    </row>
    <row r="691">
      <c r="A691" s="40" t="str">
        <f t="shared" si="1"/>
        <v/>
      </c>
      <c r="B691" s="40"/>
      <c r="C691" s="40"/>
      <c r="D691" s="41" t="str">
        <f t="shared" si="2"/>
        <v/>
      </c>
      <c r="E691" s="40"/>
      <c r="F691" s="42"/>
      <c r="G691" s="40"/>
      <c r="H691" s="40"/>
      <c r="I691" s="40"/>
      <c r="J691" s="43"/>
      <c r="K691" s="43">
        <f>IF(I691="Professional Billing Rate",J691,'Lists &amp; Settings'!$E$2)</f>
        <v>35.47</v>
      </c>
      <c r="L691" s="40"/>
    </row>
    <row r="692">
      <c r="A692" s="28" t="str">
        <f t="shared" si="1"/>
        <v/>
      </c>
      <c r="B692" s="28"/>
      <c r="C692" s="28"/>
      <c r="D692" s="26" t="str">
        <f t="shared" si="2"/>
        <v/>
      </c>
      <c r="E692" s="28"/>
      <c r="F692" s="35"/>
      <c r="G692" s="28"/>
      <c r="H692" s="28"/>
      <c r="I692" s="28"/>
      <c r="J692" s="37"/>
      <c r="K692" s="37">
        <f>IF(I692="Professional Billing Rate",J692,'Lists &amp; Settings'!$E$2)</f>
        <v>35.47</v>
      </c>
      <c r="L692" s="28"/>
    </row>
    <row r="693">
      <c r="A693" s="40" t="str">
        <f t="shared" si="1"/>
        <v/>
      </c>
      <c r="B693" s="40"/>
      <c r="C693" s="40"/>
      <c r="D693" s="41" t="str">
        <f t="shared" si="2"/>
        <v/>
      </c>
      <c r="E693" s="40"/>
      <c r="F693" s="42"/>
      <c r="G693" s="40"/>
      <c r="H693" s="40"/>
      <c r="I693" s="40"/>
      <c r="J693" s="43"/>
      <c r="K693" s="43">
        <f>IF(I693="Professional Billing Rate",J693,'Lists &amp; Settings'!$E$2)</f>
        <v>35.47</v>
      </c>
      <c r="L693" s="40"/>
    </row>
    <row r="694">
      <c r="A694" s="28" t="str">
        <f t="shared" si="1"/>
        <v/>
      </c>
      <c r="B694" s="28"/>
      <c r="C694" s="28"/>
      <c r="D694" s="26" t="str">
        <f t="shared" si="2"/>
        <v/>
      </c>
      <c r="E694" s="28"/>
      <c r="F694" s="35"/>
      <c r="G694" s="28"/>
      <c r="H694" s="28"/>
      <c r="I694" s="28"/>
      <c r="J694" s="37"/>
      <c r="K694" s="37">
        <f>IF(I694="Professional Billing Rate",J694,'Lists &amp; Settings'!$E$2)</f>
        <v>35.47</v>
      </c>
      <c r="L694" s="28"/>
    </row>
    <row r="695">
      <c r="A695" s="40" t="str">
        <f t="shared" si="1"/>
        <v/>
      </c>
      <c r="B695" s="40"/>
      <c r="C695" s="40"/>
      <c r="D695" s="41" t="str">
        <f t="shared" si="2"/>
        <v/>
      </c>
      <c r="E695" s="40"/>
      <c r="F695" s="42"/>
      <c r="G695" s="40"/>
      <c r="H695" s="40"/>
      <c r="I695" s="40"/>
      <c r="J695" s="43"/>
      <c r="K695" s="43">
        <f>IF(I695="Professional Billing Rate",J695,'Lists &amp; Settings'!$E$2)</f>
        <v>35.47</v>
      </c>
      <c r="L695" s="40"/>
    </row>
    <row r="696">
      <c r="A696" s="28" t="str">
        <f t="shared" si="1"/>
        <v/>
      </c>
      <c r="B696" s="28"/>
      <c r="C696" s="28"/>
      <c r="D696" s="26" t="str">
        <f t="shared" si="2"/>
        <v/>
      </c>
      <c r="E696" s="28"/>
      <c r="F696" s="35"/>
      <c r="G696" s="28"/>
      <c r="H696" s="28"/>
      <c r="I696" s="28"/>
      <c r="J696" s="37"/>
      <c r="K696" s="37">
        <f>IF(I696="Professional Billing Rate",J696,'Lists &amp; Settings'!$E$2)</f>
        <v>35.47</v>
      </c>
      <c r="L696" s="28"/>
    </row>
    <row r="697">
      <c r="A697" s="40" t="str">
        <f t="shared" si="1"/>
        <v/>
      </c>
      <c r="B697" s="40"/>
      <c r="C697" s="40"/>
      <c r="D697" s="41" t="str">
        <f t="shared" si="2"/>
        <v/>
      </c>
      <c r="E697" s="40"/>
      <c r="F697" s="42"/>
      <c r="G697" s="40"/>
      <c r="H697" s="40"/>
      <c r="I697" s="40"/>
      <c r="J697" s="43"/>
      <c r="K697" s="43">
        <f>IF(I697="Professional Billing Rate",J697,'Lists &amp; Settings'!$E$2)</f>
        <v>35.47</v>
      </c>
      <c r="L697" s="40"/>
    </row>
    <row r="698">
      <c r="A698" s="28" t="str">
        <f t="shared" si="1"/>
        <v/>
      </c>
      <c r="B698" s="28"/>
      <c r="C698" s="28"/>
      <c r="D698" s="26" t="str">
        <f t="shared" si="2"/>
        <v/>
      </c>
      <c r="E698" s="28"/>
      <c r="F698" s="35"/>
      <c r="G698" s="28"/>
      <c r="H698" s="28"/>
      <c r="I698" s="28"/>
      <c r="J698" s="37"/>
      <c r="K698" s="37">
        <f>IF(I698="Professional Billing Rate",J698,'Lists &amp; Settings'!$E$2)</f>
        <v>35.47</v>
      </c>
      <c r="L698" s="28"/>
    </row>
    <row r="699">
      <c r="A699" s="40" t="str">
        <f t="shared" si="1"/>
        <v/>
      </c>
      <c r="B699" s="40"/>
      <c r="C699" s="40"/>
      <c r="D699" s="41" t="str">
        <f t="shared" si="2"/>
        <v/>
      </c>
      <c r="E699" s="40"/>
      <c r="F699" s="42"/>
      <c r="G699" s="40"/>
      <c r="H699" s="40"/>
      <c r="I699" s="40"/>
      <c r="J699" s="43"/>
      <c r="K699" s="43">
        <f>IF(I699="Professional Billing Rate",J699,'Lists &amp; Settings'!$E$2)</f>
        <v>35.47</v>
      </c>
      <c r="L699" s="40"/>
    </row>
    <row r="700">
      <c r="A700" s="28" t="str">
        <f t="shared" si="1"/>
        <v/>
      </c>
      <c r="B700" s="28"/>
      <c r="C700" s="28"/>
      <c r="D700" s="26" t="str">
        <f t="shared" si="2"/>
        <v/>
      </c>
      <c r="E700" s="28"/>
      <c r="F700" s="35"/>
      <c r="G700" s="28"/>
      <c r="H700" s="28"/>
      <c r="I700" s="28"/>
      <c r="J700" s="37"/>
      <c r="K700" s="37">
        <f>IF(I700="Professional Billing Rate",J700,'Lists &amp; Settings'!$E$2)</f>
        <v>35.47</v>
      </c>
      <c r="L700" s="28"/>
    </row>
    <row r="701">
      <c r="A701" s="40" t="str">
        <f t="shared" si="1"/>
        <v/>
      </c>
      <c r="B701" s="40"/>
      <c r="C701" s="40"/>
      <c r="D701" s="41" t="str">
        <f t="shared" si="2"/>
        <v/>
      </c>
      <c r="E701" s="40"/>
      <c r="F701" s="42"/>
      <c r="G701" s="40"/>
      <c r="H701" s="40"/>
      <c r="I701" s="40"/>
      <c r="J701" s="43"/>
      <c r="K701" s="43">
        <f>IF(I701="Professional Billing Rate",J701,'Lists &amp; Settings'!$E$2)</f>
        <v>35.47</v>
      </c>
      <c r="L701" s="40"/>
    </row>
    <row r="702">
      <c r="A702" s="28" t="str">
        <f t="shared" si="1"/>
        <v/>
      </c>
      <c r="B702" s="28"/>
      <c r="C702" s="28"/>
      <c r="D702" s="26" t="str">
        <f t="shared" si="2"/>
        <v/>
      </c>
      <c r="E702" s="28"/>
      <c r="F702" s="35"/>
      <c r="G702" s="28"/>
      <c r="H702" s="28"/>
      <c r="I702" s="28"/>
      <c r="J702" s="37"/>
      <c r="K702" s="37">
        <f>IF(I702="Professional Billing Rate",J702,'Lists &amp; Settings'!$E$2)</f>
        <v>35.47</v>
      </c>
      <c r="L702" s="28"/>
    </row>
    <row r="703">
      <c r="A703" s="40" t="str">
        <f t="shared" si="1"/>
        <v/>
      </c>
      <c r="B703" s="40"/>
      <c r="C703" s="40"/>
      <c r="D703" s="41" t="str">
        <f t="shared" si="2"/>
        <v/>
      </c>
      <c r="E703" s="40"/>
      <c r="F703" s="42"/>
      <c r="G703" s="40"/>
      <c r="H703" s="40"/>
      <c r="I703" s="40"/>
      <c r="J703" s="43"/>
      <c r="K703" s="43">
        <f>IF(I703="Professional Billing Rate",J703,'Lists &amp; Settings'!$E$2)</f>
        <v>35.47</v>
      </c>
      <c r="L703" s="40"/>
    </row>
    <row r="704">
      <c r="A704" s="28" t="str">
        <f t="shared" si="1"/>
        <v/>
      </c>
      <c r="B704" s="28"/>
      <c r="C704" s="28"/>
      <c r="D704" s="26" t="str">
        <f t="shared" si="2"/>
        <v/>
      </c>
      <c r="E704" s="28"/>
      <c r="F704" s="35"/>
      <c r="G704" s="28"/>
      <c r="H704" s="28"/>
      <c r="I704" s="28"/>
      <c r="J704" s="37"/>
      <c r="K704" s="37">
        <f>IF(I704="Professional Billing Rate",J704,'Lists &amp; Settings'!$E$2)</f>
        <v>35.47</v>
      </c>
      <c r="L704" s="28"/>
    </row>
    <row r="705">
      <c r="A705" s="40" t="str">
        <f t="shared" si="1"/>
        <v/>
      </c>
      <c r="B705" s="40"/>
      <c r="C705" s="40"/>
      <c r="D705" s="41" t="str">
        <f t="shared" si="2"/>
        <v/>
      </c>
      <c r="E705" s="40"/>
      <c r="F705" s="42"/>
      <c r="G705" s="40"/>
      <c r="H705" s="40"/>
      <c r="I705" s="40"/>
      <c r="J705" s="43"/>
      <c r="K705" s="43">
        <f>IF(I705="Professional Billing Rate",J705,'Lists &amp; Settings'!$E$2)</f>
        <v>35.47</v>
      </c>
      <c r="L705" s="40"/>
    </row>
    <row r="706">
      <c r="A706" s="28" t="str">
        <f t="shared" si="1"/>
        <v/>
      </c>
      <c r="B706" s="28"/>
      <c r="C706" s="28"/>
      <c r="D706" s="26" t="str">
        <f t="shared" si="2"/>
        <v/>
      </c>
      <c r="E706" s="28"/>
      <c r="F706" s="35"/>
      <c r="G706" s="28"/>
      <c r="H706" s="28"/>
      <c r="I706" s="28"/>
      <c r="J706" s="37"/>
      <c r="K706" s="37">
        <f>IF(I706="Professional Billing Rate",J706,'Lists &amp; Settings'!$E$2)</f>
        <v>35.47</v>
      </c>
      <c r="L706" s="28"/>
    </row>
    <row r="707">
      <c r="A707" s="40" t="str">
        <f t="shared" si="1"/>
        <v/>
      </c>
      <c r="B707" s="40"/>
      <c r="C707" s="40"/>
      <c r="D707" s="41" t="str">
        <f t="shared" si="2"/>
        <v/>
      </c>
      <c r="E707" s="40"/>
      <c r="F707" s="42"/>
      <c r="G707" s="40"/>
      <c r="H707" s="40"/>
      <c r="I707" s="40"/>
      <c r="J707" s="43"/>
      <c r="K707" s="43">
        <f>IF(I707="Professional Billing Rate",J707,'Lists &amp; Settings'!$E$2)</f>
        <v>35.47</v>
      </c>
      <c r="L707" s="40"/>
    </row>
    <row r="708">
      <c r="A708" s="28" t="str">
        <f t="shared" si="1"/>
        <v/>
      </c>
      <c r="B708" s="28"/>
      <c r="C708" s="28"/>
      <c r="D708" s="26" t="str">
        <f t="shared" si="2"/>
        <v/>
      </c>
      <c r="E708" s="28"/>
      <c r="F708" s="35"/>
      <c r="G708" s="28"/>
      <c r="H708" s="28"/>
      <c r="I708" s="28"/>
      <c r="J708" s="37"/>
      <c r="K708" s="37">
        <f>IF(I708="Professional Billing Rate",J708,'Lists &amp; Settings'!$E$2)</f>
        <v>35.47</v>
      </c>
      <c r="L708" s="28"/>
    </row>
    <row r="709">
      <c r="A709" s="40" t="str">
        <f t="shared" si="1"/>
        <v/>
      </c>
      <c r="B709" s="40"/>
      <c r="C709" s="40"/>
      <c r="D709" s="41" t="str">
        <f t="shared" si="2"/>
        <v/>
      </c>
      <c r="E709" s="40"/>
      <c r="F709" s="42"/>
      <c r="G709" s="40"/>
      <c r="H709" s="40"/>
      <c r="I709" s="40"/>
      <c r="J709" s="43"/>
      <c r="K709" s="43">
        <f>IF(I709="Professional Billing Rate",J709,'Lists &amp; Settings'!$E$2)</f>
        <v>35.47</v>
      </c>
      <c r="L709" s="40"/>
    </row>
    <row r="710">
      <c r="A710" s="28" t="str">
        <f t="shared" si="1"/>
        <v/>
      </c>
      <c r="B710" s="28"/>
      <c r="C710" s="28"/>
      <c r="D710" s="26" t="str">
        <f t="shared" si="2"/>
        <v/>
      </c>
      <c r="E710" s="28"/>
      <c r="F710" s="35"/>
      <c r="G710" s="28"/>
      <c r="H710" s="28"/>
      <c r="I710" s="28"/>
      <c r="J710" s="37"/>
      <c r="K710" s="37">
        <f>IF(I710="Professional Billing Rate",J710,'Lists &amp; Settings'!$E$2)</f>
        <v>35.47</v>
      </c>
      <c r="L710" s="28"/>
    </row>
    <row r="711">
      <c r="A711" s="40" t="str">
        <f t="shared" si="1"/>
        <v/>
      </c>
      <c r="B711" s="40"/>
      <c r="C711" s="40"/>
      <c r="D711" s="41" t="str">
        <f t="shared" si="2"/>
        <v/>
      </c>
      <c r="E711" s="40"/>
      <c r="F711" s="42"/>
      <c r="G711" s="40"/>
      <c r="H711" s="40"/>
      <c r="I711" s="40"/>
      <c r="J711" s="43"/>
      <c r="K711" s="43">
        <f>IF(I711="Professional Billing Rate",J711,'Lists &amp; Settings'!$E$2)</f>
        <v>35.47</v>
      </c>
      <c r="L711" s="40"/>
    </row>
    <row r="712">
      <c r="A712" s="28" t="str">
        <f t="shared" si="1"/>
        <v/>
      </c>
      <c r="B712" s="28"/>
      <c r="C712" s="28"/>
      <c r="D712" s="26" t="str">
        <f t="shared" si="2"/>
        <v/>
      </c>
      <c r="E712" s="28"/>
      <c r="F712" s="35"/>
      <c r="G712" s="28"/>
      <c r="H712" s="28"/>
      <c r="I712" s="28"/>
      <c r="J712" s="37"/>
      <c r="K712" s="37">
        <f>IF(I712="Professional Billing Rate",J712,'Lists &amp; Settings'!$E$2)</f>
        <v>35.47</v>
      </c>
      <c r="L712" s="28"/>
    </row>
    <row r="713">
      <c r="A713" s="40" t="str">
        <f t="shared" si="1"/>
        <v/>
      </c>
      <c r="B713" s="40"/>
      <c r="C713" s="40"/>
      <c r="D713" s="41" t="str">
        <f t="shared" si="2"/>
        <v/>
      </c>
      <c r="E713" s="40"/>
      <c r="F713" s="42"/>
      <c r="G713" s="40"/>
      <c r="H713" s="40"/>
      <c r="I713" s="40"/>
      <c r="J713" s="43"/>
      <c r="K713" s="43">
        <f>IF(I713="Professional Billing Rate",J713,'Lists &amp; Settings'!$E$2)</f>
        <v>35.47</v>
      </c>
      <c r="L713" s="40"/>
    </row>
    <row r="714">
      <c r="A714" s="28" t="str">
        <f t="shared" si="1"/>
        <v/>
      </c>
      <c r="B714" s="28"/>
      <c r="C714" s="28"/>
      <c r="D714" s="26" t="str">
        <f t="shared" si="2"/>
        <v/>
      </c>
      <c r="E714" s="28"/>
      <c r="F714" s="35"/>
      <c r="G714" s="28"/>
      <c r="H714" s="28"/>
      <c r="I714" s="28"/>
      <c r="J714" s="37"/>
      <c r="K714" s="37">
        <f>IF(I714="Professional Billing Rate",J714,'Lists &amp; Settings'!$E$2)</f>
        <v>35.47</v>
      </c>
      <c r="L714" s="28"/>
    </row>
    <row r="715">
      <c r="A715" s="40" t="str">
        <f t="shared" si="1"/>
        <v/>
      </c>
      <c r="B715" s="40"/>
      <c r="C715" s="40"/>
      <c r="D715" s="41" t="str">
        <f t="shared" si="2"/>
        <v/>
      </c>
      <c r="E715" s="40"/>
      <c r="F715" s="42"/>
      <c r="G715" s="40"/>
      <c r="H715" s="40"/>
      <c r="I715" s="40"/>
      <c r="J715" s="43"/>
      <c r="K715" s="43">
        <f>IF(I715="Professional Billing Rate",J715,'Lists &amp; Settings'!$E$2)</f>
        <v>35.47</v>
      </c>
      <c r="L715" s="40"/>
    </row>
    <row r="716">
      <c r="A716" s="28" t="str">
        <f t="shared" si="1"/>
        <v/>
      </c>
      <c r="B716" s="28"/>
      <c r="C716" s="28"/>
      <c r="D716" s="26" t="str">
        <f t="shared" si="2"/>
        <v/>
      </c>
      <c r="E716" s="28"/>
      <c r="F716" s="35"/>
      <c r="G716" s="28"/>
      <c r="H716" s="28"/>
      <c r="I716" s="28"/>
      <c r="J716" s="37"/>
      <c r="K716" s="37">
        <f>IF(I716="Professional Billing Rate",J716,'Lists &amp; Settings'!$E$2)</f>
        <v>35.47</v>
      </c>
      <c r="L716" s="28"/>
    </row>
    <row r="717">
      <c r="A717" s="40" t="str">
        <f t="shared" si="1"/>
        <v/>
      </c>
      <c r="B717" s="40"/>
      <c r="C717" s="40"/>
      <c r="D717" s="41" t="str">
        <f t="shared" si="2"/>
        <v/>
      </c>
      <c r="E717" s="40"/>
      <c r="F717" s="42"/>
      <c r="G717" s="40"/>
      <c r="H717" s="40"/>
      <c r="I717" s="40"/>
      <c r="J717" s="43"/>
      <c r="K717" s="43">
        <f>IF(I717="Professional Billing Rate",J717,'Lists &amp; Settings'!$E$2)</f>
        <v>35.47</v>
      </c>
      <c r="L717" s="40"/>
    </row>
    <row r="718">
      <c r="A718" s="28" t="str">
        <f t="shared" si="1"/>
        <v/>
      </c>
      <c r="B718" s="28"/>
      <c r="C718" s="28"/>
      <c r="D718" s="26" t="str">
        <f t="shared" si="2"/>
        <v/>
      </c>
      <c r="E718" s="28"/>
      <c r="F718" s="35"/>
      <c r="G718" s="28"/>
      <c r="H718" s="28"/>
      <c r="I718" s="28"/>
      <c r="J718" s="37"/>
      <c r="K718" s="37">
        <f>IF(I718="Professional Billing Rate",J718,'Lists &amp; Settings'!$E$2)</f>
        <v>35.47</v>
      </c>
      <c r="L718" s="28"/>
    </row>
    <row r="719">
      <c r="A719" s="40" t="str">
        <f t="shared" si="1"/>
        <v/>
      </c>
      <c r="B719" s="40"/>
      <c r="C719" s="40"/>
      <c r="D719" s="41" t="str">
        <f t="shared" si="2"/>
        <v/>
      </c>
      <c r="E719" s="40"/>
      <c r="F719" s="42"/>
      <c r="G719" s="40"/>
      <c r="H719" s="40"/>
      <c r="I719" s="40"/>
      <c r="J719" s="43"/>
      <c r="K719" s="43">
        <f>IF(I719="Professional Billing Rate",J719,'Lists &amp; Settings'!$E$2)</f>
        <v>35.47</v>
      </c>
      <c r="L719" s="40"/>
    </row>
    <row r="720">
      <c r="A720" s="28" t="str">
        <f t="shared" si="1"/>
        <v/>
      </c>
      <c r="B720" s="28"/>
      <c r="C720" s="28"/>
      <c r="D720" s="26" t="str">
        <f t="shared" si="2"/>
        <v/>
      </c>
      <c r="E720" s="28"/>
      <c r="F720" s="35"/>
      <c r="G720" s="28"/>
      <c r="H720" s="28"/>
      <c r="I720" s="28"/>
      <c r="J720" s="37"/>
      <c r="K720" s="37">
        <f>IF(I720="Professional Billing Rate",J720,'Lists &amp; Settings'!$E$2)</f>
        <v>35.47</v>
      </c>
      <c r="L720" s="28"/>
    </row>
    <row r="721">
      <c r="A721" s="40" t="str">
        <f t="shared" si="1"/>
        <v/>
      </c>
      <c r="B721" s="40"/>
      <c r="C721" s="40"/>
      <c r="D721" s="41" t="str">
        <f t="shared" si="2"/>
        <v/>
      </c>
      <c r="E721" s="40"/>
      <c r="F721" s="42"/>
      <c r="G721" s="40"/>
      <c r="H721" s="40"/>
      <c r="I721" s="40"/>
      <c r="J721" s="43"/>
      <c r="K721" s="43">
        <f>IF(I721="Professional Billing Rate",J721,'Lists &amp; Settings'!$E$2)</f>
        <v>35.47</v>
      </c>
      <c r="L721" s="40"/>
    </row>
    <row r="722">
      <c r="A722" s="28" t="str">
        <f t="shared" si="1"/>
        <v/>
      </c>
      <c r="B722" s="28"/>
      <c r="C722" s="28"/>
      <c r="D722" s="26" t="str">
        <f t="shared" si="2"/>
        <v/>
      </c>
      <c r="E722" s="28"/>
      <c r="F722" s="35"/>
      <c r="G722" s="28"/>
      <c r="H722" s="28"/>
      <c r="I722" s="28"/>
      <c r="J722" s="37"/>
      <c r="K722" s="37">
        <f>IF(I722="Professional Billing Rate",J722,'Lists &amp; Settings'!$E$2)</f>
        <v>35.47</v>
      </c>
      <c r="L722" s="28"/>
    </row>
    <row r="723">
      <c r="A723" s="40" t="str">
        <f t="shared" si="1"/>
        <v/>
      </c>
      <c r="B723" s="40"/>
      <c r="C723" s="40"/>
      <c r="D723" s="41" t="str">
        <f t="shared" si="2"/>
        <v/>
      </c>
      <c r="E723" s="40"/>
      <c r="F723" s="42"/>
      <c r="G723" s="40"/>
      <c r="H723" s="40"/>
      <c r="I723" s="40"/>
      <c r="J723" s="43"/>
      <c r="K723" s="43">
        <f>IF(I723="Professional Billing Rate",J723,'Lists &amp; Settings'!$E$2)</f>
        <v>35.47</v>
      </c>
      <c r="L723" s="40"/>
    </row>
    <row r="724">
      <c r="A724" s="28" t="str">
        <f t="shared" si="1"/>
        <v/>
      </c>
      <c r="B724" s="28"/>
      <c r="C724" s="28"/>
      <c r="D724" s="26" t="str">
        <f t="shared" si="2"/>
        <v/>
      </c>
      <c r="E724" s="28"/>
      <c r="F724" s="35"/>
      <c r="G724" s="28"/>
      <c r="H724" s="28"/>
      <c r="I724" s="28"/>
      <c r="J724" s="37"/>
      <c r="K724" s="37">
        <f>IF(I724="Professional Billing Rate",J724,'Lists &amp; Settings'!$E$2)</f>
        <v>35.47</v>
      </c>
      <c r="L724" s="28"/>
    </row>
    <row r="725">
      <c r="A725" s="40" t="str">
        <f t="shared" si="1"/>
        <v/>
      </c>
      <c r="B725" s="40"/>
      <c r="C725" s="40"/>
      <c r="D725" s="41" t="str">
        <f t="shared" si="2"/>
        <v/>
      </c>
      <c r="E725" s="40"/>
      <c r="F725" s="42"/>
      <c r="G725" s="40"/>
      <c r="H725" s="40"/>
      <c r="I725" s="40"/>
      <c r="J725" s="43"/>
      <c r="K725" s="43">
        <f>IF(I725="Professional Billing Rate",J725,'Lists &amp; Settings'!$E$2)</f>
        <v>35.47</v>
      </c>
      <c r="L725" s="40"/>
    </row>
    <row r="726">
      <c r="A726" s="28" t="str">
        <f t="shared" si="1"/>
        <v/>
      </c>
      <c r="B726" s="28"/>
      <c r="C726" s="28"/>
      <c r="D726" s="26" t="str">
        <f t="shared" si="2"/>
        <v/>
      </c>
      <c r="E726" s="28"/>
      <c r="F726" s="35"/>
      <c r="G726" s="28"/>
      <c r="H726" s="28"/>
      <c r="I726" s="28"/>
      <c r="J726" s="37"/>
      <c r="K726" s="37">
        <f>IF(I726="Professional Billing Rate",J726,'Lists &amp; Settings'!$E$2)</f>
        <v>35.47</v>
      </c>
      <c r="L726" s="28"/>
    </row>
    <row r="727">
      <c r="A727" s="40" t="str">
        <f t="shared" si="1"/>
        <v/>
      </c>
      <c r="B727" s="40"/>
      <c r="C727" s="40"/>
      <c r="D727" s="41" t="str">
        <f t="shared" si="2"/>
        <v/>
      </c>
      <c r="E727" s="40"/>
      <c r="F727" s="42"/>
      <c r="G727" s="40"/>
      <c r="H727" s="40"/>
      <c r="I727" s="40"/>
      <c r="J727" s="43"/>
      <c r="K727" s="43">
        <f>IF(I727="Professional Billing Rate",J727,'Lists &amp; Settings'!$E$2)</f>
        <v>35.47</v>
      </c>
      <c r="L727" s="40"/>
    </row>
    <row r="728">
      <c r="A728" s="28" t="str">
        <f t="shared" si="1"/>
        <v/>
      </c>
      <c r="B728" s="28"/>
      <c r="C728" s="28"/>
      <c r="D728" s="26" t="str">
        <f t="shared" si="2"/>
        <v/>
      </c>
      <c r="E728" s="28"/>
      <c r="F728" s="35"/>
      <c r="G728" s="28"/>
      <c r="H728" s="28"/>
      <c r="I728" s="28"/>
      <c r="J728" s="37"/>
      <c r="K728" s="37">
        <f>IF(I728="Professional Billing Rate",J728,'Lists &amp; Settings'!$E$2)</f>
        <v>35.47</v>
      </c>
      <c r="L728" s="28"/>
    </row>
    <row r="729">
      <c r="A729" s="40" t="str">
        <f t="shared" si="1"/>
        <v/>
      </c>
      <c r="B729" s="40"/>
      <c r="C729" s="40"/>
      <c r="D729" s="41" t="str">
        <f t="shared" si="2"/>
        <v/>
      </c>
      <c r="E729" s="40"/>
      <c r="F729" s="42"/>
      <c r="G729" s="40"/>
      <c r="H729" s="40"/>
      <c r="I729" s="40"/>
      <c r="J729" s="43"/>
      <c r="K729" s="43">
        <f>IF(I729="Professional Billing Rate",J729,'Lists &amp; Settings'!$E$2)</f>
        <v>35.47</v>
      </c>
      <c r="L729" s="40"/>
    </row>
    <row r="730">
      <c r="A730" s="28" t="str">
        <f t="shared" si="1"/>
        <v/>
      </c>
      <c r="B730" s="28"/>
      <c r="C730" s="28"/>
      <c r="D730" s="26" t="str">
        <f t="shared" si="2"/>
        <v/>
      </c>
      <c r="E730" s="28"/>
      <c r="F730" s="35"/>
      <c r="G730" s="28"/>
      <c r="H730" s="28"/>
      <c r="I730" s="28"/>
      <c r="J730" s="37"/>
      <c r="K730" s="37">
        <f>IF(I730="Professional Billing Rate",J730,'Lists &amp; Settings'!$E$2)</f>
        <v>35.47</v>
      </c>
      <c r="L730" s="28"/>
    </row>
    <row r="731">
      <c r="A731" s="40" t="str">
        <f t="shared" si="1"/>
        <v/>
      </c>
      <c r="B731" s="40"/>
      <c r="C731" s="40"/>
      <c r="D731" s="41" t="str">
        <f t="shared" si="2"/>
        <v/>
      </c>
      <c r="E731" s="40"/>
      <c r="F731" s="42"/>
      <c r="G731" s="40"/>
      <c r="H731" s="40"/>
      <c r="I731" s="40"/>
      <c r="J731" s="43"/>
      <c r="K731" s="43">
        <f>IF(I731="Professional Billing Rate",J731,'Lists &amp; Settings'!$E$2)</f>
        <v>35.47</v>
      </c>
      <c r="L731" s="40"/>
    </row>
    <row r="732">
      <c r="A732" s="28" t="str">
        <f t="shared" si="1"/>
        <v/>
      </c>
      <c r="B732" s="28"/>
      <c r="C732" s="28"/>
      <c r="D732" s="26" t="str">
        <f t="shared" si="2"/>
        <v/>
      </c>
      <c r="E732" s="28"/>
      <c r="F732" s="35"/>
      <c r="G732" s="28"/>
      <c r="H732" s="28"/>
      <c r="I732" s="28"/>
      <c r="J732" s="37"/>
      <c r="K732" s="37">
        <f>IF(I732="Professional Billing Rate",J732,'Lists &amp; Settings'!$E$2)</f>
        <v>35.47</v>
      </c>
      <c r="L732" s="28"/>
    </row>
    <row r="733">
      <c r="A733" s="40" t="str">
        <f t="shared" si="1"/>
        <v/>
      </c>
      <c r="B733" s="40"/>
      <c r="C733" s="40"/>
      <c r="D733" s="41" t="str">
        <f t="shared" si="2"/>
        <v/>
      </c>
      <c r="E733" s="40"/>
      <c r="F733" s="42"/>
      <c r="G733" s="40"/>
      <c r="H733" s="40"/>
      <c r="I733" s="40"/>
      <c r="J733" s="43"/>
      <c r="K733" s="43">
        <f>IF(I733="Professional Billing Rate",J733,'Lists &amp; Settings'!$E$2)</f>
        <v>35.47</v>
      </c>
      <c r="L733" s="40"/>
    </row>
    <row r="734">
      <c r="A734" s="28" t="str">
        <f t="shared" si="1"/>
        <v/>
      </c>
      <c r="B734" s="28"/>
      <c r="C734" s="28"/>
      <c r="D734" s="26" t="str">
        <f t="shared" si="2"/>
        <v/>
      </c>
      <c r="E734" s="28"/>
      <c r="F734" s="35"/>
      <c r="G734" s="28"/>
      <c r="H734" s="28"/>
      <c r="I734" s="28"/>
      <c r="J734" s="37"/>
      <c r="K734" s="37">
        <f>IF(I734="Professional Billing Rate",J734,'Lists &amp; Settings'!$E$2)</f>
        <v>35.47</v>
      </c>
      <c r="L734" s="28"/>
    </row>
    <row r="735">
      <c r="A735" s="40" t="str">
        <f t="shared" si="1"/>
        <v/>
      </c>
      <c r="B735" s="40"/>
      <c r="C735" s="40"/>
      <c r="D735" s="41" t="str">
        <f t="shared" si="2"/>
        <v/>
      </c>
      <c r="E735" s="40"/>
      <c r="F735" s="42"/>
      <c r="G735" s="40"/>
      <c r="H735" s="40"/>
      <c r="I735" s="40"/>
      <c r="J735" s="43"/>
      <c r="K735" s="43">
        <f>IF(I735="Professional Billing Rate",J735,'Lists &amp; Settings'!$E$2)</f>
        <v>35.47</v>
      </c>
      <c r="L735" s="40"/>
    </row>
    <row r="736">
      <c r="A736" s="28" t="str">
        <f t="shared" si="1"/>
        <v/>
      </c>
      <c r="B736" s="28"/>
      <c r="C736" s="28"/>
      <c r="D736" s="26" t="str">
        <f t="shared" si="2"/>
        <v/>
      </c>
      <c r="E736" s="28"/>
      <c r="F736" s="35"/>
      <c r="G736" s="28"/>
      <c r="H736" s="28"/>
      <c r="I736" s="28"/>
      <c r="J736" s="37"/>
      <c r="K736" s="37">
        <f>IF(I736="Professional Billing Rate",J736,'Lists &amp; Settings'!$E$2)</f>
        <v>35.47</v>
      </c>
      <c r="L736" s="28"/>
    </row>
    <row r="737">
      <c r="A737" s="40" t="str">
        <f t="shared" si="1"/>
        <v/>
      </c>
      <c r="B737" s="40"/>
      <c r="C737" s="40"/>
      <c r="D737" s="41" t="str">
        <f t="shared" si="2"/>
        <v/>
      </c>
      <c r="E737" s="40"/>
      <c r="F737" s="42"/>
      <c r="G737" s="40"/>
      <c r="H737" s="40"/>
      <c r="I737" s="40"/>
      <c r="J737" s="43"/>
      <c r="K737" s="43">
        <f>IF(I737="Professional Billing Rate",J737,'Lists &amp; Settings'!$E$2)</f>
        <v>35.47</v>
      </c>
      <c r="L737" s="40"/>
    </row>
    <row r="738">
      <c r="A738" s="28" t="str">
        <f t="shared" si="1"/>
        <v/>
      </c>
      <c r="B738" s="28"/>
      <c r="C738" s="28"/>
      <c r="D738" s="26" t="str">
        <f t="shared" si="2"/>
        <v/>
      </c>
      <c r="E738" s="28"/>
      <c r="F738" s="35"/>
      <c r="G738" s="28"/>
      <c r="H738" s="28"/>
      <c r="I738" s="28"/>
      <c r="J738" s="37"/>
      <c r="K738" s="37">
        <f>IF(I738="Professional Billing Rate",J738,'Lists &amp; Settings'!$E$2)</f>
        <v>35.47</v>
      </c>
      <c r="L738" s="28"/>
    </row>
    <row r="739">
      <c r="A739" s="40" t="str">
        <f t="shared" si="1"/>
        <v/>
      </c>
      <c r="B739" s="40"/>
      <c r="C739" s="40"/>
      <c r="D739" s="41" t="str">
        <f t="shared" si="2"/>
        <v/>
      </c>
      <c r="E739" s="40"/>
      <c r="F739" s="42"/>
      <c r="G739" s="40"/>
      <c r="H739" s="40"/>
      <c r="I739" s="40"/>
      <c r="J739" s="43"/>
      <c r="K739" s="43">
        <f>IF(I739="Professional Billing Rate",J739,'Lists &amp; Settings'!$E$2)</f>
        <v>35.47</v>
      </c>
      <c r="L739" s="40"/>
    </row>
    <row r="740">
      <c r="A740" s="28" t="str">
        <f t="shared" si="1"/>
        <v/>
      </c>
      <c r="B740" s="28"/>
      <c r="C740" s="28"/>
      <c r="D740" s="26" t="str">
        <f t="shared" si="2"/>
        <v/>
      </c>
      <c r="E740" s="28"/>
      <c r="F740" s="35"/>
      <c r="G740" s="28"/>
      <c r="H740" s="28"/>
      <c r="I740" s="28"/>
      <c r="J740" s="37"/>
      <c r="K740" s="37">
        <f>IF(I740="Professional Billing Rate",J740,'Lists &amp; Settings'!$E$2)</f>
        <v>35.47</v>
      </c>
      <c r="L740" s="28"/>
    </row>
    <row r="741">
      <c r="A741" s="40" t="str">
        <f t="shared" si="1"/>
        <v/>
      </c>
      <c r="B741" s="40"/>
      <c r="C741" s="40"/>
      <c r="D741" s="41" t="str">
        <f t="shared" si="2"/>
        <v/>
      </c>
      <c r="E741" s="40"/>
      <c r="F741" s="42"/>
      <c r="G741" s="40"/>
      <c r="H741" s="40"/>
      <c r="I741" s="40"/>
      <c r="J741" s="43"/>
      <c r="K741" s="43">
        <f>IF(I741="Professional Billing Rate",J741,'Lists &amp; Settings'!$E$2)</f>
        <v>35.47</v>
      </c>
      <c r="L741" s="40"/>
    </row>
    <row r="742">
      <c r="A742" s="28" t="str">
        <f t="shared" si="1"/>
        <v/>
      </c>
      <c r="B742" s="28"/>
      <c r="C742" s="28"/>
      <c r="D742" s="26" t="str">
        <f t="shared" si="2"/>
        <v/>
      </c>
      <c r="E742" s="28"/>
      <c r="F742" s="35"/>
      <c r="G742" s="28"/>
      <c r="H742" s="28"/>
      <c r="I742" s="28"/>
      <c r="J742" s="37"/>
      <c r="K742" s="37">
        <f>IF(I742="Professional Billing Rate",J742,'Lists &amp; Settings'!$E$2)</f>
        <v>35.47</v>
      </c>
      <c r="L742" s="28"/>
    </row>
    <row r="743">
      <c r="A743" s="40" t="str">
        <f t="shared" si="1"/>
        <v/>
      </c>
      <c r="B743" s="40"/>
      <c r="C743" s="40"/>
      <c r="D743" s="41" t="str">
        <f t="shared" si="2"/>
        <v/>
      </c>
      <c r="E743" s="40"/>
      <c r="F743" s="42"/>
      <c r="G743" s="40"/>
      <c r="H743" s="40"/>
      <c r="I743" s="40"/>
      <c r="J743" s="43"/>
      <c r="K743" s="43">
        <f>IF(I743="Professional Billing Rate",J743,'Lists &amp; Settings'!$E$2)</f>
        <v>35.47</v>
      </c>
      <c r="L743" s="40"/>
    </row>
    <row r="744">
      <c r="A744" s="28" t="str">
        <f t="shared" si="1"/>
        <v/>
      </c>
      <c r="B744" s="28"/>
      <c r="C744" s="28"/>
      <c r="D744" s="26" t="str">
        <f t="shared" si="2"/>
        <v/>
      </c>
      <c r="E744" s="28"/>
      <c r="F744" s="35"/>
      <c r="G744" s="28"/>
      <c r="H744" s="28"/>
      <c r="I744" s="28"/>
      <c r="J744" s="37"/>
      <c r="K744" s="37">
        <f>IF(I744="Professional Billing Rate",J744,'Lists &amp; Settings'!$E$2)</f>
        <v>35.47</v>
      </c>
      <c r="L744" s="28"/>
    </row>
    <row r="745">
      <c r="A745" s="40" t="str">
        <f t="shared" si="1"/>
        <v/>
      </c>
      <c r="B745" s="40"/>
      <c r="C745" s="40"/>
      <c r="D745" s="41" t="str">
        <f t="shared" si="2"/>
        <v/>
      </c>
      <c r="E745" s="40"/>
      <c r="F745" s="42"/>
      <c r="G745" s="40"/>
      <c r="H745" s="40"/>
      <c r="I745" s="40"/>
      <c r="J745" s="43"/>
      <c r="K745" s="43">
        <f>IF(I745="Professional Billing Rate",J745,'Lists &amp; Settings'!$E$2)</f>
        <v>35.47</v>
      </c>
      <c r="L745" s="40"/>
    </row>
    <row r="746">
      <c r="A746" s="28" t="str">
        <f t="shared" si="1"/>
        <v/>
      </c>
      <c r="B746" s="28"/>
      <c r="C746" s="28"/>
      <c r="D746" s="26" t="str">
        <f t="shared" si="2"/>
        <v/>
      </c>
      <c r="E746" s="28"/>
      <c r="F746" s="35"/>
      <c r="G746" s="28"/>
      <c r="H746" s="28"/>
      <c r="I746" s="28"/>
      <c r="J746" s="37"/>
      <c r="K746" s="37">
        <f>IF(I746="Professional Billing Rate",J746,'Lists &amp; Settings'!$E$2)</f>
        <v>35.47</v>
      </c>
      <c r="L746" s="28"/>
    </row>
    <row r="747">
      <c r="A747" s="40" t="str">
        <f t="shared" si="1"/>
        <v/>
      </c>
      <c r="B747" s="40"/>
      <c r="C747" s="40"/>
      <c r="D747" s="41" t="str">
        <f t="shared" si="2"/>
        <v/>
      </c>
      <c r="E747" s="40"/>
      <c r="F747" s="42"/>
      <c r="G747" s="40"/>
      <c r="H747" s="40"/>
      <c r="I747" s="40"/>
      <c r="J747" s="43"/>
      <c r="K747" s="43">
        <f>IF(I747="Professional Billing Rate",J747,'Lists &amp; Settings'!$E$2)</f>
        <v>35.47</v>
      </c>
      <c r="L747" s="40"/>
    </row>
    <row r="748">
      <c r="A748" s="28" t="str">
        <f t="shared" si="1"/>
        <v/>
      </c>
      <c r="B748" s="28"/>
      <c r="C748" s="28"/>
      <c r="D748" s="26" t="str">
        <f t="shared" si="2"/>
        <v/>
      </c>
      <c r="E748" s="28"/>
      <c r="F748" s="35"/>
      <c r="G748" s="28"/>
      <c r="H748" s="28"/>
      <c r="I748" s="28"/>
      <c r="J748" s="37"/>
      <c r="K748" s="37">
        <f>IF(I748="Professional Billing Rate",J748,'Lists &amp; Settings'!$E$2)</f>
        <v>35.47</v>
      </c>
      <c r="L748" s="28"/>
    </row>
    <row r="749">
      <c r="A749" s="40" t="str">
        <f t="shared" si="1"/>
        <v/>
      </c>
      <c r="B749" s="40"/>
      <c r="C749" s="40"/>
      <c r="D749" s="41" t="str">
        <f t="shared" si="2"/>
        <v/>
      </c>
      <c r="E749" s="40"/>
      <c r="F749" s="42"/>
      <c r="G749" s="40"/>
      <c r="H749" s="40"/>
      <c r="I749" s="40"/>
      <c r="J749" s="43"/>
      <c r="K749" s="43">
        <f>IF(I749="Professional Billing Rate",J749,'Lists &amp; Settings'!$E$2)</f>
        <v>35.47</v>
      </c>
      <c r="L749" s="40"/>
    </row>
    <row r="750">
      <c r="A750" s="28" t="str">
        <f t="shared" si="1"/>
        <v/>
      </c>
      <c r="B750" s="28"/>
      <c r="C750" s="28"/>
      <c r="D750" s="26" t="str">
        <f t="shared" si="2"/>
        <v/>
      </c>
      <c r="E750" s="28"/>
      <c r="F750" s="35"/>
      <c r="G750" s="28"/>
      <c r="H750" s="28"/>
      <c r="I750" s="28"/>
      <c r="J750" s="37"/>
      <c r="K750" s="37">
        <f>IF(I750="Professional Billing Rate",J750,'Lists &amp; Settings'!$E$2)</f>
        <v>35.47</v>
      </c>
      <c r="L750" s="28"/>
    </row>
    <row r="751">
      <c r="A751" s="40" t="str">
        <f t="shared" si="1"/>
        <v/>
      </c>
      <c r="B751" s="40"/>
      <c r="C751" s="40"/>
      <c r="D751" s="41" t="str">
        <f t="shared" si="2"/>
        <v/>
      </c>
      <c r="E751" s="40"/>
      <c r="F751" s="42"/>
      <c r="G751" s="40"/>
      <c r="H751" s="40"/>
      <c r="I751" s="40"/>
      <c r="J751" s="43"/>
      <c r="K751" s="43">
        <f>IF(I751="Professional Billing Rate",J751,'Lists &amp; Settings'!$E$2)</f>
        <v>35.47</v>
      </c>
      <c r="L751" s="40"/>
    </row>
    <row r="752">
      <c r="A752" s="28" t="str">
        <f t="shared" si="1"/>
        <v/>
      </c>
      <c r="B752" s="28"/>
      <c r="C752" s="28"/>
      <c r="D752" s="26" t="str">
        <f t="shared" si="2"/>
        <v/>
      </c>
      <c r="E752" s="28"/>
      <c r="F752" s="35"/>
      <c r="G752" s="28"/>
      <c r="H752" s="28"/>
      <c r="I752" s="28"/>
      <c r="J752" s="37"/>
      <c r="K752" s="37">
        <f>IF(I752="Professional Billing Rate",J752,'Lists &amp; Settings'!$E$2)</f>
        <v>35.47</v>
      </c>
      <c r="L752" s="28"/>
    </row>
    <row r="753">
      <c r="A753" s="40" t="str">
        <f t="shared" si="1"/>
        <v/>
      </c>
      <c r="B753" s="40"/>
      <c r="C753" s="40"/>
      <c r="D753" s="41" t="str">
        <f t="shared" si="2"/>
        <v/>
      </c>
      <c r="E753" s="40"/>
      <c r="F753" s="42"/>
      <c r="G753" s="40"/>
      <c r="H753" s="40"/>
      <c r="I753" s="40"/>
      <c r="J753" s="43"/>
      <c r="K753" s="43">
        <f>IF(I753="Professional Billing Rate",J753,'Lists &amp; Settings'!$E$2)</f>
        <v>35.47</v>
      </c>
      <c r="L753" s="40"/>
    </row>
    <row r="754">
      <c r="A754" s="28" t="str">
        <f t="shared" si="1"/>
        <v/>
      </c>
      <c r="B754" s="28"/>
      <c r="C754" s="28"/>
      <c r="D754" s="26" t="str">
        <f t="shared" si="2"/>
        <v/>
      </c>
      <c r="E754" s="28"/>
      <c r="F754" s="35"/>
      <c r="G754" s="28"/>
      <c r="H754" s="28"/>
      <c r="I754" s="28"/>
      <c r="J754" s="37"/>
      <c r="K754" s="37">
        <f>IF(I754="Professional Billing Rate",J754,'Lists &amp; Settings'!$E$2)</f>
        <v>35.47</v>
      </c>
      <c r="L754" s="28"/>
    </row>
    <row r="755">
      <c r="A755" s="40" t="str">
        <f t="shared" si="1"/>
        <v/>
      </c>
      <c r="B755" s="40"/>
      <c r="C755" s="40"/>
      <c r="D755" s="41" t="str">
        <f t="shared" si="2"/>
        <v/>
      </c>
      <c r="E755" s="40"/>
      <c r="F755" s="42"/>
      <c r="G755" s="40"/>
      <c r="H755" s="40"/>
      <c r="I755" s="40"/>
      <c r="J755" s="43"/>
      <c r="K755" s="43">
        <f>IF(I755="Professional Billing Rate",J755,'Lists &amp; Settings'!$E$2)</f>
        <v>35.47</v>
      </c>
      <c r="L755" s="40"/>
    </row>
    <row r="756">
      <c r="A756" s="28" t="str">
        <f t="shared" si="1"/>
        <v/>
      </c>
      <c r="B756" s="28"/>
      <c r="C756" s="28"/>
      <c r="D756" s="26" t="str">
        <f t="shared" si="2"/>
        <v/>
      </c>
      <c r="E756" s="28"/>
      <c r="F756" s="35"/>
      <c r="G756" s="28"/>
      <c r="H756" s="28"/>
      <c r="I756" s="28"/>
      <c r="J756" s="37"/>
      <c r="K756" s="37">
        <f>IF(I756="Professional Billing Rate",J756,'Lists &amp; Settings'!$E$2)</f>
        <v>35.47</v>
      </c>
      <c r="L756" s="28"/>
    </row>
    <row r="757">
      <c r="A757" s="40" t="str">
        <f t="shared" si="1"/>
        <v/>
      </c>
      <c r="B757" s="40"/>
      <c r="C757" s="40"/>
      <c r="D757" s="41" t="str">
        <f t="shared" si="2"/>
        <v/>
      </c>
      <c r="E757" s="40"/>
      <c r="F757" s="42"/>
      <c r="G757" s="40"/>
      <c r="H757" s="40"/>
      <c r="I757" s="40"/>
      <c r="J757" s="43"/>
      <c r="K757" s="43">
        <f>IF(I757="Professional Billing Rate",J757,'Lists &amp; Settings'!$E$2)</f>
        <v>35.47</v>
      </c>
      <c r="L757" s="40"/>
    </row>
    <row r="758">
      <c r="A758" s="28" t="str">
        <f t="shared" si="1"/>
        <v/>
      </c>
      <c r="B758" s="28"/>
      <c r="C758" s="28"/>
      <c r="D758" s="26" t="str">
        <f t="shared" si="2"/>
        <v/>
      </c>
      <c r="E758" s="28"/>
      <c r="F758" s="35"/>
      <c r="G758" s="28"/>
      <c r="H758" s="28"/>
      <c r="I758" s="28"/>
      <c r="J758" s="37"/>
      <c r="K758" s="37">
        <f>IF(I758="Professional Billing Rate",J758,'Lists &amp; Settings'!$E$2)</f>
        <v>35.47</v>
      </c>
      <c r="L758" s="28"/>
    </row>
    <row r="759">
      <c r="A759" s="40" t="str">
        <f t="shared" si="1"/>
        <v/>
      </c>
      <c r="B759" s="40"/>
      <c r="C759" s="40"/>
      <c r="D759" s="41" t="str">
        <f t="shared" si="2"/>
        <v/>
      </c>
      <c r="E759" s="40"/>
      <c r="F759" s="42"/>
      <c r="G759" s="40"/>
      <c r="H759" s="40"/>
      <c r="I759" s="40"/>
      <c r="J759" s="43"/>
      <c r="K759" s="43">
        <f>IF(I759="Professional Billing Rate",J759,'Lists &amp; Settings'!$E$2)</f>
        <v>35.47</v>
      </c>
      <c r="L759" s="40"/>
    </row>
    <row r="760">
      <c r="A760" s="28" t="str">
        <f t="shared" si="1"/>
        <v/>
      </c>
      <c r="B760" s="28"/>
      <c r="C760" s="28"/>
      <c r="D760" s="26" t="str">
        <f t="shared" si="2"/>
        <v/>
      </c>
      <c r="E760" s="28"/>
      <c r="F760" s="35"/>
      <c r="G760" s="28"/>
      <c r="H760" s="28"/>
      <c r="I760" s="28"/>
      <c r="J760" s="37"/>
      <c r="K760" s="37">
        <f>IF(I760="Professional Billing Rate",J760,'Lists &amp; Settings'!$E$2)</f>
        <v>35.47</v>
      </c>
      <c r="L760" s="28"/>
    </row>
    <row r="761">
      <c r="A761" s="40" t="str">
        <f t="shared" si="1"/>
        <v/>
      </c>
      <c r="B761" s="40"/>
      <c r="C761" s="40"/>
      <c r="D761" s="41" t="str">
        <f t="shared" si="2"/>
        <v/>
      </c>
      <c r="E761" s="40"/>
      <c r="F761" s="42"/>
      <c r="G761" s="40"/>
      <c r="H761" s="40"/>
      <c r="I761" s="40"/>
      <c r="J761" s="43"/>
      <c r="K761" s="43">
        <f>IF(I761="Professional Billing Rate",J761,'Lists &amp; Settings'!$E$2)</f>
        <v>35.47</v>
      </c>
      <c r="L761" s="40"/>
    </row>
    <row r="762">
      <c r="A762" s="28" t="str">
        <f t="shared" si="1"/>
        <v/>
      </c>
      <c r="B762" s="28"/>
      <c r="C762" s="28"/>
      <c r="D762" s="26" t="str">
        <f t="shared" si="2"/>
        <v/>
      </c>
      <c r="E762" s="28"/>
      <c r="F762" s="35"/>
      <c r="G762" s="28"/>
      <c r="H762" s="28"/>
      <c r="I762" s="28"/>
      <c r="J762" s="37"/>
      <c r="K762" s="37">
        <f>IF(I762="Professional Billing Rate",J762,'Lists &amp; Settings'!$E$2)</f>
        <v>35.47</v>
      </c>
      <c r="L762" s="28"/>
    </row>
    <row r="763">
      <c r="A763" s="40" t="str">
        <f t="shared" si="1"/>
        <v/>
      </c>
      <c r="B763" s="40"/>
      <c r="C763" s="40"/>
      <c r="D763" s="41" t="str">
        <f t="shared" si="2"/>
        <v/>
      </c>
      <c r="E763" s="40"/>
      <c r="F763" s="42"/>
      <c r="G763" s="40"/>
      <c r="H763" s="40"/>
      <c r="I763" s="40"/>
      <c r="J763" s="43"/>
      <c r="K763" s="43">
        <f>IF(I763="Professional Billing Rate",J763,'Lists &amp; Settings'!$E$2)</f>
        <v>35.47</v>
      </c>
      <c r="L763" s="40"/>
    </row>
    <row r="764">
      <c r="A764" s="28" t="str">
        <f t="shared" si="1"/>
        <v/>
      </c>
      <c r="B764" s="28"/>
      <c r="C764" s="28"/>
      <c r="D764" s="26" t="str">
        <f t="shared" si="2"/>
        <v/>
      </c>
      <c r="E764" s="28"/>
      <c r="F764" s="35"/>
      <c r="G764" s="28"/>
      <c r="H764" s="28"/>
      <c r="I764" s="28"/>
      <c r="J764" s="37"/>
      <c r="K764" s="37">
        <f>IF(I764="Professional Billing Rate",J764,'Lists &amp; Settings'!$E$2)</f>
        <v>35.47</v>
      </c>
      <c r="L764" s="28"/>
    </row>
    <row r="765">
      <c r="A765" s="40" t="str">
        <f t="shared" si="1"/>
        <v/>
      </c>
      <c r="B765" s="40"/>
      <c r="C765" s="40"/>
      <c r="D765" s="41" t="str">
        <f t="shared" si="2"/>
        <v/>
      </c>
      <c r="E765" s="40"/>
      <c r="F765" s="42"/>
      <c r="G765" s="40"/>
      <c r="H765" s="40"/>
      <c r="I765" s="40"/>
      <c r="J765" s="43"/>
      <c r="K765" s="43">
        <f>IF(I765="Professional Billing Rate",J765,'Lists &amp; Settings'!$E$2)</f>
        <v>35.47</v>
      </c>
      <c r="L765" s="40"/>
    </row>
    <row r="766">
      <c r="A766" s="28" t="str">
        <f t="shared" si="1"/>
        <v/>
      </c>
      <c r="B766" s="28"/>
      <c r="C766" s="28"/>
      <c r="D766" s="26" t="str">
        <f t="shared" si="2"/>
        <v/>
      </c>
      <c r="E766" s="28"/>
      <c r="F766" s="35"/>
      <c r="G766" s="28"/>
      <c r="H766" s="28"/>
      <c r="I766" s="28"/>
      <c r="J766" s="37"/>
      <c r="K766" s="37">
        <f>IF(I766="Professional Billing Rate",J766,'Lists &amp; Settings'!$E$2)</f>
        <v>35.47</v>
      </c>
      <c r="L766" s="28"/>
    </row>
    <row r="767">
      <c r="A767" s="40" t="str">
        <f t="shared" si="1"/>
        <v/>
      </c>
      <c r="B767" s="40"/>
      <c r="C767" s="40"/>
      <c r="D767" s="41" t="str">
        <f t="shared" si="2"/>
        <v/>
      </c>
      <c r="E767" s="40"/>
      <c r="F767" s="42"/>
      <c r="G767" s="40"/>
      <c r="H767" s="40"/>
      <c r="I767" s="40"/>
      <c r="J767" s="43"/>
      <c r="K767" s="43">
        <f>IF(I767="Professional Billing Rate",J767,'Lists &amp; Settings'!$E$2)</f>
        <v>35.47</v>
      </c>
      <c r="L767" s="40"/>
    </row>
    <row r="768">
      <c r="A768" s="28" t="str">
        <f t="shared" si="1"/>
        <v/>
      </c>
      <c r="B768" s="28"/>
      <c r="C768" s="28"/>
      <c r="D768" s="26" t="str">
        <f t="shared" si="2"/>
        <v/>
      </c>
      <c r="E768" s="28"/>
      <c r="F768" s="35"/>
      <c r="G768" s="28"/>
      <c r="H768" s="28"/>
      <c r="I768" s="28"/>
      <c r="J768" s="37"/>
      <c r="K768" s="37">
        <f>IF(I768="Professional Billing Rate",J768,'Lists &amp; Settings'!$E$2)</f>
        <v>35.47</v>
      </c>
      <c r="L768" s="28"/>
    </row>
    <row r="769">
      <c r="A769" s="40" t="str">
        <f t="shared" si="1"/>
        <v/>
      </c>
      <c r="B769" s="40"/>
      <c r="C769" s="40"/>
      <c r="D769" s="41" t="str">
        <f t="shared" si="2"/>
        <v/>
      </c>
      <c r="E769" s="40"/>
      <c r="F769" s="42"/>
      <c r="G769" s="40"/>
      <c r="H769" s="40"/>
      <c r="I769" s="40"/>
      <c r="J769" s="43"/>
      <c r="K769" s="43">
        <f>IF(I769="Professional Billing Rate",J769,'Lists &amp; Settings'!$E$2)</f>
        <v>35.47</v>
      </c>
      <c r="L769" s="40"/>
    </row>
    <row r="770">
      <c r="A770" s="28" t="str">
        <f t="shared" si="1"/>
        <v/>
      </c>
      <c r="B770" s="28"/>
      <c r="C770" s="28"/>
      <c r="D770" s="26" t="str">
        <f t="shared" si="2"/>
        <v/>
      </c>
      <c r="E770" s="28"/>
      <c r="F770" s="35"/>
      <c r="G770" s="28"/>
      <c r="H770" s="28"/>
      <c r="I770" s="28"/>
      <c r="J770" s="37"/>
      <c r="K770" s="37">
        <f>IF(I770="Professional Billing Rate",J770,'Lists &amp; Settings'!$E$2)</f>
        <v>35.47</v>
      </c>
      <c r="L770" s="28"/>
    </row>
    <row r="771">
      <c r="A771" s="40" t="str">
        <f t="shared" si="1"/>
        <v/>
      </c>
      <c r="B771" s="40"/>
      <c r="C771" s="40"/>
      <c r="D771" s="41" t="str">
        <f t="shared" si="2"/>
        <v/>
      </c>
      <c r="E771" s="40"/>
      <c r="F771" s="42"/>
      <c r="G771" s="40"/>
      <c r="H771" s="40"/>
      <c r="I771" s="40"/>
      <c r="J771" s="43"/>
      <c r="K771" s="43">
        <f>IF(I771="Professional Billing Rate",J771,'Lists &amp; Settings'!$E$2)</f>
        <v>35.47</v>
      </c>
      <c r="L771" s="40"/>
    </row>
    <row r="772">
      <c r="A772" s="28" t="str">
        <f t="shared" si="1"/>
        <v/>
      </c>
      <c r="B772" s="28"/>
      <c r="C772" s="28"/>
      <c r="D772" s="26" t="str">
        <f t="shared" si="2"/>
        <v/>
      </c>
      <c r="E772" s="28"/>
      <c r="F772" s="35"/>
      <c r="G772" s="28"/>
      <c r="H772" s="28"/>
      <c r="I772" s="28"/>
      <c r="J772" s="37"/>
      <c r="K772" s="37">
        <f>IF(I772="Professional Billing Rate",J772,'Lists &amp; Settings'!$E$2)</f>
        <v>35.47</v>
      </c>
      <c r="L772" s="28"/>
    </row>
    <row r="773">
      <c r="A773" s="40" t="str">
        <f t="shared" si="1"/>
        <v/>
      </c>
      <c r="B773" s="40"/>
      <c r="C773" s="40"/>
      <c r="D773" s="41" t="str">
        <f t="shared" si="2"/>
        <v/>
      </c>
      <c r="E773" s="40"/>
      <c r="F773" s="42"/>
      <c r="G773" s="40"/>
      <c r="H773" s="40"/>
      <c r="I773" s="40"/>
      <c r="J773" s="43"/>
      <c r="K773" s="43">
        <f>IF(I773="Professional Billing Rate",J773,'Lists &amp; Settings'!$E$2)</f>
        <v>35.47</v>
      </c>
      <c r="L773" s="40"/>
    </row>
    <row r="774">
      <c r="A774" s="28" t="str">
        <f t="shared" si="1"/>
        <v/>
      </c>
      <c r="B774" s="28"/>
      <c r="C774" s="28"/>
      <c r="D774" s="26" t="str">
        <f t="shared" si="2"/>
        <v/>
      </c>
      <c r="E774" s="28"/>
      <c r="F774" s="35"/>
      <c r="G774" s="28"/>
      <c r="H774" s="28"/>
      <c r="I774" s="28"/>
      <c r="J774" s="37"/>
      <c r="K774" s="37">
        <f>IF(I774="Professional Billing Rate",J774,'Lists &amp; Settings'!$E$2)</f>
        <v>35.47</v>
      </c>
      <c r="L774" s="28"/>
    </row>
    <row r="775">
      <c r="A775" s="40" t="str">
        <f t="shared" si="1"/>
        <v/>
      </c>
      <c r="B775" s="40"/>
      <c r="C775" s="40"/>
      <c r="D775" s="41" t="str">
        <f t="shared" si="2"/>
        <v/>
      </c>
      <c r="E775" s="40"/>
      <c r="F775" s="42"/>
      <c r="G775" s="40"/>
      <c r="H775" s="40"/>
      <c r="I775" s="40"/>
      <c r="J775" s="43"/>
      <c r="K775" s="43">
        <f>IF(I775="Professional Billing Rate",J775,'Lists &amp; Settings'!$E$2)</f>
        <v>35.47</v>
      </c>
      <c r="L775" s="40"/>
    </row>
    <row r="776">
      <c r="A776" s="28" t="str">
        <f t="shared" si="1"/>
        <v/>
      </c>
      <c r="B776" s="28"/>
      <c r="C776" s="28"/>
      <c r="D776" s="26" t="str">
        <f t="shared" si="2"/>
        <v/>
      </c>
      <c r="E776" s="28"/>
      <c r="F776" s="35"/>
      <c r="G776" s="28"/>
      <c r="H776" s="28"/>
      <c r="I776" s="28"/>
      <c r="J776" s="37"/>
      <c r="K776" s="37">
        <f>IF(I776="Professional Billing Rate",J776,'Lists &amp; Settings'!$E$2)</f>
        <v>35.47</v>
      </c>
      <c r="L776" s="28"/>
    </row>
    <row r="777">
      <c r="A777" s="40" t="str">
        <f t="shared" si="1"/>
        <v/>
      </c>
      <c r="B777" s="40"/>
      <c r="C777" s="40"/>
      <c r="D777" s="41" t="str">
        <f t="shared" si="2"/>
        <v/>
      </c>
      <c r="E777" s="40"/>
      <c r="F777" s="42"/>
      <c r="G777" s="40"/>
      <c r="H777" s="40"/>
      <c r="I777" s="40"/>
      <c r="J777" s="43"/>
      <c r="K777" s="43">
        <f>IF(I777="Professional Billing Rate",J777,'Lists &amp; Settings'!$E$2)</f>
        <v>35.47</v>
      </c>
      <c r="L777" s="40"/>
    </row>
    <row r="778">
      <c r="A778" s="28" t="str">
        <f t="shared" si="1"/>
        <v/>
      </c>
      <c r="B778" s="28"/>
      <c r="C778" s="28"/>
      <c r="D778" s="26" t="str">
        <f t="shared" si="2"/>
        <v/>
      </c>
      <c r="E778" s="28"/>
      <c r="F778" s="35"/>
      <c r="G778" s="28"/>
      <c r="H778" s="28"/>
      <c r="I778" s="28"/>
      <c r="J778" s="37"/>
      <c r="K778" s="37">
        <f>IF(I778="Professional Billing Rate",J778,'Lists &amp; Settings'!$E$2)</f>
        <v>35.47</v>
      </c>
      <c r="L778" s="28"/>
    </row>
    <row r="779">
      <c r="A779" s="40" t="str">
        <f t="shared" si="1"/>
        <v/>
      </c>
      <c r="B779" s="40"/>
      <c r="C779" s="40"/>
      <c r="D779" s="41" t="str">
        <f t="shared" si="2"/>
        <v/>
      </c>
      <c r="E779" s="40"/>
      <c r="F779" s="42"/>
      <c r="G779" s="40"/>
      <c r="H779" s="40"/>
      <c r="I779" s="40"/>
      <c r="J779" s="43"/>
      <c r="K779" s="43">
        <f>IF(I779="Professional Billing Rate",J779,'Lists &amp; Settings'!$E$2)</f>
        <v>35.47</v>
      </c>
      <c r="L779" s="40"/>
    </row>
    <row r="780">
      <c r="A780" s="28" t="str">
        <f t="shared" si="1"/>
        <v/>
      </c>
      <c r="B780" s="28"/>
      <c r="C780" s="28"/>
      <c r="D780" s="26" t="str">
        <f t="shared" si="2"/>
        <v/>
      </c>
      <c r="E780" s="28"/>
      <c r="F780" s="35"/>
      <c r="G780" s="28"/>
      <c r="H780" s="28"/>
      <c r="I780" s="28"/>
      <c r="J780" s="37"/>
      <c r="K780" s="37">
        <f>IF(I780="Professional Billing Rate",J780,'Lists &amp; Settings'!$E$2)</f>
        <v>35.47</v>
      </c>
      <c r="L780" s="28"/>
    </row>
    <row r="781">
      <c r="A781" s="40" t="str">
        <f t="shared" si="1"/>
        <v/>
      </c>
      <c r="B781" s="40"/>
      <c r="C781" s="40"/>
      <c r="D781" s="41" t="str">
        <f t="shared" si="2"/>
        <v/>
      </c>
      <c r="E781" s="40"/>
      <c r="F781" s="42"/>
      <c r="G781" s="40"/>
      <c r="H781" s="40"/>
      <c r="I781" s="40"/>
      <c r="J781" s="43"/>
      <c r="K781" s="43">
        <f>IF(I781="Professional Billing Rate",J781,'Lists &amp; Settings'!$E$2)</f>
        <v>35.47</v>
      </c>
      <c r="L781" s="40"/>
    </row>
    <row r="782">
      <c r="A782" s="28" t="str">
        <f t="shared" si="1"/>
        <v/>
      </c>
      <c r="B782" s="28"/>
      <c r="C782" s="28"/>
      <c r="D782" s="26" t="str">
        <f t="shared" si="2"/>
        <v/>
      </c>
      <c r="E782" s="28"/>
      <c r="F782" s="35"/>
      <c r="G782" s="28"/>
      <c r="H782" s="28"/>
      <c r="I782" s="28"/>
      <c r="J782" s="37"/>
      <c r="K782" s="37">
        <f>IF(I782="Professional Billing Rate",J782,'Lists &amp; Settings'!$E$2)</f>
        <v>35.47</v>
      </c>
      <c r="L782" s="28"/>
    </row>
    <row r="783">
      <c r="A783" s="40" t="str">
        <f t="shared" si="1"/>
        <v/>
      </c>
      <c r="B783" s="40"/>
      <c r="C783" s="40"/>
      <c r="D783" s="41" t="str">
        <f t="shared" si="2"/>
        <v/>
      </c>
      <c r="E783" s="40"/>
      <c r="F783" s="42"/>
      <c r="G783" s="40"/>
      <c r="H783" s="40"/>
      <c r="I783" s="40"/>
      <c r="J783" s="43"/>
      <c r="K783" s="43">
        <f>IF(I783="Professional Billing Rate",J783,'Lists &amp; Settings'!$E$2)</f>
        <v>35.47</v>
      </c>
      <c r="L783" s="40"/>
    </row>
    <row r="784">
      <c r="A784" s="28" t="str">
        <f t="shared" si="1"/>
        <v/>
      </c>
      <c r="B784" s="28"/>
      <c r="C784" s="28"/>
      <c r="D784" s="26" t="str">
        <f t="shared" si="2"/>
        <v/>
      </c>
      <c r="E784" s="28"/>
      <c r="F784" s="35"/>
      <c r="G784" s="28"/>
      <c r="H784" s="28"/>
      <c r="I784" s="28"/>
      <c r="J784" s="37"/>
      <c r="K784" s="37">
        <f>IF(I784="Professional Billing Rate",J784,'Lists &amp; Settings'!$E$2)</f>
        <v>35.47</v>
      </c>
      <c r="L784" s="28"/>
    </row>
    <row r="785">
      <c r="A785" s="40" t="str">
        <f t="shared" si="1"/>
        <v/>
      </c>
      <c r="B785" s="40"/>
      <c r="C785" s="40"/>
      <c r="D785" s="41" t="str">
        <f t="shared" si="2"/>
        <v/>
      </c>
      <c r="E785" s="40"/>
      <c r="F785" s="42"/>
      <c r="G785" s="40"/>
      <c r="H785" s="40"/>
      <c r="I785" s="40"/>
      <c r="J785" s="43"/>
      <c r="K785" s="43">
        <f>IF(I785="Professional Billing Rate",J785,'Lists &amp; Settings'!$E$2)</f>
        <v>35.47</v>
      </c>
      <c r="L785" s="40"/>
    </row>
    <row r="786">
      <c r="A786" s="28" t="str">
        <f t="shared" si="1"/>
        <v/>
      </c>
      <c r="B786" s="28"/>
      <c r="C786" s="28"/>
      <c r="D786" s="26" t="str">
        <f t="shared" si="2"/>
        <v/>
      </c>
      <c r="E786" s="28"/>
      <c r="F786" s="35"/>
      <c r="G786" s="28"/>
      <c r="H786" s="28"/>
      <c r="I786" s="28"/>
      <c r="J786" s="37"/>
      <c r="K786" s="37">
        <f>IF(I786="Professional Billing Rate",J786,'Lists &amp; Settings'!$E$2)</f>
        <v>35.47</v>
      </c>
      <c r="L786" s="28"/>
    </row>
    <row r="787">
      <c r="A787" s="40" t="str">
        <f t="shared" si="1"/>
        <v/>
      </c>
      <c r="B787" s="40"/>
      <c r="C787" s="40"/>
      <c r="D787" s="41" t="str">
        <f t="shared" si="2"/>
        <v/>
      </c>
      <c r="E787" s="40"/>
      <c r="F787" s="42"/>
      <c r="G787" s="40"/>
      <c r="H787" s="40"/>
      <c r="I787" s="40"/>
      <c r="J787" s="43"/>
      <c r="K787" s="43">
        <f>IF(I787="Professional Billing Rate",J787,'Lists &amp; Settings'!$E$2)</f>
        <v>35.47</v>
      </c>
      <c r="L787" s="40"/>
    </row>
    <row r="788">
      <c r="A788" s="28" t="str">
        <f t="shared" si="1"/>
        <v/>
      </c>
      <c r="B788" s="28"/>
      <c r="C788" s="28"/>
      <c r="D788" s="26" t="str">
        <f t="shared" si="2"/>
        <v/>
      </c>
      <c r="E788" s="28"/>
      <c r="F788" s="35"/>
      <c r="G788" s="28"/>
      <c r="H788" s="28"/>
      <c r="I788" s="28"/>
      <c r="J788" s="37"/>
      <c r="K788" s="37">
        <f>IF(I788="Professional Billing Rate",J788,'Lists &amp; Settings'!$E$2)</f>
        <v>35.47</v>
      </c>
      <c r="L788" s="28"/>
    </row>
    <row r="789">
      <c r="A789" s="40" t="str">
        <f t="shared" si="1"/>
        <v/>
      </c>
      <c r="B789" s="40"/>
      <c r="C789" s="40"/>
      <c r="D789" s="41" t="str">
        <f t="shared" si="2"/>
        <v/>
      </c>
      <c r="E789" s="40"/>
      <c r="F789" s="42"/>
      <c r="G789" s="40"/>
      <c r="H789" s="40"/>
      <c r="I789" s="40"/>
      <c r="J789" s="43"/>
      <c r="K789" s="43">
        <f>IF(I789="Professional Billing Rate",J789,'Lists &amp; Settings'!$E$2)</f>
        <v>35.47</v>
      </c>
      <c r="L789" s="40"/>
    </row>
    <row r="790">
      <c r="A790" s="28" t="str">
        <f t="shared" si="1"/>
        <v/>
      </c>
      <c r="B790" s="28"/>
      <c r="C790" s="28"/>
      <c r="D790" s="26" t="str">
        <f t="shared" si="2"/>
        <v/>
      </c>
      <c r="E790" s="28"/>
      <c r="F790" s="35"/>
      <c r="G790" s="28"/>
      <c r="H790" s="28"/>
      <c r="I790" s="28"/>
      <c r="J790" s="37"/>
      <c r="K790" s="37">
        <f>IF(I790="Professional Billing Rate",J790,'Lists &amp; Settings'!$E$2)</f>
        <v>35.47</v>
      </c>
      <c r="L790" s="28"/>
    </row>
    <row r="791">
      <c r="A791" s="40" t="str">
        <f t="shared" si="1"/>
        <v/>
      </c>
      <c r="B791" s="40"/>
      <c r="C791" s="40"/>
      <c r="D791" s="41" t="str">
        <f t="shared" si="2"/>
        <v/>
      </c>
      <c r="E791" s="40"/>
      <c r="F791" s="42"/>
      <c r="G791" s="40"/>
      <c r="H791" s="40"/>
      <c r="I791" s="40"/>
      <c r="J791" s="43"/>
      <c r="K791" s="43">
        <f>IF(I791="Professional Billing Rate",J791,'Lists &amp; Settings'!$E$2)</f>
        <v>35.47</v>
      </c>
      <c r="L791" s="40"/>
    </row>
    <row r="792">
      <c r="A792" s="28" t="str">
        <f t="shared" si="1"/>
        <v/>
      </c>
      <c r="B792" s="28"/>
      <c r="C792" s="28"/>
      <c r="D792" s="26" t="str">
        <f t="shared" si="2"/>
        <v/>
      </c>
      <c r="E792" s="28"/>
      <c r="F792" s="35"/>
      <c r="G792" s="28"/>
      <c r="H792" s="28"/>
      <c r="I792" s="28"/>
      <c r="J792" s="37"/>
      <c r="K792" s="37">
        <f>IF(I792="Professional Billing Rate",J792,'Lists &amp; Settings'!$E$2)</f>
        <v>35.47</v>
      </c>
      <c r="L792" s="28"/>
    </row>
    <row r="793">
      <c r="A793" s="40" t="str">
        <f t="shared" si="1"/>
        <v/>
      </c>
      <c r="B793" s="40"/>
      <c r="C793" s="40"/>
      <c r="D793" s="41" t="str">
        <f t="shared" si="2"/>
        <v/>
      </c>
      <c r="E793" s="40"/>
      <c r="F793" s="42"/>
      <c r="G793" s="40"/>
      <c r="H793" s="40"/>
      <c r="I793" s="40"/>
      <c r="J793" s="43"/>
      <c r="K793" s="43">
        <f>IF(I793="Professional Billing Rate",J793,'Lists &amp; Settings'!$E$2)</f>
        <v>35.47</v>
      </c>
      <c r="L793" s="40"/>
    </row>
    <row r="794">
      <c r="A794" s="28" t="str">
        <f t="shared" si="1"/>
        <v/>
      </c>
      <c r="B794" s="28"/>
      <c r="C794" s="28"/>
      <c r="D794" s="26" t="str">
        <f t="shared" si="2"/>
        <v/>
      </c>
      <c r="E794" s="28"/>
      <c r="F794" s="35"/>
      <c r="G794" s="28"/>
      <c r="H794" s="28"/>
      <c r="I794" s="28"/>
      <c r="J794" s="37"/>
      <c r="K794" s="37">
        <f>IF(I794="Professional Billing Rate",J794,'Lists &amp; Settings'!$E$2)</f>
        <v>35.47</v>
      </c>
      <c r="L794" s="28"/>
    </row>
    <row r="795">
      <c r="A795" s="40" t="str">
        <f t="shared" si="1"/>
        <v/>
      </c>
      <c r="B795" s="40"/>
      <c r="C795" s="40"/>
      <c r="D795" s="41" t="str">
        <f t="shared" si="2"/>
        <v/>
      </c>
      <c r="E795" s="40"/>
      <c r="F795" s="42"/>
      <c r="G795" s="40"/>
      <c r="H795" s="40"/>
      <c r="I795" s="40"/>
      <c r="J795" s="43"/>
      <c r="K795" s="43">
        <f>IF(I795="Professional Billing Rate",J795,'Lists &amp; Settings'!$E$2)</f>
        <v>35.47</v>
      </c>
      <c r="L795" s="40"/>
    </row>
    <row r="796">
      <c r="A796" s="28" t="str">
        <f t="shared" si="1"/>
        <v/>
      </c>
      <c r="B796" s="28"/>
      <c r="C796" s="28"/>
      <c r="D796" s="26" t="str">
        <f t="shared" si="2"/>
        <v/>
      </c>
      <c r="E796" s="28"/>
      <c r="F796" s="35"/>
      <c r="G796" s="28"/>
      <c r="H796" s="28"/>
      <c r="I796" s="28"/>
      <c r="J796" s="37"/>
      <c r="K796" s="37">
        <f>IF(I796="Professional Billing Rate",J796,'Lists &amp; Settings'!$E$2)</f>
        <v>35.47</v>
      </c>
      <c r="L796" s="28"/>
    </row>
    <row r="797">
      <c r="A797" s="40" t="str">
        <f t="shared" si="1"/>
        <v/>
      </c>
      <c r="B797" s="40"/>
      <c r="C797" s="40"/>
      <c r="D797" s="41" t="str">
        <f t="shared" si="2"/>
        <v/>
      </c>
      <c r="E797" s="40"/>
      <c r="F797" s="42"/>
      <c r="G797" s="40"/>
      <c r="H797" s="40"/>
      <c r="I797" s="40"/>
      <c r="J797" s="43"/>
      <c r="K797" s="43">
        <f>IF(I797="Professional Billing Rate",J797,'Lists &amp; Settings'!$E$2)</f>
        <v>35.47</v>
      </c>
      <c r="L797" s="40"/>
    </row>
    <row r="798">
      <c r="A798" s="28" t="str">
        <f t="shared" si="1"/>
        <v/>
      </c>
      <c r="B798" s="28"/>
      <c r="C798" s="28"/>
      <c r="D798" s="26" t="str">
        <f t="shared" si="2"/>
        <v/>
      </c>
      <c r="E798" s="28"/>
      <c r="F798" s="35"/>
      <c r="G798" s="28"/>
      <c r="H798" s="28"/>
      <c r="I798" s="28"/>
      <c r="J798" s="37"/>
      <c r="K798" s="37">
        <f>IF(I798="Professional Billing Rate",J798,'Lists &amp; Settings'!$E$2)</f>
        <v>35.47</v>
      </c>
      <c r="L798" s="28"/>
    </row>
    <row r="799">
      <c r="A799" s="40" t="str">
        <f t="shared" si="1"/>
        <v/>
      </c>
      <c r="B799" s="40"/>
      <c r="C799" s="40"/>
      <c r="D799" s="41" t="str">
        <f t="shared" si="2"/>
        <v/>
      </c>
      <c r="E799" s="40"/>
      <c r="F799" s="42"/>
      <c r="G799" s="40"/>
      <c r="H799" s="40"/>
      <c r="I799" s="40"/>
      <c r="J799" s="43"/>
      <c r="K799" s="43">
        <f>IF(I799="Professional Billing Rate",J799,'Lists &amp; Settings'!$E$2)</f>
        <v>35.47</v>
      </c>
      <c r="L799" s="40"/>
    </row>
    <row r="800">
      <c r="A800" s="28" t="str">
        <f t="shared" si="1"/>
        <v/>
      </c>
      <c r="B800" s="28"/>
      <c r="C800" s="28"/>
      <c r="D800" s="26" t="str">
        <f t="shared" si="2"/>
        <v/>
      </c>
      <c r="E800" s="28"/>
      <c r="F800" s="35"/>
      <c r="G800" s="28"/>
      <c r="H800" s="28"/>
      <c r="I800" s="28"/>
      <c r="J800" s="37"/>
      <c r="K800" s="37">
        <f>IF(I800="Professional Billing Rate",J800,'Lists &amp; Settings'!$E$2)</f>
        <v>35.47</v>
      </c>
      <c r="L800" s="28"/>
    </row>
    <row r="801">
      <c r="A801" s="40" t="str">
        <f t="shared" si="1"/>
        <v/>
      </c>
      <c r="B801" s="40"/>
      <c r="C801" s="40"/>
      <c r="D801" s="41" t="str">
        <f t="shared" si="2"/>
        <v/>
      </c>
      <c r="E801" s="40"/>
      <c r="F801" s="42"/>
      <c r="G801" s="40"/>
      <c r="H801" s="40"/>
      <c r="I801" s="40"/>
      <c r="J801" s="43"/>
      <c r="K801" s="43">
        <f>IF(I801="Professional Billing Rate",J801,'Lists &amp; Settings'!$E$2)</f>
        <v>35.47</v>
      </c>
      <c r="L801" s="40"/>
    </row>
    <row r="802">
      <c r="A802" s="28" t="str">
        <f t="shared" si="1"/>
        <v/>
      </c>
      <c r="B802" s="28"/>
      <c r="C802" s="28"/>
      <c r="D802" s="26" t="str">
        <f t="shared" si="2"/>
        <v/>
      </c>
      <c r="E802" s="28"/>
      <c r="F802" s="35"/>
      <c r="G802" s="28"/>
      <c r="H802" s="28"/>
      <c r="I802" s="28"/>
      <c r="J802" s="37"/>
      <c r="K802" s="37">
        <f>IF(I802="Professional Billing Rate",J802,'Lists &amp; Settings'!$E$2)</f>
        <v>35.47</v>
      </c>
      <c r="L802" s="28"/>
    </row>
    <row r="803">
      <c r="A803" s="40" t="str">
        <f t="shared" si="1"/>
        <v/>
      </c>
      <c r="B803" s="40"/>
      <c r="C803" s="40"/>
      <c r="D803" s="41" t="str">
        <f t="shared" si="2"/>
        <v/>
      </c>
      <c r="E803" s="40"/>
      <c r="F803" s="42"/>
      <c r="G803" s="40"/>
      <c r="H803" s="40"/>
      <c r="I803" s="40"/>
      <c r="J803" s="43"/>
      <c r="K803" s="43">
        <f>IF(I803="Professional Billing Rate",J803,'Lists &amp; Settings'!$E$2)</f>
        <v>35.47</v>
      </c>
      <c r="L803" s="40"/>
    </row>
    <row r="804">
      <c r="A804" s="28" t="str">
        <f t="shared" si="1"/>
        <v/>
      </c>
      <c r="B804" s="28"/>
      <c r="C804" s="28"/>
      <c r="D804" s="26" t="str">
        <f t="shared" si="2"/>
        <v/>
      </c>
      <c r="E804" s="28"/>
      <c r="F804" s="35"/>
      <c r="G804" s="28"/>
      <c r="H804" s="28"/>
      <c r="I804" s="28"/>
      <c r="J804" s="37"/>
      <c r="K804" s="37">
        <f>IF(I804="Professional Billing Rate",J804,'Lists &amp; Settings'!$E$2)</f>
        <v>35.47</v>
      </c>
      <c r="L804" s="28"/>
    </row>
    <row r="805">
      <c r="A805" s="40" t="str">
        <f t="shared" si="1"/>
        <v/>
      </c>
      <c r="B805" s="40"/>
      <c r="C805" s="40"/>
      <c r="D805" s="41" t="str">
        <f t="shared" si="2"/>
        <v/>
      </c>
      <c r="E805" s="40"/>
      <c r="F805" s="42"/>
      <c r="G805" s="40"/>
      <c r="H805" s="40"/>
      <c r="I805" s="40"/>
      <c r="J805" s="43"/>
      <c r="K805" s="43">
        <f>IF(I805="Professional Billing Rate",J805,'Lists &amp; Settings'!$E$2)</f>
        <v>35.47</v>
      </c>
      <c r="L805" s="40"/>
    </row>
    <row r="806">
      <c r="A806" s="28" t="str">
        <f t="shared" si="1"/>
        <v/>
      </c>
      <c r="B806" s="28"/>
      <c r="C806" s="28"/>
      <c r="D806" s="26" t="str">
        <f t="shared" si="2"/>
        <v/>
      </c>
      <c r="E806" s="28"/>
      <c r="F806" s="35"/>
      <c r="G806" s="28"/>
      <c r="H806" s="28"/>
      <c r="I806" s="28"/>
      <c r="J806" s="37"/>
      <c r="K806" s="37">
        <f>IF(I806="Professional Billing Rate",J806,'Lists &amp; Settings'!$E$2)</f>
        <v>35.47</v>
      </c>
      <c r="L806" s="28"/>
    </row>
    <row r="807">
      <c r="A807" s="40" t="str">
        <f t="shared" si="1"/>
        <v/>
      </c>
      <c r="B807" s="40"/>
      <c r="C807" s="40"/>
      <c r="D807" s="41" t="str">
        <f t="shared" si="2"/>
        <v/>
      </c>
      <c r="E807" s="40"/>
      <c r="F807" s="42"/>
      <c r="G807" s="40"/>
      <c r="H807" s="40"/>
      <c r="I807" s="40"/>
      <c r="J807" s="43"/>
      <c r="K807" s="43">
        <f>IF(I807="Professional Billing Rate",J807,'Lists &amp; Settings'!$E$2)</f>
        <v>35.47</v>
      </c>
      <c r="L807" s="40"/>
    </row>
    <row r="808">
      <c r="A808" s="28" t="str">
        <f t="shared" si="1"/>
        <v/>
      </c>
      <c r="B808" s="28"/>
      <c r="C808" s="28"/>
      <c r="D808" s="26" t="str">
        <f t="shared" si="2"/>
        <v/>
      </c>
      <c r="E808" s="28"/>
      <c r="F808" s="35"/>
      <c r="G808" s="28"/>
      <c r="H808" s="28"/>
      <c r="I808" s="28"/>
      <c r="J808" s="37"/>
      <c r="K808" s="37">
        <f>IF(I808="Professional Billing Rate",J808,'Lists &amp; Settings'!$E$2)</f>
        <v>35.47</v>
      </c>
      <c r="L808" s="28"/>
    </row>
    <row r="809">
      <c r="A809" s="40" t="str">
        <f t="shared" si="1"/>
        <v/>
      </c>
      <c r="B809" s="40"/>
      <c r="C809" s="40"/>
      <c r="D809" s="41" t="str">
        <f t="shared" si="2"/>
        <v/>
      </c>
      <c r="E809" s="40"/>
      <c r="F809" s="42"/>
      <c r="G809" s="40"/>
      <c r="H809" s="40"/>
      <c r="I809" s="40"/>
      <c r="J809" s="43"/>
      <c r="K809" s="43">
        <f>IF(I809="Professional Billing Rate",J809,'Lists &amp; Settings'!$E$2)</f>
        <v>35.47</v>
      </c>
      <c r="L809" s="40"/>
    </row>
    <row r="810">
      <c r="A810" s="28" t="str">
        <f t="shared" si="1"/>
        <v/>
      </c>
      <c r="B810" s="28"/>
      <c r="C810" s="28"/>
      <c r="D810" s="26" t="str">
        <f t="shared" si="2"/>
        <v/>
      </c>
      <c r="E810" s="28"/>
      <c r="F810" s="35"/>
      <c r="G810" s="28"/>
      <c r="H810" s="28"/>
      <c r="I810" s="28"/>
      <c r="J810" s="37"/>
      <c r="K810" s="37">
        <f>IF(I810="Professional Billing Rate",J810,'Lists &amp; Settings'!$E$2)</f>
        <v>35.47</v>
      </c>
      <c r="L810" s="28"/>
    </row>
    <row r="811">
      <c r="A811" s="40" t="str">
        <f t="shared" si="1"/>
        <v/>
      </c>
      <c r="B811" s="40"/>
      <c r="C811" s="40"/>
      <c r="D811" s="41" t="str">
        <f t="shared" si="2"/>
        <v/>
      </c>
      <c r="E811" s="40"/>
      <c r="F811" s="42"/>
      <c r="G811" s="40"/>
      <c r="H811" s="40"/>
      <c r="I811" s="40"/>
      <c r="J811" s="43"/>
      <c r="K811" s="43">
        <f>IF(I811="Professional Billing Rate",J811,'Lists &amp; Settings'!$E$2)</f>
        <v>35.47</v>
      </c>
      <c r="L811" s="40"/>
    </row>
    <row r="812">
      <c r="A812" s="28" t="str">
        <f t="shared" si="1"/>
        <v/>
      </c>
      <c r="B812" s="28"/>
      <c r="C812" s="28"/>
      <c r="D812" s="26" t="str">
        <f t="shared" si="2"/>
        <v/>
      </c>
      <c r="E812" s="28"/>
      <c r="F812" s="35"/>
      <c r="G812" s="28"/>
      <c r="H812" s="28"/>
      <c r="I812" s="28"/>
      <c r="J812" s="37"/>
      <c r="K812" s="37">
        <f>IF(I812="Professional Billing Rate",J812,'Lists &amp; Settings'!$E$2)</f>
        <v>35.47</v>
      </c>
      <c r="L812" s="28"/>
    </row>
    <row r="813">
      <c r="A813" s="40" t="str">
        <f t="shared" si="1"/>
        <v/>
      </c>
      <c r="B813" s="40"/>
      <c r="C813" s="40"/>
      <c r="D813" s="41" t="str">
        <f t="shared" si="2"/>
        <v/>
      </c>
      <c r="E813" s="40"/>
      <c r="F813" s="42"/>
      <c r="G813" s="40"/>
      <c r="H813" s="40"/>
      <c r="I813" s="40"/>
      <c r="J813" s="43"/>
      <c r="K813" s="43">
        <f>IF(I813="Professional Billing Rate",J813,'Lists &amp; Settings'!$E$2)</f>
        <v>35.47</v>
      </c>
      <c r="L813" s="40"/>
    </row>
    <row r="814">
      <c r="A814" s="28" t="str">
        <f t="shared" si="1"/>
        <v/>
      </c>
      <c r="B814" s="28"/>
      <c r="C814" s="28"/>
      <c r="D814" s="26" t="str">
        <f t="shared" si="2"/>
        <v/>
      </c>
      <c r="E814" s="28"/>
      <c r="F814" s="35"/>
      <c r="G814" s="28"/>
      <c r="H814" s="28"/>
      <c r="I814" s="28"/>
      <c r="J814" s="37"/>
      <c r="K814" s="37">
        <f>IF(I814="Professional Billing Rate",J814,'Lists &amp; Settings'!$E$2)</f>
        <v>35.47</v>
      </c>
      <c r="L814" s="28"/>
    </row>
    <row r="815">
      <c r="A815" s="40" t="str">
        <f t="shared" si="1"/>
        <v/>
      </c>
      <c r="B815" s="40"/>
      <c r="C815" s="40"/>
      <c r="D815" s="41" t="str">
        <f t="shared" si="2"/>
        <v/>
      </c>
      <c r="E815" s="40"/>
      <c r="F815" s="42"/>
      <c r="G815" s="40"/>
      <c r="H815" s="40"/>
      <c r="I815" s="40"/>
      <c r="J815" s="43"/>
      <c r="K815" s="43">
        <f>IF(I815="Professional Billing Rate",J815,'Lists &amp; Settings'!$E$2)</f>
        <v>35.47</v>
      </c>
      <c r="L815" s="40"/>
    </row>
    <row r="816">
      <c r="A816" s="28" t="str">
        <f t="shared" si="1"/>
        <v/>
      </c>
      <c r="B816" s="28"/>
      <c r="C816" s="28"/>
      <c r="D816" s="26" t="str">
        <f t="shared" si="2"/>
        <v/>
      </c>
      <c r="E816" s="28"/>
      <c r="F816" s="35"/>
      <c r="G816" s="28"/>
      <c r="H816" s="28"/>
      <c r="I816" s="28"/>
      <c r="J816" s="37"/>
      <c r="K816" s="37">
        <f>IF(I816="Professional Billing Rate",J816,'Lists &amp; Settings'!$E$2)</f>
        <v>35.47</v>
      </c>
      <c r="L816" s="28"/>
    </row>
    <row r="817">
      <c r="A817" s="40" t="str">
        <f t="shared" si="1"/>
        <v/>
      </c>
      <c r="B817" s="40"/>
      <c r="C817" s="40"/>
      <c r="D817" s="41" t="str">
        <f t="shared" si="2"/>
        <v/>
      </c>
      <c r="E817" s="40"/>
      <c r="F817" s="42"/>
      <c r="G817" s="40"/>
      <c r="H817" s="40"/>
      <c r="I817" s="40"/>
      <c r="J817" s="43"/>
      <c r="K817" s="43">
        <f>IF(I817="Professional Billing Rate",J817,'Lists &amp; Settings'!$E$2)</f>
        <v>35.47</v>
      </c>
      <c r="L817" s="40"/>
    </row>
    <row r="818">
      <c r="A818" s="28" t="str">
        <f t="shared" si="1"/>
        <v/>
      </c>
      <c r="B818" s="28"/>
      <c r="C818" s="28"/>
      <c r="D818" s="26" t="str">
        <f t="shared" si="2"/>
        <v/>
      </c>
      <c r="E818" s="28"/>
      <c r="F818" s="35"/>
      <c r="G818" s="28"/>
      <c r="H818" s="28"/>
      <c r="I818" s="28"/>
      <c r="J818" s="37"/>
      <c r="K818" s="37">
        <f>IF(I818="Professional Billing Rate",J818,'Lists &amp; Settings'!$E$2)</f>
        <v>35.47</v>
      </c>
      <c r="L818" s="28"/>
    </row>
    <row r="819">
      <c r="A819" s="40" t="str">
        <f t="shared" si="1"/>
        <v/>
      </c>
      <c r="B819" s="40"/>
      <c r="C819" s="40"/>
      <c r="D819" s="41" t="str">
        <f t="shared" si="2"/>
        <v/>
      </c>
      <c r="E819" s="40"/>
      <c r="F819" s="42"/>
      <c r="G819" s="40"/>
      <c r="H819" s="40"/>
      <c r="I819" s="40"/>
      <c r="J819" s="43"/>
      <c r="K819" s="43">
        <f>IF(I819="Professional Billing Rate",J819,'Lists &amp; Settings'!$E$2)</f>
        <v>35.47</v>
      </c>
      <c r="L819" s="40"/>
    </row>
    <row r="820">
      <c r="A820" s="28" t="str">
        <f t="shared" si="1"/>
        <v/>
      </c>
      <c r="B820" s="28"/>
      <c r="C820" s="28"/>
      <c r="D820" s="26" t="str">
        <f t="shared" si="2"/>
        <v/>
      </c>
      <c r="E820" s="28"/>
      <c r="F820" s="35"/>
      <c r="G820" s="28"/>
      <c r="H820" s="28"/>
      <c r="I820" s="28"/>
      <c r="J820" s="37"/>
      <c r="K820" s="37">
        <f>IF(I820="Professional Billing Rate",J820,'Lists &amp; Settings'!$E$2)</f>
        <v>35.47</v>
      </c>
      <c r="L820" s="28"/>
    </row>
    <row r="821">
      <c r="A821" s="40" t="str">
        <f t="shared" si="1"/>
        <v/>
      </c>
      <c r="B821" s="40"/>
      <c r="C821" s="40"/>
      <c r="D821" s="41" t="str">
        <f t="shared" si="2"/>
        <v/>
      </c>
      <c r="E821" s="40"/>
      <c r="F821" s="42"/>
      <c r="G821" s="40"/>
      <c r="H821" s="40"/>
      <c r="I821" s="40"/>
      <c r="J821" s="43"/>
      <c r="K821" s="43">
        <f>IF(I821="Professional Billing Rate",J821,'Lists &amp; Settings'!$E$2)</f>
        <v>35.47</v>
      </c>
      <c r="L821" s="40"/>
    </row>
    <row r="822">
      <c r="A822" s="28" t="str">
        <f t="shared" si="1"/>
        <v/>
      </c>
      <c r="B822" s="28"/>
      <c r="C822" s="28"/>
      <c r="D822" s="26" t="str">
        <f t="shared" si="2"/>
        <v/>
      </c>
      <c r="E822" s="28"/>
      <c r="F822" s="35"/>
      <c r="G822" s="28"/>
      <c r="H822" s="28"/>
      <c r="I822" s="28"/>
      <c r="J822" s="37"/>
      <c r="K822" s="37">
        <f>IF(I822="Professional Billing Rate",J822,'Lists &amp; Settings'!$E$2)</f>
        <v>35.47</v>
      </c>
      <c r="L822" s="28"/>
    </row>
    <row r="823">
      <c r="A823" s="40" t="str">
        <f t="shared" si="1"/>
        <v/>
      </c>
      <c r="B823" s="40"/>
      <c r="C823" s="40"/>
      <c r="D823" s="41" t="str">
        <f t="shared" si="2"/>
        <v/>
      </c>
      <c r="E823" s="40"/>
      <c r="F823" s="42"/>
      <c r="G823" s="40"/>
      <c r="H823" s="40"/>
      <c r="I823" s="40"/>
      <c r="J823" s="43"/>
      <c r="K823" s="43">
        <f>IF(I823="Professional Billing Rate",J823,'Lists &amp; Settings'!$E$2)</f>
        <v>35.47</v>
      </c>
      <c r="L823" s="40"/>
    </row>
    <row r="824">
      <c r="A824" s="28" t="str">
        <f t="shared" si="1"/>
        <v/>
      </c>
      <c r="B824" s="28"/>
      <c r="C824" s="28"/>
      <c r="D824" s="26" t="str">
        <f t="shared" si="2"/>
        <v/>
      </c>
      <c r="E824" s="28"/>
      <c r="F824" s="35"/>
      <c r="G824" s="28"/>
      <c r="H824" s="28"/>
      <c r="I824" s="28"/>
      <c r="J824" s="37"/>
      <c r="K824" s="37">
        <f>IF(I824="Professional Billing Rate",J824,'Lists &amp; Settings'!$E$2)</f>
        <v>35.47</v>
      </c>
      <c r="L824" s="28"/>
    </row>
    <row r="825">
      <c r="A825" s="40" t="str">
        <f t="shared" si="1"/>
        <v/>
      </c>
      <c r="B825" s="40"/>
      <c r="C825" s="40"/>
      <c r="D825" s="41" t="str">
        <f t="shared" si="2"/>
        <v/>
      </c>
      <c r="E825" s="40"/>
      <c r="F825" s="42"/>
      <c r="G825" s="40"/>
      <c r="H825" s="40"/>
      <c r="I825" s="40"/>
      <c r="J825" s="43"/>
      <c r="K825" s="43">
        <f>IF(I825="Professional Billing Rate",J825,'Lists &amp; Settings'!$E$2)</f>
        <v>35.47</v>
      </c>
      <c r="L825" s="40"/>
    </row>
    <row r="826">
      <c r="A826" s="28" t="str">
        <f t="shared" si="1"/>
        <v/>
      </c>
      <c r="B826" s="28"/>
      <c r="C826" s="28"/>
      <c r="D826" s="26" t="str">
        <f t="shared" si="2"/>
        <v/>
      </c>
      <c r="E826" s="28"/>
      <c r="F826" s="35"/>
      <c r="G826" s="28"/>
      <c r="H826" s="28"/>
      <c r="I826" s="28"/>
      <c r="J826" s="37"/>
      <c r="K826" s="37">
        <f>IF(I826="Professional Billing Rate",J826,'Lists &amp; Settings'!$E$2)</f>
        <v>35.47</v>
      </c>
      <c r="L826" s="28"/>
    </row>
    <row r="827">
      <c r="A827" s="40" t="str">
        <f t="shared" si="1"/>
        <v/>
      </c>
      <c r="B827" s="40"/>
      <c r="C827" s="40"/>
      <c r="D827" s="41" t="str">
        <f t="shared" si="2"/>
        <v/>
      </c>
      <c r="E827" s="40"/>
      <c r="F827" s="42"/>
      <c r="G827" s="40"/>
      <c r="H827" s="40"/>
      <c r="I827" s="40"/>
      <c r="J827" s="43"/>
      <c r="K827" s="43">
        <f>IF(I827="Professional Billing Rate",J827,'Lists &amp; Settings'!$E$2)</f>
        <v>35.47</v>
      </c>
      <c r="L827" s="40"/>
    </row>
    <row r="828">
      <c r="A828" s="28" t="str">
        <f t="shared" si="1"/>
        <v/>
      </c>
      <c r="B828" s="28"/>
      <c r="C828" s="28"/>
      <c r="D828" s="26" t="str">
        <f t="shared" si="2"/>
        <v/>
      </c>
      <c r="E828" s="28"/>
      <c r="F828" s="35"/>
      <c r="G828" s="28"/>
      <c r="H828" s="28"/>
      <c r="I828" s="28"/>
      <c r="J828" s="37"/>
      <c r="K828" s="37">
        <f>IF(I828="Professional Billing Rate",J828,'Lists &amp; Settings'!$E$2)</f>
        <v>35.47</v>
      </c>
      <c r="L828" s="28"/>
    </row>
    <row r="829">
      <c r="A829" s="40" t="str">
        <f t="shared" si="1"/>
        <v/>
      </c>
      <c r="B829" s="40"/>
      <c r="C829" s="40"/>
      <c r="D829" s="41" t="str">
        <f t="shared" si="2"/>
        <v/>
      </c>
      <c r="E829" s="40"/>
      <c r="F829" s="42"/>
      <c r="G829" s="40"/>
      <c r="H829" s="40"/>
      <c r="I829" s="40"/>
      <c r="J829" s="43"/>
      <c r="K829" s="43">
        <f>IF(I829="Professional Billing Rate",J829,'Lists &amp; Settings'!$E$2)</f>
        <v>35.47</v>
      </c>
      <c r="L829" s="40"/>
    </row>
    <row r="830">
      <c r="A830" s="28" t="str">
        <f t="shared" si="1"/>
        <v/>
      </c>
      <c r="B830" s="28"/>
      <c r="C830" s="28"/>
      <c r="D830" s="26" t="str">
        <f t="shared" si="2"/>
        <v/>
      </c>
      <c r="E830" s="28"/>
      <c r="F830" s="35"/>
      <c r="G830" s="28"/>
      <c r="H830" s="28"/>
      <c r="I830" s="28"/>
      <c r="J830" s="37"/>
      <c r="K830" s="37">
        <f>IF(I830="Professional Billing Rate",J830,'Lists &amp; Settings'!$E$2)</f>
        <v>35.47</v>
      </c>
      <c r="L830" s="28"/>
    </row>
    <row r="831">
      <c r="A831" s="40" t="str">
        <f t="shared" si="1"/>
        <v/>
      </c>
      <c r="B831" s="40"/>
      <c r="C831" s="40"/>
      <c r="D831" s="41" t="str">
        <f t="shared" si="2"/>
        <v/>
      </c>
      <c r="E831" s="40"/>
      <c r="F831" s="42"/>
      <c r="G831" s="40"/>
      <c r="H831" s="40"/>
      <c r="I831" s="40"/>
      <c r="J831" s="43"/>
      <c r="K831" s="43">
        <f>IF(I831="Professional Billing Rate",J831,'Lists &amp; Settings'!$E$2)</f>
        <v>35.47</v>
      </c>
      <c r="L831" s="40"/>
    </row>
    <row r="832">
      <c r="A832" s="28" t="str">
        <f t="shared" si="1"/>
        <v/>
      </c>
      <c r="B832" s="28"/>
      <c r="C832" s="28"/>
      <c r="D832" s="26" t="str">
        <f t="shared" si="2"/>
        <v/>
      </c>
      <c r="E832" s="28"/>
      <c r="F832" s="35"/>
      <c r="G832" s="28"/>
      <c r="H832" s="28"/>
      <c r="I832" s="28"/>
      <c r="J832" s="37"/>
      <c r="K832" s="37">
        <f>IF(I832="Professional Billing Rate",J832,'Lists &amp; Settings'!$E$2)</f>
        <v>35.47</v>
      </c>
      <c r="L832" s="28"/>
    </row>
    <row r="833">
      <c r="A833" s="40" t="str">
        <f t="shared" si="1"/>
        <v/>
      </c>
      <c r="B833" s="40"/>
      <c r="C833" s="40"/>
      <c r="D833" s="41" t="str">
        <f t="shared" si="2"/>
        <v/>
      </c>
      <c r="E833" s="40"/>
      <c r="F833" s="42"/>
      <c r="G833" s="40"/>
      <c r="H833" s="40"/>
      <c r="I833" s="40"/>
      <c r="J833" s="43"/>
      <c r="K833" s="43">
        <f>IF(I833="Professional Billing Rate",J833,'Lists &amp; Settings'!$E$2)</f>
        <v>35.47</v>
      </c>
      <c r="L833" s="40"/>
    </row>
    <row r="834">
      <c r="A834" s="28" t="str">
        <f t="shared" si="1"/>
        <v/>
      </c>
      <c r="B834" s="28"/>
      <c r="C834" s="28"/>
      <c r="D834" s="26" t="str">
        <f t="shared" si="2"/>
        <v/>
      </c>
      <c r="E834" s="28"/>
      <c r="F834" s="35"/>
      <c r="G834" s="28"/>
      <c r="H834" s="28"/>
      <c r="I834" s="28"/>
      <c r="J834" s="37"/>
      <c r="K834" s="37">
        <f>IF(I834="Professional Billing Rate",J834,'Lists &amp; Settings'!$E$2)</f>
        <v>35.47</v>
      </c>
      <c r="L834" s="28"/>
    </row>
    <row r="835">
      <c r="A835" s="40" t="str">
        <f t="shared" si="1"/>
        <v/>
      </c>
      <c r="B835" s="40"/>
      <c r="C835" s="40"/>
      <c r="D835" s="41" t="str">
        <f t="shared" si="2"/>
        <v/>
      </c>
      <c r="E835" s="40"/>
      <c r="F835" s="42"/>
      <c r="G835" s="40"/>
      <c r="H835" s="40"/>
      <c r="I835" s="40"/>
      <c r="J835" s="43"/>
      <c r="K835" s="43">
        <f>IF(I835="Professional Billing Rate",J835,'Lists &amp; Settings'!$E$2)</f>
        <v>35.47</v>
      </c>
      <c r="L835" s="40"/>
    </row>
    <row r="836">
      <c r="A836" s="28" t="str">
        <f t="shared" si="1"/>
        <v/>
      </c>
      <c r="B836" s="28"/>
      <c r="C836" s="28"/>
      <c r="D836" s="26" t="str">
        <f t="shared" si="2"/>
        <v/>
      </c>
      <c r="E836" s="28"/>
      <c r="F836" s="35"/>
      <c r="G836" s="28"/>
      <c r="H836" s="28"/>
      <c r="I836" s="28"/>
      <c r="J836" s="37"/>
      <c r="K836" s="37">
        <f>IF(I836="Professional Billing Rate",J836,'Lists &amp; Settings'!$E$2)</f>
        <v>35.47</v>
      </c>
      <c r="L836" s="28"/>
    </row>
    <row r="837">
      <c r="A837" s="40" t="str">
        <f t="shared" si="1"/>
        <v/>
      </c>
      <c r="B837" s="40"/>
      <c r="C837" s="40"/>
      <c r="D837" s="41" t="str">
        <f t="shared" si="2"/>
        <v/>
      </c>
      <c r="E837" s="40"/>
      <c r="F837" s="42"/>
      <c r="G837" s="40"/>
      <c r="H837" s="40"/>
      <c r="I837" s="40"/>
      <c r="J837" s="43"/>
      <c r="K837" s="43">
        <f>IF(I837="Professional Billing Rate",J837,'Lists &amp; Settings'!$E$2)</f>
        <v>35.47</v>
      </c>
      <c r="L837" s="40"/>
    </row>
    <row r="838">
      <c r="A838" s="28" t="str">
        <f t="shared" si="1"/>
        <v/>
      </c>
      <c r="B838" s="28"/>
      <c r="C838" s="28"/>
      <c r="D838" s="26" t="str">
        <f t="shared" si="2"/>
        <v/>
      </c>
      <c r="E838" s="28"/>
      <c r="F838" s="35"/>
      <c r="G838" s="28"/>
      <c r="H838" s="28"/>
      <c r="I838" s="28"/>
      <c r="J838" s="37"/>
      <c r="K838" s="37">
        <f>IF(I838="Professional Billing Rate",J838,'Lists &amp; Settings'!$E$2)</f>
        <v>35.47</v>
      </c>
      <c r="L838" s="28"/>
    </row>
    <row r="839">
      <c r="A839" s="40" t="str">
        <f t="shared" si="1"/>
        <v/>
      </c>
      <c r="B839" s="40"/>
      <c r="C839" s="40"/>
      <c r="D839" s="41" t="str">
        <f t="shared" si="2"/>
        <v/>
      </c>
      <c r="E839" s="40"/>
      <c r="F839" s="42"/>
      <c r="G839" s="40"/>
      <c r="H839" s="40"/>
      <c r="I839" s="40"/>
      <c r="J839" s="43"/>
      <c r="K839" s="43">
        <f>IF(I839="Professional Billing Rate",J839,'Lists &amp; Settings'!$E$2)</f>
        <v>35.47</v>
      </c>
      <c r="L839" s="40"/>
    </row>
    <row r="840">
      <c r="A840" s="28" t="str">
        <f t="shared" si="1"/>
        <v/>
      </c>
      <c r="B840" s="28"/>
      <c r="C840" s="28"/>
      <c r="D840" s="26" t="str">
        <f t="shared" si="2"/>
        <v/>
      </c>
      <c r="E840" s="28"/>
      <c r="F840" s="35"/>
      <c r="G840" s="28"/>
      <c r="H840" s="28"/>
      <c r="I840" s="28"/>
      <c r="J840" s="37"/>
      <c r="K840" s="37">
        <f>IF(I840="Professional Billing Rate",J840,'Lists &amp; Settings'!$E$2)</f>
        <v>35.47</v>
      </c>
      <c r="L840" s="28"/>
    </row>
    <row r="841">
      <c r="A841" s="40" t="str">
        <f t="shared" si="1"/>
        <v/>
      </c>
      <c r="B841" s="40"/>
      <c r="C841" s="40"/>
      <c r="D841" s="41" t="str">
        <f t="shared" si="2"/>
        <v/>
      </c>
      <c r="E841" s="40"/>
      <c r="F841" s="42"/>
      <c r="G841" s="40"/>
      <c r="H841" s="40"/>
      <c r="I841" s="40"/>
      <c r="J841" s="43"/>
      <c r="K841" s="43">
        <f>IF(I841="Professional Billing Rate",J841,'Lists &amp; Settings'!$E$2)</f>
        <v>35.47</v>
      </c>
      <c r="L841" s="40"/>
    </row>
    <row r="842">
      <c r="A842" s="28" t="str">
        <f t="shared" si="1"/>
        <v/>
      </c>
      <c r="B842" s="28"/>
      <c r="C842" s="28"/>
      <c r="D842" s="26" t="str">
        <f t="shared" si="2"/>
        <v/>
      </c>
      <c r="E842" s="28"/>
      <c r="F842" s="35"/>
      <c r="G842" s="28"/>
      <c r="H842" s="28"/>
      <c r="I842" s="28"/>
      <c r="J842" s="37"/>
      <c r="K842" s="37">
        <f>IF(I842="Professional Billing Rate",J842,'Lists &amp; Settings'!$E$2)</f>
        <v>35.47</v>
      </c>
      <c r="L842" s="28"/>
    </row>
    <row r="843">
      <c r="A843" s="40" t="str">
        <f t="shared" si="1"/>
        <v/>
      </c>
      <c r="B843" s="40"/>
      <c r="C843" s="40"/>
      <c r="D843" s="41" t="str">
        <f t="shared" si="2"/>
        <v/>
      </c>
      <c r="E843" s="40"/>
      <c r="F843" s="42"/>
      <c r="G843" s="40"/>
      <c r="H843" s="40"/>
      <c r="I843" s="40"/>
      <c r="J843" s="43"/>
      <c r="K843" s="43">
        <f>IF(I843="Professional Billing Rate",J843,'Lists &amp; Settings'!$E$2)</f>
        <v>35.47</v>
      </c>
      <c r="L843" s="40"/>
    </row>
    <row r="844">
      <c r="A844" s="28" t="str">
        <f t="shared" si="1"/>
        <v/>
      </c>
      <c r="B844" s="28"/>
      <c r="C844" s="28"/>
      <c r="D844" s="26" t="str">
        <f t="shared" si="2"/>
        <v/>
      </c>
      <c r="E844" s="28"/>
      <c r="F844" s="35"/>
      <c r="G844" s="28"/>
      <c r="H844" s="28"/>
      <c r="I844" s="28"/>
      <c r="J844" s="37"/>
      <c r="K844" s="37">
        <f>IF(I844="Professional Billing Rate",J844,'Lists &amp; Settings'!$E$2)</f>
        <v>35.47</v>
      </c>
      <c r="L844" s="28"/>
    </row>
    <row r="845">
      <c r="A845" s="40" t="str">
        <f t="shared" si="1"/>
        <v/>
      </c>
      <c r="B845" s="40"/>
      <c r="C845" s="40"/>
      <c r="D845" s="41" t="str">
        <f t="shared" si="2"/>
        <v/>
      </c>
      <c r="E845" s="40"/>
      <c r="F845" s="42"/>
      <c r="G845" s="40"/>
      <c r="H845" s="40"/>
      <c r="I845" s="40"/>
      <c r="J845" s="43"/>
      <c r="K845" s="43">
        <f>IF(I845="Professional Billing Rate",J845,'Lists &amp; Settings'!$E$2)</f>
        <v>35.47</v>
      </c>
      <c r="L845" s="40"/>
    </row>
    <row r="846">
      <c r="A846" s="28" t="str">
        <f t="shared" si="1"/>
        <v/>
      </c>
      <c r="B846" s="28"/>
      <c r="C846" s="28"/>
      <c r="D846" s="26" t="str">
        <f t="shared" si="2"/>
        <v/>
      </c>
      <c r="E846" s="28"/>
      <c r="F846" s="35"/>
      <c r="G846" s="28"/>
      <c r="H846" s="28"/>
      <c r="I846" s="28"/>
      <c r="J846" s="37"/>
      <c r="K846" s="37">
        <f>IF(I846="Professional Billing Rate",J846,'Lists &amp; Settings'!$E$2)</f>
        <v>35.47</v>
      </c>
      <c r="L846" s="28"/>
    </row>
    <row r="847">
      <c r="A847" s="40" t="str">
        <f t="shared" si="1"/>
        <v/>
      </c>
      <c r="B847" s="40"/>
      <c r="C847" s="40"/>
      <c r="D847" s="41" t="str">
        <f t="shared" si="2"/>
        <v/>
      </c>
      <c r="E847" s="40"/>
      <c r="F847" s="42"/>
      <c r="G847" s="40"/>
      <c r="H847" s="40"/>
      <c r="I847" s="40"/>
      <c r="J847" s="43"/>
      <c r="K847" s="43">
        <f>IF(I847="Professional Billing Rate",J847,'Lists &amp; Settings'!$E$2)</f>
        <v>35.47</v>
      </c>
      <c r="L847" s="40"/>
    </row>
    <row r="848">
      <c r="A848" s="28" t="str">
        <f t="shared" si="1"/>
        <v/>
      </c>
      <c r="B848" s="28"/>
      <c r="C848" s="28"/>
      <c r="D848" s="26" t="str">
        <f t="shared" si="2"/>
        <v/>
      </c>
      <c r="E848" s="28"/>
      <c r="F848" s="35"/>
      <c r="G848" s="28"/>
      <c r="H848" s="28"/>
      <c r="I848" s="28"/>
      <c r="J848" s="37"/>
      <c r="K848" s="37">
        <f>IF(I848="Professional Billing Rate",J848,'Lists &amp; Settings'!$E$2)</f>
        <v>35.47</v>
      </c>
      <c r="L848" s="28"/>
    </row>
    <row r="849">
      <c r="A849" s="40" t="str">
        <f t="shared" si="1"/>
        <v/>
      </c>
      <c r="B849" s="40"/>
      <c r="C849" s="40"/>
      <c r="D849" s="41" t="str">
        <f t="shared" si="2"/>
        <v/>
      </c>
      <c r="E849" s="40"/>
      <c r="F849" s="42"/>
      <c r="G849" s="40"/>
      <c r="H849" s="40"/>
      <c r="I849" s="40"/>
      <c r="J849" s="43"/>
      <c r="K849" s="43">
        <f>IF(I849="Professional Billing Rate",J849,'Lists &amp; Settings'!$E$2)</f>
        <v>35.47</v>
      </c>
      <c r="L849" s="40"/>
    </row>
    <row r="850">
      <c r="A850" s="28" t="str">
        <f t="shared" si="1"/>
        <v/>
      </c>
      <c r="B850" s="28"/>
      <c r="C850" s="28"/>
      <c r="D850" s="26" t="str">
        <f t="shared" si="2"/>
        <v/>
      </c>
      <c r="E850" s="28"/>
      <c r="F850" s="35"/>
      <c r="G850" s="28"/>
      <c r="H850" s="28"/>
      <c r="I850" s="28"/>
      <c r="J850" s="37"/>
      <c r="K850" s="37">
        <f>IF(I850="Professional Billing Rate",J850,'Lists &amp; Settings'!$E$2)</f>
        <v>35.47</v>
      </c>
      <c r="L850" s="28"/>
    </row>
    <row r="851">
      <c r="A851" s="40" t="str">
        <f t="shared" si="1"/>
        <v/>
      </c>
      <c r="B851" s="40"/>
      <c r="C851" s="40"/>
      <c r="D851" s="41" t="str">
        <f t="shared" si="2"/>
        <v/>
      </c>
      <c r="E851" s="40"/>
      <c r="F851" s="42"/>
      <c r="G851" s="40"/>
      <c r="H851" s="40"/>
      <c r="I851" s="40"/>
      <c r="J851" s="43"/>
      <c r="K851" s="43">
        <f>IF(I851="Professional Billing Rate",J851,'Lists &amp; Settings'!$E$2)</f>
        <v>35.47</v>
      </c>
      <c r="L851" s="40"/>
    </row>
    <row r="852">
      <c r="A852" s="28" t="str">
        <f t="shared" si="1"/>
        <v/>
      </c>
      <c r="B852" s="28"/>
      <c r="C852" s="28"/>
      <c r="D852" s="26" t="str">
        <f t="shared" si="2"/>
        <v/>
      </c>
      <c r="E852" s="28"/>
      <c r="F852" s="35"/>
      <c r="G852" s="28"/>
      <c r="H852" s="28"/>
      <c r="I852" s="28"/>
      <c r="J852" s="37"/>
      <c r="K852" s="37">
        <f>IF(I852="Professional Billing Rate",J852,'Lists &amp; Settings'!$E$2)</f>
        <v>35.47</v>
      </c>
      <c r="L852" s="28"/>
    </row>
    <row r="853">
      <c r="A853" s="40" t="str">
        <f t="shared" si="1"/>
        <v/>
      </c>
      <c r="B853" s="40"/>
      <c r="C853" s="40"/>
      <c r="D853" s="41" t="str">
        <f t="shared" si="2"/>
        <v/>
      </c>
      <c r="E853" s="40"/>
      <c r="F853" s="42"/>
      <c r="G853" s="40"/>
      <c r="H853" s="40"/>
      <c r="I853" s="40"/>
      <c r="J853" s="43"/>
      <c r="K853" s="43">
        <f>IF(I853="Professional Billing Rate",J853,'Lists &amp; Settings'!$E$2)</f>
        <v>35.47</v>
      </c>
      <c r="L853" s="40"/>
    </row>
    <row r="854">
      <c r="A854" s="28" t="str">
        <f t="shared" si="1"/>
        <v/>
      </c>
      <c r="B854" s="28"/>
      <c r="C854" s="28"/>
      <c r="D854" s="26" t="str">
        <f t="shared" si="2"/>
        <v/>
      </c>
      <c r="E854" s="28"/>
      <c r="F854" s="35"/>
      <c r="G854" s="28"/>
      <c r="H854" s="28"/>
      <c r="I854" s="28"/>
      <c r="J854" s="37"/>
      <c r="K854" s="37">
        <f>IF(I854="Professional Billing Rate",J854,'Lists &amp; Settings'!$E$2)</f>
        <v>35.47</v>
      </c>
      <c r="L854" s="28"/>
    </row>
    <row r="855">
      <c r="A855" s="40" t="str">
        <f t="shared" si="1"/>
        <v/>
      </c>
      <c r="B855" s="40"/>
      <c r="C855" s="40"/>
      <c r="D855" s="41" t="str">
        <f t="shared" si="2"/>
        <v/>
      </c>
      <c r="E855" s="40"/>
      <c r="F855" s="42"/>
      <c r="G855" s="40"/>
      <c r="H855" s="40"/>
      <c r="I855" s="40"/>
      <c r="J855" s="43"/>
      <c r="K855" s="43">
        <f>IF(I855="Professional Billing Rate",J855,'Lists &amp; Settings'!$E$2)</f>
        <v>35.47</v>
      </c>
      <c r="L855" s="40"/>
    </row>
    <row r="856">
      <c r="A856" s="28" t="str">
        <f t="shared" si="1"/>
        <v/>
      </c>
      <c r="B856" s="28"/>
      <c r="C856" s="28"/>
      <c r="D856" s="26" t="str">
        <f t="shared" si="2"/>
        <v/>
      </c>
      <c r="E856" s="28"/>
      <c r="F856" s="35"/>
      <c r="G856" s="28"/>
      <c r="H856" s="28"/>
      <c r="I856" s="28"/>
      <c r="J856" s="37"/>
      <c r="K856" s="37">
        <f>IF(I856="Professional Billing Rate",J856,'Lists &amp; Settings'!$E$2)</f>
        <v>35.47</v>
      </c>
      <c r="L856" s="28"/>
    </row>
    <row r="857">
      <c r="A857" s="40" t="str">
        <f t="shared" si="1"/>
        <v/>
      </c>
      <c r="B857" s="40"/>
      <c r="C857" s="40"/>
      <c r="D857" s="41" t="str">
        <f t="shared" si="2"/>
        <v/>
      </c>
      <c r="E857" s="40"/>
      <c r="F857" s="42"/>
      <c r="G857" s="40"/>
      <c r="H857" s="40"/>
      <c r="I857" s="40"/>
      <c r="J857" s="43"/>
      <c r="K857" s="43">
        <f>IF(I857="Professional Billing Rate",J857,'Lists &amp; Settings'!$E$2)</f>
        <v>35.47</v>
      </c>
      <c r="L857" s="40"/>
    </row>
    <row r="858">
      <c r="A858" s="28" t="str">
        <f t="shared" si="1"/>
        <v/>
      </c>
      <c r="B858" s="28"/>
      <c r="C858" s="28"/>
      <c r="D858" s="26" t="str">
        <f t="shared" si="2"/>
        <v/>
      </c>
      <c r="E858" s="28"/>
      <c r="F858" s="35"/>
      <c r="G858" s="28"/>
      <c r="H858" s="28"/>
      <c r="I858" s="28"/>
      <c r="J858" s="37"/>
      <c r="K858" s="37">
        <f>IF(I858="Professional Billing Rate",J858,'Lists &amp; Settings'!$E$2)</f>
        <v>35.47</v>
      </c>
      <c r="L858" s="28"/>
    </row>
    <row r="859">
      <c r="A859" s="40" t="str">
        <f t="shared" si="1"/>
        <v/>
      </c>
      <c r="B859" s="40"/>
      <c r="C859" s="40"/>
      <c r="D859" s="41" t="str">
        <f t="shared" si="2"/>
        <v/>
      </c>
      <c r="E859" s="40"/>
      <c r="F859" s="42"/>
      <c r="G859" s="40"/>
      <c r="H859" s="40"/>
      <c r="I859" s="40"/>
      <c r="J859" s="43"/>
      <c r="K859" s="43">
        <f>IF(I859="Professional Billing Rate",J859,'Lists &amp; Settings'!$E$2)</f>
        <v>35.47</v>
      </c>
      <c r="L859" s="40"/>
    </row>
    <row r="860">
      <c r="A860" s="28" t="str">
        <f t="shared" si="1"/>
        <v/>
      </c>
      <c r="B860" s="28"/>
      <c r="C860" s="28"/>
      <c r="D860" s="26" t="str">
        <f t="shared" si="2"/>
        <v/>
      </c>
      <c r="E860" s="28"/>
      <c r="F860" s="35"/>
      <c r="G860" s="28"/>
      <c r="H860" s="28"/>
      <c r="I860" s="28"/>
      <c r="J860" s="37"/>
      <c r="K860" s="37">
        <f>IF(I860="Professional Billing Rate",J860,'Lists &amp; Settings'!$E$2)</f>
        <v>35.47</v>
      </c>
      <c r="L860" s="28"/>
    </row>
    <row r="861">
      <c r="A861" s="40" t="str">
        <f t="shared" si="1"/>
        <v/>
      </c>
      <c r="B861" s="40"/>
      <c r="C861" s="40"/>
      <c r="D861" s="41" t="str">
        <f t="shared" si="2"/>
        <v/>
      </c>
      <c r="E861" s="40"/>
      <c r="F861" s="42"/>
      <c r="G861" s="40"/>
      <c r="H861" s="40"/>
      <c r="I861" s="40"/>
      <c r="J861" s="43"/>
      <c r="K861" s="43">
        <f>IF(I861="Professional Billing Rate",J861,'Lists &amp; Settings'!$E$2)</f>
        <v>35.47</v>
      </c>
      <c r="L861" s="40"/>
    </row>
    <row r="862">
      <c r="A862" s="28" t="str">
        <f t="shared" si="1"/>
        <v/>
      </c>
      <c r="B862" s="28"/>
      <c r="C862" s="28"/>
      <c r="D862" s="26" t="str">
        <f t="shared" si="2"/>
        <v/>
      </c>
      <c r="E862" s="28"/>
      <c r="F862" s="35"/>
      <c r="G862" s="28"/>
      <c r="H862" s="28"/>
      <c r="I862" s="28"/>
      <c r="J862" s="37"/>
      <c r="K862" s="37">
        <f>IF(I862="Professional Billing Rate",J862,'Lists &amp; Settings'!$E$2)</f>
        <v>35.47</v>
      </c>
      <c r="L862" s="28"/>
    </row>
    <row r="863">
      <c r="A863" s="40" t="str">
        <f t="shared" si="1"/>
        <v/>
      </c>
      <c r="B863" s="40"/>
      <c r="C863" s="40"/>
      <c r="D863" s="41" t="str">
        <f t="shared" si="2"/>
        <v/>
      </c>
      <c r="E863" s="40"/>
      <c r="F863" s="42"/>
      <c r="G863" s="40"/>
      <c r="H863" s="40"/>
      <c r="I863" s="40"/>
      <c r="J863" s="43"/>
      <c r="K863" s="43">
        <f>IF(I863="Professional Billing Rate",J863,'Lists &amp; Settings'!$E$2)</f>
        <v>35.47</v>
      </c>
      <c r="L863" s="40"/>
    </row>
    <row r="864">
      <c r="A864" s="28" t="str">
        <f t="shared" si="1"/>
        <v/>
      </c>
      <c r="B864" s="28"/>
      <c r="C864" s="28"/>
      <c r="D864" s="26" t="str">
        <f t="shared" si="2"/>
        <v/>
      </c>
      <c r="E864" s="28"/>
      <c r="F864" s="35"/>
      <c r="G864" s="28"/>
      <c r="H864" s="28"/>
      <c r="I864" s="28"/>
      <c r="J864" s="37"/>
      <c r="K864" s="37">
        <f>IF(I864="Professional Billing Rate",J864,'Lists &amp; Settings'!$E$2)</f>
        <v>35.47</v>
      </c>
      <c r="L864" s="28"/>
    </row>
    <row r="865">
      <c r="A865" s="40" t="str">
        <f t="shared" si="1"/>
        <v/>
      </c>
      <c r="B865" s="40"/>
      <c r="C865" s="40"/>
      <c r="D865" s="41" t="str">
        <f t="shared" si="2"/>
        <v/>
      </c>
      <c r="E865" s="40"/>
      <c r="F865" s="42"/>
      <c r="G865" s="40"/>
      <c r="H865" s="40"/>
      <c r="I865" s="40"/>
      <c r="J865" s="43"/>
      <c r="K865" s="43">
        <f>IF(I865="Professional Billing Rate",J865,'Lists &amp; Settings'!$E$2)</f>
        <v>35.47</v>
      </c>
      <c r="L865" s="40"/>
    </row>
    <row r="866">
      <c r="A866" s="28" t="str">
        <f t="shared" si="1"/>
        <v/>
      </c>
      <c r="B866" s="28"/>
      <c r="C866" s="28"/>
      <c r="D866" s="26" t="str">
        <f t="shared" si="2"/>
        <v/>
      </c>
      <c r="E866" s="28"/>
      <c r="F866" s="35"/>
      <c r="G866" s="28"/>
      <c r="H866" s="28"/>
      <c r="I866" s="28"/>
      <c r="J866" s="37"/>
      <c r="K866" s="37">
        <f>IF(I866="Professional Billing Rate",J866,'Lists &amp; Settings'!$E$2)</f>
        <v>35.47</v>
      </c>
      <c r="L866" s="28"/>
    </row>
    <row r="867">
      <c r="A867" s="40" t="str">
        <f t="shared" si="1"/>
        <v/>
      </c>
      <c r="B867" s="40"/>
      <c r="C867" s="40"/>
      <c r="D867" s="41" t="str">
        <f t="shared" si="2"/>
        <v/>
      </c>
      <c r="E867" s="40"/>
      <c r="F867" s="42"/>
      <c r="G867" s="40"/>
      <c r="H867" s="40"/>
      <c r="I867" s="40"/>
      <c r="J867" s="43"/>
      <c r="K867" s="43">
        <f>IF(I867="Professional Billing Rate",J867,'Lists &amp; Settings'!$E$2)</f>
        <v>35.47</v>
      </c>
      <c r="L867" s="40"/>
    </row>
    <row r="868">
      <c r="A868" s="28" t="str">
        <f t="shared" si="1"/>
        <v/>
      </c>
      <c r="B868" s="28"/>
      <c r="C868" s="28"/>
      <c r="D868" s="26" t="str">
        <f t="shared" si="2"/>
        <v/>
      </c>
      <c r="E868" s="28"/>
      <c r="F868" s="35"/>
      <c r="G868" s="28"/>
      <c r="H868" s="28"/>
      <c r="I868" s="28"/>
      <c r="J868" s="37"/>
      <c r="K868" s="37">
        <f>IF(I868="Professional Billing Rate",J868,'Lists &amp; Settings'!$E$2)</f>
        <v>35.47</v>
      </c>
      <c r="L868" s="28"/>
    </row>
    <row r="869">
      <c r="A869" s="40" t="str">
        <f t="shared" si="1"/>
        <v/>
      </c>
      <c r="B869" s="40"/>
      <c r="C869" s="40"/>
      <c r="D869" s="41" t="str">
        <f t="shared" si="2"/>
        <v/>
      </c>
      <c r="E869" s="40"/>
      <c r="F869" s="42"/>
      <c r="G869" s="40"/>
      <c r="H869" s="40"/>
      <c r="I869" s="40"/>
      <c r="J869" s="43"/>
      <c r="K869" s="43">
        <f>IF(I869="Professional Billing Rate",J869,'Lists &amp; Settings'!$E$2)</f>
        <v>35.47</v>
      </c>
      <c r="L869" s="40"/>
    </row>
    <row r="870">
      <c r="A870" s="28" t="str">
        <f t="shared" si="1"/>
        <v/>
      </c>
      <c r="B870" s="28"/>
      <c r="C870" s="28"/>
      <c r="D870" s="26" t="str">
        <f t="shared" si="2"/>
        <v/>
      </c>
      <c r="E870" s="28"/>
      <c r="F870" s="35"/>
      <c r="G870" s="28"/>
      <c r="H870" s="28"/>
      <c r="I870" s="28"/>
      <c r="J870" s="37"/>
      <c r="K870" s="37">
        <f>IF(I870="Professional Billing Rate",J870,'Lists &amp; Settings'!$E$2)</f>
        <v>35.47</v>
      </c>
      <c r="L870" s="28"/>
    </row>
    <row r="871">
      <c r="A871" s="40" t="str">
        <f t="shared" si="1"/>
        <v/>
      </c>
      <c r="B871" s="40"/>
      <c r="C871" s="40"/>
      <c r="D871" s="41" t="str">
        <f t="shared" si="2"/>
        <v/>
      </c>
      <c r="E871" s="40"/>
      <c r="F871" s="42"/>
      <c r="G871" s="40"/>
      <c r="H871" s="40"/>
      <c r="I871" s="40"/>
      <c r="J871" s="43"/>
      <c r="K871" s="43">
        <f>IF(I871="Professional Billing Rate",J871,'Lists &amp; Settings'!$E$2)</f>
        <v>35.47</v>
      </c>
      <c r="L871" s="40"/>
    </row>
    <row r="872">
      <c r="A872" s="28" t="str">
        <f t="shared" si="1"/>
        <v/>
      </c>
      <c r="B872" s="28"/>
      <c r="C872" s="28"/>
      <c r="D872" s="26" t="str">
        <f t="shared" si="2"/>
        <v/>
      </c>
      <c r="E872" s="28"/>
      <c r="F872" s="35"/>
      <c r="G872" s="28"/>
      <c r="H872" s="28"/>
      <c r="I872" s="28"/>
      <c r="J872" s="37"/>
      <c r="K872" s="37">
        <f>IF(I872="Professional Billing Rate",J872,'Lists &amp; Settings'!$E$2)</f>
        <v>35.47</v>
      </c>
      <c r="L872" s="28"/>
    </row>
    <row r="873">
      <c r="A873" s="40" t="str">
        <f t="shared" si="1"/>
        <v/>
      </c>
      <c r="B873" s="40"/>
      <c r="C873" s="40"/>
      <c r="D873" s="41" t="str">
        <f t="shared" si="2"/>
        <v/>
      </c>
      <c r="E873" s="40"/>
      <c r="F873" s="42"/>
      <c r="G873" s="40"/>
      <c r="H873" s="40"/>
      <c r="I873" s="40"/>
      <c r="J873" s="43"/>
      <c r="K873" s="43">
        <f>IF(I873="Professional Billing Rate",J873,'Lists &amp; Settings'!$E$2)</f>
        <v>35.47</v>
      </c>
      <c r="L873" s="40"/>
    </row>
    <row r="874">
      <c r="A874" s="28" t="str">
        <f t="shared" si="1"/>
        <v/>
      </c>
      <c r="B874" s="28"/>
      <c r="C874" s="28"/>
      <c r="D874" s="26" t="str">
        <f t="shared" si="2"/>
        <v/>
      </c>
      <c r="E874" s="28"/>
      <c r="F874" s="35"/>
      <c r="G874" s="28"/>
      <c r="H874" s="28"/>
      <c r="I874" s="28"/>
      <c r="J874" s="37"/>
      <c r="K874" s="37">
        <f>IF(I874="Professional Billing Rate",J874,'Lists &amp; Settings'!$E$2)</f>
        <v>35.47</v>
      </c>
      <c r="L874" s="28"/>
    </row>
    <row r="875">
      <c r="A875" s="40" t="str">
        <f t="shared" si="1"/>
        <v/>
      </c>
      <c r="B875" s="40"/>
      <c r="C875" s="40"/>
      <c r="D875" s="41" t="str">
        <f t="shared" si="2"/>
        <v/>
      </c>
      <c r="E875" s="40"/>
      <c r="F875" s="42"/>
      <c r="G875" s="40"/>
      <c r="H875" s="40"/>
      <c r="I875" s="40"/>
      <c r="J875" s="43"/>
      <c r="K875" s="43">
        <f>IF(I875="Professional Billing Rate",J875,'Lists &amp; Settings'!$E$2)</f>
        <v>35.47</v>
      </c>
      <c r="L875" s="40"/>
    </row>
    <row r="876">
      <c r="A876" s="28" t="str">
        <f t="shared" si="1"/>
        <v/>
      </c>
      <c r="B876" s="28"/>
      <c r="C876" s="28"/>
      <c r="D876" s="26" t="str">
        <f t="shared" si="2"/>
        <v/>
      </c>
      <c r="E876" s="28"/>
      <c r="F876" s="35"/>
      <c r="G876" s="28"/>
      <c r="H876" s="28"/>
      <c r="I876" s="28"/>
      <c r="J876" s="37"/>
      <c r="K876" s="37">
        <f>IF(I876="Professional Billing Rate",J876,'Lists &amp; Settings'!$E$2)</f>
        <v>35.47</v>
      </c>
      <c r="L876" s="28"/>
    </row>
    <row r="877">
      <c r="A877" s="40" t="str">
        <f t="shared" si="1"/>
        <v/>
      </c>
      <c r="B877" s="40"/>
      <c r="C877" s="40"/>
      <c r="D877" s="41" t="str">
        <f t="shared" si="2"/>
        <v/>
      </c>
      <c r="E877" s="40"/>
      <c r="F877" s="42"/>
      <c r="G877" s="40"/>
      <c r="H877" s="40"/>
      <c r="I877" s="40"/>
      <c r="J877" s="43"/>
      <c r="K877" s="43">
        <f>IF(I877="Professional Billing Rate",J877,'Lists &amp; Settings'!$E$2)</f>
        <v>35.47</v>
      </c>
      <c r="L877" s="40"/>
    </row>
    <row r="878">
      <c r="A878" s="28" t="str">
        <f t="shared" si="1"/>
        <v/>
      </c>
      <c r="B878" s="28"/>
      <c r="C878" s="28"/>
      <c r="D878" s="26" t="str">
        <f t="shared" si="2"/>
        <v/>
      </c>
      <c r="E878" s="28"/>
      <c r="F878" s="35"/>
      <c r="G878" s="28"/>
      <c r="H878" s="28"/>
      <c r="I878" s="28"/>
      <c r="J878" s="37"/>
      <c r="K878" s="37">
        <f>IF(I878="Professional Billing Rate",J878,'Lists &amp; Settings'!$E$2)</f>
        <v>35.47</v>
      </c>
      <c r="L878" s="28"/>
    </row>
    <row r="879">
      <c r="A879" s="40" t="str">
        <f t="shared" si="1"/>
        <v/>
      </c>
      <c r="B879" s="40"/>
      <c r="C879" s="40"/>
      <c r="D879" s="41" t="str">
        <f t="shared" si="2"/>
        <v/>
      </c>
      <c r="E879" s="40"/>
      <c r="F879" s="42"/>
      <c r="G879" s="40"/>
      <c r="H879" s="40"/>
      <c r="I879" s="40"/>
      <c r="J879" s="43"/>
      <c r="K879" s="43">
        <f>IF(I879="Professional Billing Rate",J879,'Lists &amp; Settings'!$E$2)</f>
        <v>35.47</v>
      </c>
      <c r="L879" s="40"/>
    </row>
    <row r="880">
      <c r="A880" s="28" t="str">
        <f t="shared" si="1"/>
        <v/>
      </c>
      <c r="B880" s="28"/>
      <c r="C880" s="28"/>
      <c r="D880" s="26" t="str">
        <f t="shared" si="2"/>
        <v/>
      </c>
      <c r="E880" s="28"/>
      <c r="F880" s="35"/>
      <c r="G880" s="28"/>
      <c r="H880" s="28"/>
      <c r="I880" s="28"/>
      <c r="J880" s="37"/>
      <c r="K880" s="37">
        <f>IF(I880="Professional Billing Rate",J880,'Lists &amp; Settings'!$E$2)</f>
        <v>35.47</v>
      </c>
      <c r="L880" s="28"/>
    </row>
    <row r="881">
      <c r="A881" s="40" t="str">
        <f t="shared" si="1"/>
        <v/>
      </c>
      <c r="B881" s="40"/>
      <c r="C881" s="40"/>
      <c r="D881" s="41" t="str">
        <f t="shared" si="2"/>
        <v/>
      </c>
      <c r="E881" s="40"/>
      <c r="F881" s="42"/>
      <c r="G881" s="40"/>
      <c r="H881" s="40"/>
      <c r="I881" s="40"/>
      <c r="J881" s="43"/>
      <c r="K881" s="43">
        <f>IF(I881="Professional Billing Rate",J881,'Lists &amp; Settings'!$E$2)</f>
        <v>35.47</v>
      </c>
      <c r="L881" s="40"/>
    </row>
    <row r="882">
      <c r="A882" s="28" t="str">
        <f t="shared" si="1"/>
        <v/>
      </c>
      <c r="B882" s="28"/>
      <c r="C882" s="28"/>
      <c r="D882" s="26" t="str">
        <f t="shared" si="2"/>
        <v/>
      </c>
      <c r="E882" s="28"/>
      <c r="F882" s="35"/>
      <c r="G882" s="28"/>
      <c r="H882" s="28"/>
      <c r="I882" s="28"/>
      <c r="J882" s="37"/>
      <c r="K882" s="37">
        <f>IF(I882="Professional Billing Rate",J882,'Lists &amp; Settings'!$E$2)</f>
        <v>35.47</v>
      </c>
      <c r="L882" s="28"/>
    </row>
    <row r="883">
      <c r="A883" s="40" t="str">
        <f t="shared" si="1"/>
        <v/>
      </c>
      <c r="B883" s="40"/>
      <c r="C883" s="40"/>
      <c r="D883" s="41" t="str">
        <f t="shared" si="2"/>
        <v/>
      </c>
      <c r="E883" s="40"/>
      <c r="F883" s="42"/>
      <c r="G883" s="40"/>
      <c r="H883" s="40"/>
      <c r="I883" s="40"/>
      <c r="J883" s="43"/>
      <c r="K883" s="43">
        <f>IF(I883="Professional Billing Rate",J883,'Lists &amp; Settings'!$E$2)</f>
        <v>35.47</v>
      </c>
      <c r="L883" s="40"/>
    </row>
    <row r="884">
      <c r="A884" s="28" t="str">
        <f t="shared" si="1"/>
        <v/>
      </c>
      <c r="B884" s="28"/>
      <c r="C884" s="28"/>
      <c r="D884" s="26" t="str">
        <f t="shared" si="2"/>
        <v/>
      </c>
      <c r="E884" s="28"/>
      <c r="F884" s="35"/>
      <c r="G884" s="28"/>
      <c r="H884" s="28"/>
      <c r="I884" s="28"/>
      <c r="J884" s="37"/>
      <c r="K884" s="37">
        <f>IF(I884="Professional Billing Rate",J884,'Lists &amp; Settings'!$E$2)</f>
        <v>35.47</v>
      </c>
      <c r="L884" s="28"/>
    </row>
    <row r="885">
      <c r="A885" s="40" t="str">
        <f t="shared" si="1"/>
        <v/>
      </c>
      <c r="B885" s="40"/>
      <c r="C885" s="40"/>
      <c r="D885" s="41" t="str">
        <f t="shared" si="2"/>
        <v/>
      </c>
      <c r="E885" s="40"/>
      <c r="F885" s="42"/>
      <c r="G885" s="40"/>
      <c r="H885" s="40"/>
      <c r="I885" s="40"/>
      <c r="J885" s="43"/>
      <c r="K885" s="43">
        <f>IF(I885="Professional Billing Rate",J885,'Lists &amp; Settings'!$E$2)</f>
        <v>35.47</v>
      </c>
      <c r="L885" s="40"/>
    </row>
    <row r="886">
      <c r="A886" s="28" t="str">
        <f t="shared" si="1"/>
        <v/>
      </c>
      <c r="B886" s="28"/>
      <c r="C886" s="28"/>
      <c r="D886" s="26" t="str">
        <f t="shared" si="2"/>
        <v/>
      </c>
      <c r="E886" s="28"/>
      <c r="F886" s="35"/>
      <c r="G886" s="28"/>
      <c r="H886" s="28"/>
      <c r="I886" s="28"/>
      <c r="J886" s="37"/>
      <c r="K886" s="37">
        <f>IF(I886="Professional Billing Rate",J886,'Lists &amp; Settings'!$E$2)</f>
        <v>35.47</v>
      </c>
      <c r="L886" s="28"/>
    </row>
    <row r="887">
      <c r="A887" s="40" t="str">
        <f t="shared" si="1"/>
        <v/>
      </c>
      <c r="B887" s="40"/>
      <c r="C887" s="40"/>
      <c r="D887" s="41" t="str">
        <f t="shared" si="2"/>
        <v/>
      </c>
      <c r="E887" s="40"/>
      <c r="F887" s="42"/>
      <c r="G887" s="40"/>
      <c r="H887" s="40"/>
      <c r="I887" s="40"/>
      <c r="J887" s="43"/>
      <c r="K887" s="43">
        <f>IF(I887="Professional Billing Rate",J887,'Lists &amp; Settings'!$E$2)</f>
        <v>35.47</v>
      </c>
      <c r="L887" s="40"/>
    </row>
    <row r="888">
      <c r="A888" s="28" t="str">
        <f t="shared" si="1"/>
        <v/>
      </c>
      <c r="B888" s="28"/>
      <c r="C888" s="28"/>
      <c r="D888" s="26" t="str">
        <f t="shared" si="2"/>
        <v/>
      </c>
      <c r="E888" s="28"/>
      <c r="F888" s="35"/>
      <c r="G888" s="28"/>
      <c r="H888" s="28"/>
      <c r="I888" s="28"/>
      <c r="J888" s="37"/>
      <c r="K888" s="37">
        <f>IF(I888="Professional Billing Rate",J888,'Lists &amp; Settings'!$E$2)</f>
        <v>35.47</v>
      </c>
      <c r="L888" s="28"/>
    </row>
    <row r="889">
      <c r="A889" s="40" t="str">
        <f t="shared" si="1"/>
        <v/>
      </c>
      <c r="B889" s="40"/>
      <c r="C889" s="40"/>
      <c r="D889" s="41" t="str">
        <f t="shared" si="2"/>
        <v/>
      </c>
      <c r="E889" s="40"/>
      <c r="F889" s="42"/>
      <c r="G889" s="40"/>
      <c r="H889" s="40"/>
      <c r="I889" s="40"/>
      <c r="J889" s="43"/>
      <c r="K889" s="43">
        <f>IF(I889="Professional Billing Rate",J889,'Lists &amp; Settings'!$E$2)</f>
        <v>35.47</v>
      </c>
      <c r="L889" s="40"/>
    </row>
    <row r="890">
      <c r="A890" s="28" t="str">
        <f t="shared" si="1"/>
        <v/>
      </c>
      <c r="B890" s="28"/>
      <c r="C890" s="28"/>
      <c r="D890" s="26" t="str">
        <f t="shared" si="2"/>
        <v/>
      </c>
      <c r="E890" s="28"/>
      <c r="F890" s="35"/>
      <c r="G890" s="28"/>
      <c r="H890" s="28"/>
      <c r="I890" s="28"/>
      <c r="J890" s="37"/>
      <c r="K890" s="37">
        <f>IF(I890="Professional Billing Rate",J890,'Lists &amp; Settings'!$E$2)</f>
        <v>35.47</v>
      </c>
      <c r="L890" s="28"/>
    </row>
    <row r="891">
      <c r="A891" s="40" t="str">
        <f t="shared" si="1"/>
        <v/>
      </c>
      <c r="B891" s="40"/>
      <c r="C891" s="40"/>
      <c r="D891" s="41" t="str">
        <f t="shared" si="2"/>
        <v/>
      </c>
      <c r="E891" s="40"/>
      <c r="F891" s="42"/>
      <c r="G891" s="40"/>
      <c r="H891" s="40"/>
      <c r="I891" s="40"/>
      <c r="J891" s="43"/>
      <c r="K891" s="43">
        <f>IF(I891="Professional Billing Rate",J891,'Lists &amp; Settings'!$E$2)</f>
        <v>35.47</v>
      </c>
      <c r="L891" s="40"/>
    </row>
    <row r="892">
      <c r="A892" s="28" t="str">
        <f t="shared" si="1"/>
        <v/>
      </c>
      <c r="B892" s="28"/>
      <c r="C892" s="28"/>
      <c r="D892" s="26" t="str">
        <f t="shared" si="2"/>
        <v/>
      </c>
      <c r="E892" s="28"/>
      <c r="F892" s="35"/>
      <c r="G892" s="28"/>
      <c r="H892" s="28"/>
      <c r="I892" s="28"/>
      <c r="J892" s="37"/>
      <c r="K892" s="37">
        <f>IF(I892="Professional Billing Rate",J892,'Lists &amp; Settings'!$E$2)</f>
        <v>35.47</v>
      </c>
      <c r="L892" s="28"/>
    </row>
    <row r="893">
      <c r="A893" s="40" t="str">
        <f t="shared" si="1"/>
        <v/>
      </c>
      <c r="B893" s="40"/>
      <c r="C893" s="40"/>
      <c r="D893" s="41" t="str">
        <f t="shared" si="2"/>
        <v/>
      </c>
      <c r="E893" s="40"/>
      <c r="F893" s="42"/>
      <c r="G893" s="40"/>
      <c r="H893" s="40"/>
      <c r="I893" s="40"/>
      <c r="J893" s="43"/>
      <c r="K893" s="43">
        <f>IF(I893="Professional Billing Rate",J893,'Lists &amp; Settings'!$E$2)</f>
        <v>35.47</v>
      </c>
      <c r="L893" s="40"/>
    </row>
    <row r="894">
      <c r="A894" s="28" t="str">
        <f t="shared" si="1"/>
        <v/>
      </c>
      <c r="B894" s="28"/>
      <c r="C894" s="28"/>
      <c r="D894" s="26" t="str">
        <f t="shared" si="2"/>
        <v/>
      </c>
      <c r="E894" s="28"/>
      <c r="F894" s="35"/>
      <c r="G894" s="28"/>
      <c r="H894" s="28"/>
      <c r="I894" s="28"/>
      <c r="J894" s="37"/>
      <c r="K894" s="37">
        <f>IF(I894="Professional Billing Rate",J894,'Lists &amp; Settings'!$E$2)</f>
        <v>35.47</v>
      </c>
      <c r="L894" s="28"/>
    </row>
    <row r="895">
      <c r="A895" s="40" t="str">
        <f t="shared" si="1"/>
        <v/>
      </c>
      <c r="B895" s="40"/>
      <c r="C895" s="40"/>
      <c r="D895" s="41" t="str">
        <f t="shared" si="2"/>
        <v/>
      </c>
      <c r="E895" s="40"/>
      <c r="F895" s="42"/>
      <c r="G895" s="40"/>
      <c r="H895" s="40"/>
      <c r="I895" s="40"/>
      <c r="J895" s="43"/>
      <c r="K895" s="43">
        <f>IF(I895="Professional Billing Rate",J895,'Lists &amp; Settings'!$E$2)</f>
        <v>35.47</v>
      </c>
      <c r="L895" s="40"/>
    </row>
    <row r="896">
      <c r="A896" s="28" t="str">
        <f t="shared" si="1"/>
        <v/>
      </c>
      <c r="B896" s="28"/>
      <c r="C896" s="28"/>
      <c r="D896" s="26" t="str">
        <f t="shared" si="2"/>
        <v/>
      </c>
      <c r="E896" s="28"/>
      <c r="F896" s="35"/>
      <c r="G896" s="28"/>
      <c r="H896" s="28"/>
      <c r="I896" s="28"/>
      <c r="J896" s="37"/>
      <c r="K896" s="37">
        <f>IF(I896="Professional Billing Rate",J896,'Lists &amp; Settings'!$E$2)</f>
        <v>35.47</v>
      </c>
      <c r="L896" s="28"/>
    </row>
    <row r="897">
      <c r="A897" s="40" t="str">
        <f t="shared" si="1"/>
        <v/>
      </c>
      <c r="B897" s="40"/>
      <c r="C897" s="40"/>
      <c r="D897" s="41" t="str">
        <f t="shared" si="2"/>
        <v/>
      </c>
      <c r="E897" s="40"/>
      <c r="F897" s="42"/>
      <c r="G897" s="40"/>
      <c r="H897" s="40"/>
      <c r="I897" s="40"/>
      <c r="J897" s="43"/>
      <c r="K897" s="43">
        <f>IF(I897="Professional Billing Rate",J897,'Lists &amp; Settings'!$E$2)</f>
        <v>35.47</v>
      </c>
      <c r="L897" s="40"/>
    </row>
    <row r="898">
      <c r="A898" s="28" t="str">
        <f t="shared" si="1"/>
        <v/>
      </c>
      <c r="B898" s="28"/>
      <c r="C898" s="28"/>
      <c r="D898" s="26" t="str">
        <f t="shared" si="2"/>
        <v/>
      </c>
      <c r="E898" s="28"/>
      <c r="F898" s="35"/>
      <c r="G898" s="28"/>
      <c r="H898" s="28"/>
      <c r="I898" s="28"/>
      <c r="J898" s="37"/>
      <c r="K898" s="37">
        <f>IF(I898="Professional Billing Rate",J898,'Lists &amp; Settings'!$E$2)</f>
        <v>35.47</v>
      </c>
      <c r="L898" s="28"/>
    </row>
    <row r="899">
      <c r="A899" s="40" t="str">
        <f t="shared" si="1"/>
        <v/>
      </c>
      <c r="B899" s="40"/>
      <c r="C899" s="40"/>
      <c r="D899" s="41" t="str">
        <f t="shared" si="2"/>
        <v/>
      </c>
      <c r="E899" s="40"/>
      <c r="F899" s="42"/>
      <c r="G899" s="40"/>
      <c r="H899" s="40"/>
      <c r="I899" s="40"/>
      <c r="J899" s="43"/>
      <c r="K899" s="43">
        <f>IF(I899="Professional Billing Rate",J899,'Lists &amp; Settings'!$E$2)</f>
        <v>35.47</v>
      </c>
      <c r="L899" s="40"/>
    </row>
    <row r="900">
      <c r="A900" s="28" t="str">
        <f t="shared" si="1"/>
        <v/>
      </c>
      <c r="B900" s="28"/>
      <c r="C900" s="28"/>
      <c r="D900" s="26" t="str">
        <f t="shared" si="2"/>
        <v/>
      </c>
      <c r="E900" s="28"/>
      <c r="F900" s="35"/>
      <c r="G900" s="28"/>
      <c r="H900" s="28"/>
      <c r="I900" s="28"/>
      <c r="J900" s="37"/>
      <c r="K900" s="37">
        <f>IF(I900="Professional Billing Rate",J900,'Lists &amp; Settings'!$E$2)</f>
        <v>35.47</v>
      </c>
      <c r="L900" s="28"/>
    </row>
    <row r="901">
      <c r="A901" s="40" t="str">
        <f t="shared" si="1"/>
        <v/>
      </c>
      <c r="B901" s="40"/>
      <c r="C901" s="40"/>
      <c r="D901" s="41" t="str">
        <f t="shared" si="2"/>
        <v/>
      </c>
      <c r="E901" s="40"/>
      <c r="F901" s="42"/>
      <c r="G901" s="40"/>
      <c r="H901" s="40"/>
      <c r="I901" s="40"/>
      <c r="J901" s="43"/>
      <c r="K901" s="43">
        <f>IF(I901="Professional Billing Rate",J901,'Lists &amp; Settings'!$E$2)</f>
        <v>35.47</v>
      </c>
      <c r="L901" s="40"/>
    </row>
    <row r="902">
      <c r="A902" s="28" t="str">
        <f t="shared" si="1"/>
        <v/>
      </c>
      <c r="B902" s="28"/>
      <c r="C902" s="28"/>
      <c r="D902" s="26" t="str">
        <f t="shared" si="2"/>
        <v/>
      </c>
      <c r="E902" s="28"/>
      <c r="F902" s="35"/>
      <c r="G902" s="28"/>
      <c r="H902" s="28"/>
      <c r="I902" s="28"/>
      <c r="J902" s="37"/>
      <c r="K902" s="37">
        <f>IF(I902="Professional Billing Rate",J902,'Lists &amp; Settings'!$E$2)</f>
        <v>35.47</v>
      </c>
      <c r="L902" s="28"/>
    </row>
    <row r="903">
      <c r="A903" s="40" t="str">
        <f t="shared" si="1"/>
        <v/>
      </c>
      <c r="B903" s="40"/>
      <c r="C903" s="40"/>
      <c r="D903" s="41" t="str">
        <f t="shared" si="2"/>
        <v/>
      </c>
      <c r="E903" s="40"/>
      <c r="F903" s="42"/>
      <c r="G903" s="40"/>
      <c r="H903" s="40"/>
      <c r="I903" s="40"/>
      <c r="J903" s="43"/>
      <c r="K903" s="43">
        <f>IF(I903="Professional Billing Rate",J903,'Lists &amp; Settings'!$E$2)</f>
        <v>35.47</v>
      </c>
      <c r="L903" s="40"/>
    </row>
    <row r="904">
      <c r="A904" s="28" t="str">
        <f t="shared" si="1"/>
        <v/>
      </c>
      <c r="B904" s="28"/>
      <c r="C904" s="28"/>
      <c r="D904" s="26" t="str">
        <f t="shared" si="2"/>
        <v/>
      </c>
      <c r="E904" s="28"/>
      <c r="F904" s="35"/>
      <c r="G904" s="28"/>
      <c r="H904" s="28"/>
      <c r="I904" s="28"/>
      <c r="J904" s="37"/>
      <c r="K904" s="37">
        <f>IF(I904="Professional Billing Rate",J904,'Lists &amp; Settings'!$E$2)</f>
        <v>35.47</v>
      </c>
      <c r="L904" s="28"/>
    </row>
    <row r="905">
      <c r="A905" s="40" t="str">
        <f t="shared" si="1"/>
        <v/>
      </c>
      <c r="B905" s="40"/>
      <c r="C905" s="40"/>
      <c r="D905" s="41" t="str">
        <f t="shared" si="2"/>
        <v/>
      </c>
      <c r="E905" s="40"/>
      <c r="F905" s="42"/>
      <c r="G905" s="40"/>
      <c r="H905" s="40"/>
      <c r="I905" s="40"/>
      <c r="J905" s="43"/>
      <c r="K905" s="43">
        <f>IF(I905="Professional Billing Rate",J905,'Lists &amp; Settings'!$E$2)</f>
        <v>35.47</v>
      </c>
      <c r="L905" s="40"/>
    </row>
    <row r="906">
      <c r="A906" s="28" t="str">
        <f t="shared" si="1"/>
        <v/>
      </c>
      <c r="B906" s="28"/>
      <c r="C906" s="28"/>
      <c r="D906" s="26" t="str">
        <f t="shared" si="2"/>
        <v/>
      </c>
      <c r="E906" s="28"/>
      <c r="F906" s="35"/>
      <c r="G906" s="28"/>
      <c r="H906" s="28"/>
      <c r="I906" s="28"/>
      <c r="J906" s="37"/>
      <c r="K906" s="37">
        <f>IF(I906="Professional Billing Rate",J906,'Lists &amp; Settings'!$E$2)</f>
        <v>35.47</v>
      </c>
      <c r="L906" s="28"/>
    </row>
    <row r="907">
      <c r="A907" s="40" t="str">
        <f t="shared" si="1"/>
        <v/>
      </c>
      <c r="B907" s="40"/>
      <c r="C907" s="40"/>
      <c r="D907" s="41" t="str">
        <f t="shared" si="2"/>
        <v/>
      </c>
      <c r="E907" s="40"/>
      <c r="F907" s="42"/>
      <c r="G907" s="40"/>
      <c r="H907" s="40"/>
      <c r="I907" s="40"/>
      <c r="J907" s="43"/>
      <c r="K907" s="43">
        <f>IF(I907="Professional Billing Rate",J907,'Lists &amp; Settings'!$E$2)</f>
        <v>35.47</v>
      </c>
      <c r="L907" s="40"/>
    </row>
    <row r="908">
      <c r="A908" s="28" t="str">
        <f t="shared" si="1"/>
        <v/>
      </c>
      <c r="B908" s="28"/>
      <c r="C908" s="28"/>
      <c r="D908" s="26" t="str">
        <f t="shared" si="2"/>
        <v/>
      </c>
      <c r="E908" s="28"/>
      <c r="F908" s="35"/>
      <c r="G908" s="28"/>
      <c r="H908" s="28"/>
      <c r="I908" s="28"/>
      <c r="J908" s="37"/>
      <c r="K908" s="37">
        <f>IF(I908="Professional Billing Rate",J908,'Lists &amp; Settings'!$E$2)</f>
        <v>35.47</v>
      </c>
      <c r="L908" s="28"/>
    </row>
    <row r="909">
      <c r="A909" s="40" t="str">
        <f t="shared" si="1"/>
        <v/>
      </c>
      <c r="B909" s="40"/>
      <c r="C909" s="40"/>
      <c r="D909" s="41" t="str">
        <f t="shared" si="2"/>
        <v/>
      </c>
      <c r="E909" s="40"/>
      <c r="F909" s="42"/>
      <c r="G909" s="40"/>
      <c r="H909" s="40"/>
      <c r="I909" s="40"/>
      <c r="J909" s="43"/>
      <c r="K909" s="43">
        <f>IF(I909="Professional Billing Rate",J909,'Lists &amp; Settings'!$E$2)</f>
        <v>35.47</v>
      </c>
      <c r="L909" s="40"/>
    </row>
    <row r="910">
      <c r="A910" s="28" t="str">
        <f t="shared" si="1"/>
        <v/>
      </c>
      <c r="B910" s="28"/>
      <c r="C910" s="28"/>
      <c r="D910" s="26" t="str">
        <f t="shared" si="2"/>
        <v/>
      </c>
      <c r="E910" s="28"/>
      <c r="F910" s="35"/>
      <c r="G910" s="28"/>
      <c r="H910" s="28"/>
      <c r="I910" s="28"/>
      <c r="J910" s="37"/>
      <c r="K910" s="37">
        <f>IF(I910="Professional Billing Rate",J910,'Lists &amp; Settings'!$E$2)</f>
        <v>35.47</v>
      </c>
      <c r="L910" s="28"/>
    </row>
    <row r="911">
      <c r="A911" s="40" t="str">
        <f t="shared" si="1"/>
        <v/>
      </c>
      <c r="B911" s="40"/>
      <c r="C911" s="40"/>
      <c r="D911" s="41" t="str">
        <f t="shared" si="2"/>
        <v/>
      </c>
      <c r="E911" s="40"/>
      <c r="F911" s="42"/>
      <c r="G911" s="40"/>
      <c r="H911" s="40"/>
      <c r="I911" s="40"/>
      <c r="J911" s="43"/>
      <c r="K911" s="43">
        <f>IF(I911="Professional Billing Rate",J911,'Lists &amp; Settings'!$E$2)</f>
        <v>35.47</v>
      </c>
      <c r="L911" s="40"/>
    </row>
    <row r="912">
      <c r="A912" s="28" t="str">
        <f t="shared" si="1"/>
        <v/>
      </c>
      <c r="B912" s="28"/>
      <c r="C912" s="28"/>
      <c r="D912" s="26" t="str">
        <f t="shared" si="2"/>
        <v/>
      </c>
      <c r="E912" s="28"/>
      <c r="F912" s="35"/>
      <c r="G912" s="28"/>
      <c r="H912" s="28"/>
      <c r="I912" s="28"/>
      <c r="J912" s="37"/>
      <c r="K912" s="37">
        <f>IF(I912="Professional Billing Rate",J912,'Lists &amp; Settings'!$E$2)</f>
        <v>35.47</v>
      </c>
      <c r="L912" s="28"/>
    </row>
    <row r="913">
      <c r="A913" s="40" t="str">
        <f t="shared" si="1"/>
        <v/>
      </c>
      <c r="B913" s="40"/>
      <c r="C913" s="40"/>
      <c r="D913" s="41" t="str">
        <f t="shared" si="2"/>
        <v/>
      </c>
      <c r="E913" s="40"/>
      <c r="F913" s="42"/>
      <c r="G913" s="40"/>
      <c r="H913" s="40"/>
      <c r="I913" s="40"/>
      <c r="J913" s="43"/>
      <c r="K913" s="43">
        <f>IF(I913="Professional Billing Rate",J913,'Lists &amp; Settings'!$E$2)</f>
        <v>35.47</v>
      </c>
      <c r="L913" s="40"/>
    </row>
    <row r="914">
      <c r="A914" s="28" t="str">
        <f t="shared" si="1"/>
        <v/>
      </c>
      <c r="B914" s="28"/>
      <c r="C914" s="28"/>
      <c r="D914" s="26" t="str">
        <f t="shared" si="2"/>
        <v/>
      </c>
      <c r="E914" s="28"/>
      <c r="F914" s="35"/>
      <c r="G914" s="28"/>
      <c r="H914" s="28"/>
      <c r="I914" s="28"/>
      <c r="J914" s="37"/>
      <c r="K914" s="37">
        <f>IF(I914="Professional Billing Rate",J914,'Lists &amp; Settings'!$E$2)</f>
        <v>35.47</v>
      </c>
      <c r="L914" s="28"/>
    </row>
    <row r="915">
      <c r="A915" s="40" t="str">
        <f t="shared" si="1"/>
        <v/>
      </c>
      <c r="B915" s="40"/>
      <c r="C915" s="40"/>
      <c r="D915" s="41" t="str">
        <f t="shared" si="2"/>
        <v/>
      </c>
      <c r="E915" s="40"/>
      <c r="F915" s="42"/>
      <c r="G915" s="40"/>
      <c r="H915" s="40"/>
      <c r="I915" s="40"/>
      <c r="J915" s="43"/>
      <c r="K915" s="43">
        <f>IF(I915="Professional Billing Rate",J915,'Lists &amp; Settings'!$E$2)</f>
        <v>35.47</v>
      </c>
      <c r="L915" s="40"/>
    </row>
    <row r="916">
      <c r="A916" s="28" t="str">
        <f t="shared" si="1"/>
        <v/>
      </c>
      <c r="B916" s="28"/>
      <c r="C916" s="28"/>
      <c r="D916" s="26" t="str">
        <f t="shared" si="2"/>
        <v/>
      </c>
      <c r="E916" s="28"/>
      <c r="F916" s="35"/>
      <c r="G916" s="28"/>
      <c r="H916" s="28"/>
      <c r="I916" s="28"/>
      <c r="J916" s="37"/>
      <c r="K916" s="37">
        <f>IF(I916="Professional Billing Rate",J916,'Lists &amp; Settings'!$E$2)</f>
        <v>35.47</v>
      </c>
      <c r="L916" s="28"/>
    </row>
    <row r="917">
      <c r="A917" s="40" t="str">
        <f t="shared" si="1"/>
        <v/>
      </c>
      <c r="B917" s="40"/>
      <c r="C917" s="40"/>
      <c r="D917" s="41" t="str">
        <f t="shared" si="2"/>
        <v/>
      </c>
      <c r="E917" s="40"/>
      <c r="F917" s="42"/>
      <c r="G917" s="40"/>
      <c r="H917" s="40"/>
      <c r="I917" s="40"/>
      <c r="J917" s="43"/>
      <c r="K917" s="43">
        <f>IF(I917="Professional Billing Rate",J917,'Lists &amp; Settings'!$E$2)</f>
        <v>35.47</v>
      </c>
      <c r="L917" s="40"/>
    </row>
    <row r="918">
      <c r="A918" s="28" t="str">
        <f t="shared" si="1"/>
        <v/>
      </c>
      <c r="B918" s="28"/>
      <c r="C918" s="28"/>
      <c r="D918" s="26" t="str">
        <f t="shared" si="2"/>
        <v/>
      </c>
      <c r="E918" s="28"/>
      <c r="F918" s="35"/>
      <c r="G918" s="28"/>
      <c r="H918" s="28"/>
      <c r="I918" s="28"/>
      <c r="J918" s="37"/>
      <c r="K918" s="37">
        <f>IF(I918="Professional Billing Rate",J918,'Lists &amp; Settings'!$E$2)</f>
        <v>35.47</v>
      </c>
      <c r="L918" s="28"/>
    </row>
    <row r="919">
      <c r="A919" s="40" t="str">
        <f t="shared" si="1"/>
        <v/>
      </c>
      <c r="B919" s="40"/>
      <c r="C919" s="40"/>
      <c r="D919" s="41" t="str">
        <f t="shared" si="2"/>
        <v/>
      </c>
      <c r="E919" s="40"/>
      <c r="F919" s="42"/>
      <c r="G919" s="40"/>
      <c r="H919" s="40"/>
      <c r="I919" s="40"/>
      <c r="J919" s="43"/>
      <c r="K919" s="43">
        <f>IF(I919="Professional Billing Rate",J919,'Lists &amp; Settings'!$E$2)</f>
        <v>35.47</v>
      </c>
      <c r="L919" s="40"/>
    </row>
    <row r="920">
      <c r="A920" s="28" t="str">
        <f t="shared" si="1"/>
        <v/>
      </c>
      <c r="B920" s="28"/>
      <c r="C920" s="28"/>
      <c r="D920" s="26" t="str">
        <f t="shared" si="2"/>
        <v/>
      </c>
      <c r="E920" s="28"/>
      <c r="F920" s="35"/>
      <c r="G920" s="28"/>
      <c r="H920" s="28"/>
      <c r="I920" s="28"/>
      <c r="J920" s="37"/>
      <c r="K920" s="37">
        <f>IF(I920="Professional Billing Rate",J920,'Lists &amp; Settings'!$E$2)</f>
        <v>35.47</v>
      </c>
      <c r="L920" s="28"/>
    </row>
    <row r="921">
      <c r="A921" s="40" t="str">
        <f t="shared" si="1"/>
        <v/>
      </c>
      <c r="B921" s="40"/>
      <c r="C921" s="40"/>
      <c r="D921" s="41" t="str">
        <f t="shared" si="2"/>
        <v/>
      </c>
      <c r="E921" s="40"/>
      <c r="F921" s="42"/>
      <c r="G921" s="40"/>
      <c r="H921" s="40"/>
      <c r="I921" s="40"/>
      <c r="J921" s="43"/>
      <c r="K921" s="43">
        <f>IF(I921="Professional Billing Rate",J921,'Lists &amp; Settings'!$E$2)</f>
        <v>35.47</v>
      </c>
      <c r="L921" s="40"/>
    </row>
    <row r="922">
      <c r="A922" s="28" t="str">
        <f t="shared" si="1"/>
        <v/>
      </c>
      <c r="B922" s="28"/>
      <c r="C922" s="28"/>
      <c r="D922" s="26" t="str">
        <f t="shared" si="2"/>
        <v/>
      </c>
      <c r="E922" s="28"/>
      <c r="F922" s="35"/>
      <c r="G922" s="28"/>
      <c r="H922" s="28"/>
      <c r="I922" s="28"/>
      <c r="J922" s="37"/>
      <c r="K922" s="37">
        <f>IF(I922="Professional Billing Rate",J922,'Lists &amp; Settings'!$E$2)</f>
        <v>35.47</v>
      </c>
      <c r="L922" s="28"/>
    </row>
    <row r="923">
      <c r="A923" s="40" t="str">
        <f t="shared" si="1"/>
        <v/>
      </c>
      <c r="B923" s="40"/>
      <c r="C923" s="40"/>
      <c r="D923" s="41" t="str">
        <f t="shared" si="2"/>
        <v/>
      </c>
      <c r="E923" s="40"/>
      <c r="F923" s="42"/>
      <c r="G923" s="40"/>
      <c r="H923" s="40"/>
      <c r="I923" s="40"/>
      <c r="J923" s="43"/>
      <c r="K923" s="43">
        <f>IF(I923="Professional Billing Rate",J923,'Lists &amp; Settings'!$E$2)</f>
        <v>35.47</v>
      </c>
      <c r="L923" s="40"/>
    </row>
    <row r="924">
      <c r="A924" s="28" t="str">
        <f t="shared" si="1"/>
        <v/>
      </c>
      <c r="B924" s="28"/>
      <c r="C924" s="28"/>
      <c r="D924" s="26" t="str">
        <f t="shared" si="2"/>
        <v/>
      </c>
      <c r="E924" s="28"/>
      <c r="F924" s="35"/>
      <c r="G924" s="28"/>
      <c r="H924" s="28"/>
      <c r="I924" s="28"/>
      <c r="J924" s="37"/>
      <c r="K924" s="37">
        <f>IF(I924="Professional Billing Rate",J924,'Lists &amp; Settings'!$E$2)</f>
        <v>35.47</v>
      </c>
      <c r="L924" s="28"/>
    </row>
    <row r="925">
      <c r="A925" s="40" t="str">
        <f t="shared" si="1"/>
        <v/>
      </c>
      <c r="B925" s="40"/>
      <c r="C925" s="40"/>
      <c r="D925" s="41" t="str">
        <f t="shared" si="2"/>
        <v/>
      </c>
      <c r="E925" s="40"/>
      <c r="F925" s="42"/>
      <c r="G925" s="40"/>
      <c r="H925" s="40"/>
      <c r="I925" s="40"/>
      <c r="J925" s="43"/>
      <c r="K925" s="43">
        <f>IF(I925="Professional Billing Rate",J925,'Lists &amp; Settings'!$E$2)</f>
        <v>35.47</v>
      </c>
      <c r="L925" s="40"/>
    </row>
    <row r="926">
      <c r="A926" s="28" t="str">
        <f t="shared" si="1"/>
        <v/>
      </c>
      <c r="B926" s="28"/>
      <c r="C926" s="28"/>
      <c r="D926" s="26" t="str">
        <f t="shared" si="2"/>
        <v/>
      </c>
      <c r="E926" s="28"/>
      <c r="F926" s="35"/>
      <c r="G926" s="28"/>
      <c r="H926" s="28"/>
      <c r="I926" s="28"/>
      <c r="J926" s="37"/>
      <c r="K926" s="37">
        <f>IF(I926="Professional Billing Rate",J926,'Lists &amp; Settings'!$E$2)</f>
        <v>35.47</v>
      </c>
      <c r="L926" s="28"/>
    </row>
    <row r="927">
      <c r="A927" s="40" t="str">
        <f t="shared" si="1"/>
        <v/>
      </c>
      <c r="B927" s="40"/>
      <c r="C927" s="40"/>
      <c r="D927" s="41" t="str">
        <f t="shared" si="2"/>
        <v/>
      </c>
      <c r="E927" s="40"/>
      <c r="F927" s="42"/>
      <c r="G927" s="40"/>
      <c r="H927" s="40"/>
      <c r="I927" s="40"/>
      <c r="J927" s="43"/>
      <c r="K927" s="43">
        <f>IF(I927="Professional Billing Rate",J927,'Lists &amp; Settings'!$E$2)</f>
        <v>35.47</v>
      </c>
      <c r="L927" s="40"/>
    </row>
    <row r="928">
      <c r="A928" s="28" t="str">
        <f t="shared" si="1"/>
        <v/>
      </c>
      <c r="B928" s="28"/>
      <c r="C928" s="28"/>
      <c r="D928" s="26" t="str">
        <f t="shared" si="2"/>
        <v/>
      </c>
      <c r="E928" s="28"/>
      <c r="F928" s="35"/>
      <c r="G928" s="28"/>
      <c r="H928" s="28"/>
      <c r="I928" s="28"/>
      <c r="J928" s="37"/>
      <c r="K928" s="37">
        <f>IF(I928="Professional Billing Rate",J928,'Lists &amp; Settings'!$E$2)</f>
        <v>35.47</v>
      </c>
      <c r="L928" s="28"/>
    </row>
    <row r="929">
      <c r="A929" s="40" t="str">
        <f t="shared" si="1"/>
        <v/>
      </c>
      <c r="B929" s="40"/>
      <c r="C929" s="40"/>
      <c r="D929" s="41" t="str">
        <f t="shared" si="2"/>
        <v/>
      </c>
      <c r="E929" s="40"/>
      <c r="F929" s="42"/>
      <c r="G929" s="40"/>
      <c r="H929" s="40"/>
      <c r="I929" s="40"/>
      <c r="J929" s="43"/>
      <c r="K929" s="43">
        <f>IF(I929="Professional Billing Rate",J929,'Lists &amp; Settings'!$E$2)</f>
        <v>35.47</v>
      </c>
      <c r="L929" s="40"/>
    </row>
    <row r="930">
      <c r="A930" s="28" t="str">
        <f t="shared" si="1"/>
        <v/>
      </c>
      <c r="B930" s="28"/>
      <c r="C930" s="28"/>
      <c r="D930" s="26" t="str">
        <f t="shared" si="2"/>
        <v/>
      </c>
      <c r="E930" s="28"/>
      <c r="F930" s="35"/>
      <c r="G930" s="28"/>
      <c r="H930" s="28"/>
      <c r="I930" s="28"/>
      <c r="J930" s="37"/>
      <c r="K930" s="37">
        <f>IF(I930="Professional Billing Rate",J930,'Lists &amp; Settings'!$E$2)</f>
        <v>35.47</v>
      </c>
      <c r="L930" s="28"/>
    </row>
    <row r="931">
      <c r="A931" s="40" t="str">
        <f t="shared" si="1"/>
        <v/>
      </c>
      <c r="B931" s="40"/>
      <c r="C931" s="40"/>
      <c r="D931" s="41" t="str">
        <f t="shared" si="2"/>
        <v/>
      </c>
      <c r="E931" s="40"/>
      <c r="F931" s="42"/>
      <c r="G931" s="40"/>
      <c r="H931" s="40"/>
      <c r="I931" s="40"/>
      <c r="J931" s="43"/>
      <c r="K931" s="43">
        <f>IF(I931="Professional Billing Rate",J931,'Lists &amp; Settings'!$E$2)</f>
        <v>35.47</v>
      </c>
      <c r="L931" s="40"/>
    </row>
    <row r="932">
      <c r="A932" s="28" t="str">
        <f t="shared" si="1"/>
        <v/>
      </c>
      <c r="B932" s="28"/>
      <c r="C932" s="28"/>
      <c r="D932" s="26" t="str">
        <f t="shared" si="2"/>
        <v/>
      </c>
      <c r="E932" s="28"/>
      <c r="F932" s="35"/>
      <c r="G932" s="28"/>
      <c r="H932" s="28"/>
      <c r="I932" s="28"/>
      <c r="J932" s="37"/>
      <c r="K932" s="37">
        <f>IF(I932="Professional Billing Rate",J932,'Lists &amp; Settings'!$E$2)</f>
        <v>35.47</v>
      </c>
      <c r="L932" s="28"/>
    </row>
    <row r="933">
      <c r="A933" s="40" t="str">
        <f t="shared" si="1"/>
        <v/>
      </c>
      <c r="B933" s="40"/>
      <c r="C933" s="40"/>
      <c r="D933" s="41" t="str">
        <f t="shared" si="2"/>
        <v/>
      </c>
      <c r="E933" s="40"/>
      <c r="F933" s="42"/>
      <c r="G933" s="40"/>
      <c r="H933" s="40"/>
      <c r="I933" s="40"/>
      <c r="J933" s="43"/>
      <c r="K933" s="43">
        <f>IF(I933="Professional Billing Rate",J933,'Lists &amp; Settings'!$E$2)</f>
        <v>35.47</v>
      </c>
      <c r="L933" s="40"/>
    </row>
    <row r="934">
      <c r="A934" s="28" t="str">
        <f t="shared" si="1"/>
        <v/>
      </c>
      <c r="B934" s="28"/>
      <c r="C934" s="28"/>
      <c r="D934" s="26" t="str">
        <f t="shared" si="2"/>
        <v/>
      </c>
      <c r="E934" s="28"/>
      <c r="F934" s="35"/>
      <c r="G934" s="28"/>
      <c r="H934" s="28"/>
      <c r="I934" s="28"/>
      <c r="J934" s="37"/>
      <c r="K934" s="37">
        <f>IF(I934="Professional Billing Rate",J934,'Lists &amp; Settings'!$E$2)</f>
        <v>35.47</v>
      </c>
      <c r="L934" s="28"/>
    </row>
    <row r="935">
      <c r="A935" s="40" t="str">
        <f t="shared" si="1"/>
        <v/>
      </c>
      <c r="B935" s="40"/>
      <c r="C935" s="40"/>
      <c r="D935" s="41" t="str">
        <f t="shared" si="2"/>
        <v/>
      </c>
      <c r="E935" s="40"/>
      <c r="F935" s="42"/>
      <c r="G935" s="40"/>
      <c r="H935" s="40"/>
      <c r="I935" s="40"/>
      <c r="J935" s="43"/>
      <c r="K935" s="43">
        <f>IF(I935="Professional Billing Rate",J935,'Lists &amp; Settings'!$E$2)</f>
        <v>35.47</v>
      </c>
      <c r="L935" s="40"/>
    </row>
    <row r="936">
      <c r="A936" s="28" t="str">
        <f t="shared" si="1"/>
        <v/>
      </c>
      <c r="B936" s="28"/>
      <c r="C936" s="28"/>
      <c r="D936" s="26" t="str">
        <f t="shared" si="2"/>
        <v/>
      </c>
      <c r="E936" s="28"/>
      <c r="F936" s="35"/>
      <c r="G936" s="28"/>
      <c r="H936" s="28"/>
      <c r="I936" s="28"/>
      <c r="J936" s="37"/>
      <c r="K936" s="37">
        <f>IF(I936="Professional Billing Rate",J936,'Lists &amp; Settings'!$E$2)</f>
        <v>35.47</v>
      </c>
      <c r="L936" s="28"/>
    </row>
    <row r="937">
      <c r="A937" s="40" t="str">
        <f t="shared" si="1"/>
        <v/>
      </c>
      <c r="B937" s="40"/>
      <c r="C937" s="40"/>
      <c r="D937" s="41" t="str">
        <f t="shared" si="2"/>
        <v/>
      </c>
      <c r="E937" s="40"/>
      <c r="F937" s="42"/>
      <c r="G937" s="40"/>
      <c r="H937" s="40"/>
      <c r="I937" s="40"/>
      <c r="J937" s="43"/>
      <c r="K937" s="43">
        <f>IF(I937="Professional Billing Rate",J937,'Lists &amp; Settings'!$E$2)</f>
        <v>35.47</v>
      </c>
      <c r="L937" s="40"/>
    </row>
    <row r="938">
      <c r="A938" s="28" t="str">
        <f t="shared" si="1"/>
        <v/>
      </c>
      <c r="B938" s="28"/>
      <c r="C938" s="28"/>
      <c r="D938" s="26" t="str">
        <f t="shared" si="2"/>
        <v/>
      </c>
      <c r="E938" s="28"/>
      <c r="F938" s="35"/>
      <c r="G938" s="28"/>
      <c r="H938" s="28"/>
      <c r="I938" s="28"/>
      <c r="J938" s="37"/>
      <c r="K938" s="37">
        <f>IF(I938="Professional Billing Rate",J938,'Lists &amp; Settings'!$E$2)</f>
        <v>35.47</v>
      </c>
      <c r="L938" s="28"/>
    </row>
    <row r="939">
      <c r="A939" s="40" t="str">
        <f t="shared" si="1"/>
        <v/>
      </c>
      <c r="B939" s="40"/>
      <c r="C939" s="40"/>
      <c r="D939" s="41" t="str">
        <f t="shared" si="2"/>
        <v/>
      </c>
      <c r="E939" s="40"/>
      <c r="F939" s="42"/>
      <c r="G939" s="40"/>
      <c r="H939" s="40"/>
      <c r="I939" s="40"/>
      <c r="J939" s="43"/>
      <c r="K939" s="43">
        <f>IF(I939="Professional Billing Rate",J939,'Lists &amp; Settings'!$E$2)</f>
        <v>35.47</v>
      </c>
      <c r="L939" s="40"/>
    </row>
    <row r="940">
      <c r="A940" s="28" t="str">
        <f t="shared" si="1"/>
        <v/>
      </c>
      <c r="B940" s="28"/>
      <c r="C940" s="28"/>
      <c r="D940" s="26" t="str">
        <f t="shared" si="2"/>
        <v/>
      </c>
      <c r="E940" s="28"/>
      <c r="F940" s="35"/>
      <c r="G940" s="28"/>
      <c r="H940" s="28"/>
      <c r="I940" s="28"/>
      <c r="J940" s="37"/>
      <c r="K940" s="37">
        <f>IF(I940="Professional Billing Rate",J940,'Lists &amp; Settings'!$E$2)</f>
        <v>35.47</v>
      </c>
      <c r="L940" s="28"/>
    </row>
    <row r="941">
      <c r="A941" s="40" t="str">
        <f t="shared" si="1"/>
        <v/>
      </c>
      <c r="B941" s="40"/>
      <c r="C941" s="40"/>
      <c r="D941" s="41" t="str">
        <f t="shared" si="2"/>
        <v/>
      </c>
      <c r="E941" s="40"/>
      <c r="F941" s="42"/>
      <c r="G941" s="40"/>
      <c r="H941" s="40"/>
      <c r="I941" s="40"/>
      <c r="J941" s="43"/>
      <c r="K941" s="43">
        <f>IF(I941="Professional Billing Rate",J941,'Lists &amp; Settings'!$E$2)</f>
        <v>35.47</v>
      </c>
      <c r="L941" s="40"/>
    </row>
    <row r="942">
      <c r="A942" s="28" t="str">
        <f t="shared" si="1"/>
        <v/>
      </c>
      <c r="B942" s="28"/>
      <c r="C942" s="28"/>
      <c r="D942" s="26" t="str">
        <f t="shared" si="2"/>
        <v/>
      </c>
      <c r="E942" s="28"/>
      <c r="F942" s="35"/>
      <c r="G942" s="28"/>
      <c r="H942" s="28"/>
      <c r="I942" s="28"/>
      <c r="J942" s="37"/>
      <c r="K942" s="37">
        <f>IF(I942="Professional Billing Rate",J942,'Lists &amp; Settings'!$E$2)</f>
        <v>35.47</v>
      </c>
      <c r="L942" s="28"/>
    </row>
    <row r="943">
      <c r="A943" s="40" t="str">
        <f t="shared" si="1"/>
        <v/>
      </c>
      <c r="B943" s="40"/>
      <c r="C943" s="40"/>
      <c r="D943" s="41" t="str">
        <f t="shared" si="2"/>
        <v/>
      </c>
      <c r="E943" s="40"/>
      <c r="F943" s="42"/>
      <c r="G943" s="40"/>
      <c r="H943" s="40"/>
      <c r="I943" s="40"/>
      <c r="J943" s="43"/>
      <c r="K943" s="43">
        <f>IF(I943="Professional Billing Rate",J943,'Lists &amp; Settings'!$E$2)</f>
        <v>35.47</v>
      </c>
      <c r="L943" s="40"/>
    </row>
    <row r="944">
      <c r="A944" s="28" t="str">
        <f t="shared" si="1"/>
        <v/>
      </c>
      <c r="B944" s="28"/>
      <c r="C944" s="28"/>
      <c r="D944" s="26" t="str">
        <f t="shared" si="2"/>
        <v/>
      </c>
      <c r="E944" s="28"/>
      <c r="F944" s="35"/>
      <c r="G944" s="28"/>
      <c r="H944" s="28"/>
      <c r="I944" s="28"/>
      <c r="J944" s="37"/>
      <c r="K944" s="37">
        <f>IF(I944="Professional Billing Rate",J944,'Lists &amp; Settings'!$E$2)</f>
        <v>35.47</v>
      </c>
      <c r="L944" s="28"/>
    </row>
    <row r="945">
      <c r="A945" s="40" t="str">
        <f t="shared" si="1"/>
        <v/>
      </c>
      <c r="B945" s="40"/>
      <c r="C945" s="40"/>
      <c r="D945" s="41" t="str">
        <f t="shared" si="2"/>
        <v/>
      </c>
      <c r="E945" s="40"/>
      <c r="F945" s="42"/>
      <c r="G945" s="40"/>
      <c r="H945" s="40"/>
      <c r="I945" s="40"/>
      <c r="J945" s="43"/>
      <c r="K945" s="43">
        <f>IF(I945="Professional Billing Rate",J945,'Lists &amp; Settings'!$E$2)</f>
        <v>35.47</v>
      </c>
      <c r="L945" s="40"/>
    </row>
    <row r="946">
      <c r="A946" s="28" t="str">
        <f t="shared" si="1"/>
        <v/>
      </c>
      <c r="B946" s="28"/>
      <c r="C946" s="28"/>
      <c r="D946" s="26" t="str">
        <f t="shared" si="2"/>
        <v/>
      </c>
      <c r="E946" s="28"/>
      <c r="F946" s="35"/>
      <c r="G946" s="28"/>
      <c r="H946" s="28"/>
      <c r="I946" s="28"/>
      <c r="J946" s="37"/>
      <c r="K946" s="37">
        <f>IF(I946="Professional Billing Rate",J946,'Lists &amp; Settings'!$E$2)</f>
        <v>35.47</v>
      </c>
      <c r="L946" s="28"/>
    </row>
    <row r="947">
      <c r="A947" s="40" t="str">
        <f t="shared" si="1"/>
        <v/>
      </c>
      <c r="B947" s="40"/>
      <c r="C947" s="40"/>
      <c r="D947" s="41" t="str">
        <f t="shared" si="2"/>
        <v/>
      </c>
      <c r="E947" s="40"/>
      <c r="F947" s="42"/>
      <c r="G947" s="40"/>
      <c r="H947" s="40"/>
      <c r="I947" s="40"/>
      <c r="J947" s="43"/>
      <c r="K947" s="43">
        <f>IF(I947="Professional Billing Rate",J947,'Lists &amp; Settings'!$E$2)</f>
        <v>35.47</v>
      </c>
      <c r="L947" s="40"/>
    </row>
    <row r="948">
      <c r="A948" s="28" t="str">
        <f t="shared" si="1"/>
        <v/>
      </c>
      <c r="B948" s="28"/>
      <c r="C948" s="28"/>
      <c r="D948" s="26" t="str">
        <f t="shared" si="2"/>
        <v/>
      </c>
      <c r="E948" s="28"/>
      <c r="F948" s="35"/>
      <c r="G948" s="28"/>
      <c r="H948" s="28"/>
      <c r="I948" s="28"/>
      <c r="J948" s="37"/>
      <c r="K948" s="37">
        <f>IF(I948="Professional Billing Rate",J948,'Lists &amp; Settings'!$E$2)</f>
        <v>35.47</v>
      </c>
      <c r="L948" s="28"/>
    </row>
    <row r="949">
      <c r="A949" s="40" t="str">
        <f t="shared" si="1"/>
        <v/>
      </c>
      <c r="B949" s="40"/>
      <c r="C949" s="40"/>
      <c r="D949" s="41" t="str">
        <f t="shared" si="2"/>
        <v/>
      </c>
      <c r="E949" s="40"/>
      <c r="F949" s="42"/>
      <c r="G949" s="40"/>
      <c r="H949" s="40"/>
      <c r="I949" s="40"/>
      <c r="J949" s="43"/>
      <c r="K949" s="43">
        <f>IF(I949="Professional Billing Rate",J949,'Lists &amp; Settings'!$E$2)</f>
        <v>35.47</v>
      </c>
      <c r="L949" s="40"/>
    </row>
    <row r="950">
      <c r="A950" s="28" t="str">
        <f t="shared" si="1"/>
        <v/>
      </c>
      <c r="B950" s="28"/>
      <c r="C950" s="28"/>
      <c r="D950" s="26" t="str">
        <f t="shared" si="2"/>
        <v/>
      </c>
      <c r="E950" s="28"/>
      <c r="F950" s="35"/>
      <c r="G950" s="28"/>
      <c r="H950" s="28"/>
      <c r="I950" s="28"/>
      <c r="J950" s="37"/>
      <c r="K950" s="37">
        <f>IF(I950="Professional Billing Rate",J950,'Lists &amp; Settings'!$E$2)</f>
        <v>35.47</v>
      </c>
      <c r="L950" s="28"/>
    </row>
    <row r="951">
      <c r="A951" s="40" t="str">
        <f t="shared" si="1"/>
        <v/>
      </c>
      <c r="B951" s="40"/>
      <c r="C951" s="40"/>
      <c r="D951" s="41" t="str">
        <f t="shared" si="2"/>
        <v/>
      </c>
      <c r="E951" s="40"/>
      <c r="F951" s="42"/>
      <c r="G951" s="40"/>
      <c r="H951" s="40"/>
      <c r="I951" s="40"/>
      <c r="J951" s="43"/>
      <c r="K951" s="43">
        <f>IF(I951="Professional Billing Rate",J951,'Lists &amp; Settings'!$E$2)</f>
        <v>35.47</v>
      </c>
      <c r="L951" s="40"/>
    </row>
    <row r="952">
      <c r="A952" s="28" t="str">
        <f t="shared" si="1"/>
        <v/>
      </c>
      <c r="B952" s="28"/>
      <c r="C952" s="28"/>
      <c r="D952" s="26" t="str">
        <f t="shared" si="2"/>
        <v/>
      </c>
      <c r="E952" s="28"/>
      <c r="F952" s="35"/>
      <c r="G952" s="28"/>
      <c r="H952" s="28"/>
      <c r="I952" s="28"/>
      <c r="J952" s="37"/>
      <c r="K952" s="37">
        <f>IF(I952="Professional Billing Rate",J952,'Lists &amp; Settings'!$E$2)</f>
        <v>35.47</v>
      </c>
      <c r="L952" s="28"/>
    </row>
    <row r="953">
      <c r="A953" s="40" t="str">
        <f t="shared" si="1"/>
        <v/>
      </c>
      <c r="B953" s="40"/>
      <c r="C953" s="40"/>
      <c r="D953" s="41" t="str">
        <f t="shared" si="2"/>
        <v/>
      </c>
      <c r="E953" s="40"/>
      <c r="F953" s="42"/>
      <c r="G953" s="40"/>
      <c r="H953" s="40"/>
      <c r="I953" s="40"/>
      <c r="J953" s="43"/>
      <c r="K953" s="43">
        <f>IF(I953="Professional Billing Rate",J953,'Lists &amp; Settings'!$E$2)</f>
        <v>35.47</v>
      </c>
      <c r="L953" s="40"/>
    </row>
    <row r="954">
      <c r="A954" s="28" t="str">
        <f t="shared" si="1"/>
        <v/>
      </c>
      <c r="B954" s="28"/>
      <c r="C954" s="28"/>
      <c r="D954" s="26" t="str">
        <f t="shared" si="2"/>
        <v/>
      </c>
      <c r="E954" s="28"/>
      <c r="F954" s="35"/>
      <c r="G954" s="28"/>
      <c r="H954" s="28"/>
      <c r="I954" s="28"/>
      <c r="J954" s="37"/>
      <c r="K954" s="37">
        <f>IF(I954="Professional Billing Rate",J954,'Lists &amp; Settings'!$E$2)</f>
        <v>35.47</v>
      </c>
      <c r="L954" s="28"/>
    </row>
    <row r="955">
      <c r="A955" s="40" t="str">
        <f t="shared" si="1"/>
        <v/>
      </c>
      <c r="B955" s="40"/>
      <c r="C955" s="40"/>
      <c r="D955" s="41" t="str">
        <f t="shared" si="2"/>
        <v/>
      </c>
      <c r="E955" s="40"/>
      <c r="F955" s="42"/>
      <c r="G955" s="40"/>
      <c r="H955" s="40"/>
      <c r="I955" s="40"/>
      <c r="J955" s="43"/>
      <c r="K955" s="43">
        <f>IF(I955="Professional Billing Rate",J955,'Lists &amp; Settings'!$E$2)</f>
        <v>35.47</v>
      </c>
      <c r="L955" s="40"/>
    </row>
    <row r="956">
      <c r="A956" s="28" t="str">
        <f t="shared" si="1"/>
        <v/>
      </c>
      <c r="B956" s="28"/>
      <c r="C956" s="28"/>
      <c r="D956" s="26" t="str">
        <f t="shared" si="2"/>
        <v/>
      </c>
      <c r="E956" s="28"/>
      <c r="F956" s="35"/>
      <c r="G956" s="28"/>
      <c r="H956" s="28"/>
      <c r="I956" s="28"/>
      <c r="J956" s="37"/>
      <c r="K956" s="37">
        <f>IF(I956="Professional Billing Rate",J956,'Lists &amp; Settings'!$E$2)</f>
        <v>35.47</v>
      </c>
      <c r="L956" s="28"/>
    </row>
    <row r="957">
      <c r="A957" s="40" t="str">
        <f t="shared" si="1"/>
        <v/>
      </c>
      <c r="B957" s="40"/>
      <c r="C957" s="40"/>
      <c r="D957" s="41" t="str">
        <f t="shared" si="2"/>
        <v/>
      </c>
      <c r="E957" s="40"/>
      <c r="F957" s="42"/>
      <c r="G957" s="40"/>
      <c r="H957" s="40"/>
      <c r="I957" s="40"/>
      <c r="J957" s="43"/>
      <c r="K957" s="43">
        <f>IF(I957="Professional Billing Rate",J957,'Lists &amp; Settings'!$E$2)</f>
        <v>35.47</v>
      </c>
      <c r="L957" s="40"/>
    </row>
    <row r="958">
      <c r="A958" s="28" t="str">
        <f t="shared" si="1"/>
        <v/>
      </c>
      <c r="B958" s="28"/>
      <c r="C958" s="28"/>
      <c r="D958" s="26" t="str">
        <f t="shared" si="2"/>
        <v/>
      </c>
      <c r="E958" s="28"/>
      <c r="F958" s="35"/>
      <c r="G958" s="28"/>
      <c r="H958" s="28"/>
      <c r="I958" s="28"/>
      <c r="J958" s="37"/>
      <c r="K958" s="37">
        <f>IF(I958="Professional Billing Rate",J958,'Lists &amp; Settings'!$E$2)</f>
        <v>35.47</v>
      </c>
      <c r="L958" s="28"/>
    </row>
    <row r="959">
      <c r="A959" s="40" t="str">
        <f t="shared" si="1"/>
        <v/>
      </c>
      <c r="B959" s="40"/>
      <c r="C959" s="40"/>
      <c r="D959" s="41" t="str">
        <f t="shared" si="2"/>
        <v/>
      </c>
      <c r="E959" s="40"/>
      <c r="F959" s="42"/>
      <c r="G959" s="40"/>
      <c r="H959" s="40"/>
      <c r="I959" s="40"/>
      <c r="J959" s="43"/>
      <c r="K959" s="43">
        <f>IF(I959="Professional Billing Rate",J959,'Lists &amp; Settings'!$E$2)</f>
        <v>35.47</v>
      </c>
      <c r="L959" s="40"/>
    </row>
    <row r="960">
      <c r="A960" s="28" t="str">
        <f t="shared" si="1"/>
        <v/>
      </c>
      <c r="B960" s="28"/>
      <c r="C960" s="28"/>
      <c r="D960" s="26" t="str">
        <f t="shared" si="2"/>
        <v/>
      </c>
      <c r="E960" s="28"/>
      <c r="F960" s="35"/>
      <c r="G960" s="28"/>
      <c r="H960" s="28"/>
      <c r="I960" s="28"/>
      <c r="J960" s="37"/>
      <c r="K960" s="37">
        <f>IF(I960="Professional Billing Rate",J960,'Lists &amp; Settings'!$E$2)</f>
        <v>35.47</v>
      </c>
      <c r="L960" s="28"/>
    </row>
    <row r="961">
      <c r="A961" s="40" t="str">
        <f t="shared" si="1"/>
        <v/>
      </c>
      <c r="B961" s="40"/>
      <c r="C961" s="40"/>
      <c r="D961" s="41" t="str">
        <f t="shared" si="2"/>
        <v/>
      </c>
      <c r="E961" s="40"/>
      <c r="F961" s="42"/>
      <c r="G961" s="40"/>
      <c r="H961" s="40"/>
      <c r="I961" s="40"/>
      <c r="J961" s="43"/>
      <c r="K961" s="43">
        <f>IF(I961="Professional Billing Rate",J961,'Lists &amp; Settings'!$E$2)</f>
        <v>35.47</v>
      </c>
      <c r="L961" s="40"/>
    </row>
    <row r="962">
      <c r="A962" s="28" t="str">
        <f t="shared" si="1"/>
        <v/>
      </c>
      <c r="B962" s="28"/>
      <c r="C962" s="28"/>
      <c r="D962" s="26" t="str">
        <f t="shared" si="2"/>
        <v/>
      </c>
      <c r="E962" s="28"/>
      <c r="F962" s="35"/>
      <c r="G962" s="28"/>
      <c r="H962" s="28"/>
      <c r="I962" s="28"/>
      <c r="J962" s="37"/>
      <c r="K962" s="37">
        <f>IF(I962="Professional Billing Rate",J962,'Lists &amp; Settings'!$E$2)</f>
        <v>35.47</v>
      </c>
      <c r="L962" s="28"/>
    </row>
    <row r="963">
      <c r="A963" s="40" t="str">
        <f t="shared" si="1"/>
        <v/>
      </c>
      <c r="B963" s="40"/>
      <c r="C963" s="40"/>
      <c r="D963" s="41" t="str">
        <f t="shared" si="2"/>
        <v/>
      </c>
      <c r="E963" s="40"/>
      <c r="F963" s="42"/>
      <c r="G963" s="40"/>
      <c r="H963" s="40"/>
      <c r="I963" s="40"/>
      <c r="J963" s="43"/>
      <c r="K963" s="43">
        <f>IF(I963="Professional Billing Rate",J963,'Lists &amp; Settings'!$E$2)</f>
        <v>35.47</v>
      </c>
      <c r="L963" s="40"/>
    </row>
    <row r="964">
      <c r="A964" s="28" t="str">
        <f t="shared" si="1"/>
        <v/>
      </c>
      <c r="B964" s="28"/>
      <c r="C964" s="28"/>
      <c r="D964" s="26" t="str">
        <f t="shared" si="2"/>
        <v/>
      </c>
      <c r="E964" s="28"/>
      <c r="F964" s="35"/>
      <c r="G964" s="28"/>
      <c r="H964" s="28"/>
      <c r="I964" s="28"/>
      <c r="J964" s="37"/>
      <c r="K964" s="37">
        <f>IF(I964="Professional Billing Rate",J964,'Lists &amp; Settings'!$E$2)</f>
        <v>35.47</v>
      </c>
      <c r="L964" s="28"/>
    </row>
    <row r="965">
      <c r="A965" s="40" t="str">
        <f t="shared" si="1"/>
        <v/>
      </c>
      <c r="B965" s="40"/>
      <c r="C965" s="40"/>
      <c r="D965" s="41" t="str">
        <f t="shared" si="2"/>
        <v/>
      </c>
      <c r="E965" s="40"/>
      <c r="F965" s="42"/>
      <c r="G965" s="40"/>
      <c r="H965" s="40"/>
      <c r="I965" s="40"/>
      <c r="J965" s="43"/>
      <c r="K965" s="43">
        <f>IF(I965="Professional Billing Rate",J965,'Lists &amp; Settings'!$E$2)</f>
        <v>35.47</v>
      </c>
      <c r="L965" s="40"/>
    </row>
    <row r="966">
      <c r="A966" s="28" t="str">
        <f t="shared" si="1"/>
        <v/>
      </c>
      <c r="B966" s="28"/>
      <c r="C966" s="28"/>
      <c r="D966" s="26" t="str">
        <f t="shared" si="2"/>
        <v/>
      </c>
      <c r="E966" s="28"/>
      <c r="F966" s="35"/>
      <c r="G966" s="28"/>
      <c r="H966" s="28"/>
      <c r="I966" s="28"/>
      <c r="J966" s="37"/>
      <c r="K966" s="37">
        <f>IF(I966="Professional Billing Rate",J966,'Lists &amp; Settings'!$E$2)</f>
        <v>35.47</v>
      </c>
      <c r="L966" s="28"/>
    </row>
    <row r="967">
      <c r="A967" s="40" t="str">
        <f t="shared" si="1"/>
        <v/>
      </c>
      <c r="B967" s="40"/>
      <c r="C967" s="40"/>
      <c r="D967" s="41" t="str">
        <f t="shared" si="2"/>
        <v/>
      </c>
      <c r="E967" s="40"/>
      <c r="F967" s="42"/>
      <c r="G967" s="40"/>
      <c r="H967" s="40"/>
      <c r="I967" s="40"/>
      <c r="J967" s="43"/>
      <c r="K967" s="43">
        <f>IF(I967="Professional Billing Rate",J967,'Lists &amp; Settings'!$E$2)</f>
        <v>35.47</v>
      </c>
      <c r="L967" s="40"/>
    </row>
    <row r="968">
      <c r="A968" s="28" t="str">
        <f t="shared" si="1"/>
        <v/>
      </c>
      <c r="B968" s="28"/>
      <c r="C968" s="28"/>
      <c r="D968" s="26" t="str">
        <f t="shared" si="2"/>
        <v/>
      </c>
      <c r="E968" s="28"/>
      <c r="F968" s="35"/>
      <c r="G968" s="28"/>
      <c r="H968" s="28"/>
      <c r="I968" s="28"/>
      <c r="J968" s="37"/>
      <c r="K968" s="37">
        <f>IF(I968="Professional Billing Rate",J968,'Lists &amp; Settings'!$E$2)</f>
        <v>35.47</v>
      </c>
      <c r="L968" s="28"/>
    </row>
    <row r="969">
      <c r="A969" s="40" t="str">
        <f t="shared" si="1"/>
        <v/>
      </c>
      <c r="B969" s="40"/>
      <c r="C969" s="40"/>
      <c r="D969" s="41" t="str">
        <f t="shared" si="2"/>
        <v/>
      </c>
      <c r="E969" s="40"/>
      <c r="F969" s="42"/>
      <c r="G969" s="40"/>
      <c r="H969" s="40"/>
      <c r="I969" s="40"/>
      <c r="J969" s="43"/>
      <c r="K969" s="43">
        <f>IF(I969="Professional Billing Rate",J969,'Lists &amp; Settings'!$E$2)</f>
        <v>35.47</v>
      </c>
      <c r="L969" s="40"/>
    </row>
    <row r="970">
      <c r="A970" s="28" t="str">
        <f t="shared" si="1"/>
        <v/>
      </c>
      <c r="B970" s="28"/>
      <c r="C970" s="28"/>
      <c r="D970" s="26" t="str">
        <f t="shared" si="2"/>
        <v/>
      </c>
      <c r="E970" s="28"/>
      <c r="F970" s="35"/>
      <c r="G970" s="28"/>
      <c r="H970" s="28"/>
      <c r="I970" s="28"/>
      <c r="J970" s="37"/>
      <c r="K970" s="37">
        <f>IF(I970="Professional Billing Rate",J970,'Lists &amp; Settings'!$E$2)</f>
        <v>35.47</v>
      </c>
      <c r="L970" s="28"/>
    </row>
    <row r="971">
      <c r="A971" s="40" t="str">
        <f t="shared" si="1"/>
        <v/>
      </c>
      <c r="B971" s="40"/>
      <c r="C971" s="40"/>
      <c r="D971" s="41" t="str">
        <f t="shared" si="2"/>
        <v/>
      </c>
      <c r="E971" s="40"/>
      <c r="F971" s="42"/>
      <c r="G971" s="40"/>
      <c r="H971" s="40"/>
      <c r="I971" s="40"/>
      <c r="J971" s="43"/>
      <c r="K971" s="43">
        <f>IF(I971="Professional Billing Rate",J971,'Lists &amp; Settings'!$E$2)</f>
        <v>35.47</v>
      </c>
      <c r="L971" s="40"/>
    </row>
    <row r="972">
      <c r="A972" s="28" t="str">
        <f t="shared" si="1"/>
        <v/>
      </c>
      <c r="B972" s="28"/>
      <c r="C972" s="28"/>
      <c r="D972" s="26" t="str">
        <f t="shared" si="2"/>
        <v/>
      </c>
      <c r="E972" s="28"/>
      <c r="F972" s="35"/>
      <c r="G972" s="28"/>
      <c r="H972" s="28"/>
      <c r="I972" s="28"/>
      <c r="J972" s="37"/>
      <c r="K972" s="37">
        <f>IF(I972="Professional Billing Rate",J972,'Lists &amp; Settings'!$E$2)</f>
        <v>35.47</v>
      </c>
      <c r="L972" s="28"/>
    </row>
    <row r="973">
      <c r="A973" s="40" t="str">
        <f t="shared" si="1"/>
        <v/>
      </c>
      <c r="B973" s="40"/>
      <c r="C973" s="40"/>
      <c r="D973" s="41" t="str">
        <f t="shared" si="2"/>
        <v/>
      </c>
      <c r="E973" s="40"/>
      <c r="F973" s="42"/>
      <c r="G973" s="40"/>
      <c r="H973" s="40"/>
      <c r="I973" s="40"/>
      <c r="J973" s="43"/>
      <c r="K973" s="43">
        <f>IF(I973="Professional Billing Rate",J973,'Lists &amp; Settings'!$E$2)</f>
        <v>35.47</v>
      </c>
      <c r="L973" s="40"/>
    </row>
    <row r="974">
      <c r="A974" s="28" t="str">
        <f t="shared" si="1"/>
        <v/>
      </c>
      <c r="B974" s="28"/>
      <c r="C974" s="28"/>
      <c r="D974" s="26" t="str">
        <f t="shared" si="2"/>
        <v/>
      </c>
      <c r="E974" s="28"/>
      <c r="F974" s="35"/>
      <c r="G974" s="28"/>
      <c r="H974" s="28"/>
      <c r="I974" s="28"/>
      <c r="J974" s="37"/>
      <c r="K974" s="37">
        <f>IF(I974="Professional Billing Rate",J974,'Lists &amp; Settings'!$E$2)</f>
        <v>35.47</v>
      </c>
      <c r="L974" s="28"/>
    </row>
    <row r="975">
      <c r="A975" s="40" t="str">
        <f t="shared" si="1"/>
        <v/>
      </c>
      <c r="B975" s="40"/>
      <c r="C975" s="40"/>
      <c r="D975" s="41" t="str">
        <f t="shared" si="2"/>
        <v/>
      </c>
      <c r="E975" s="40"/>
      <c r="F975" s="42"/>
      <c r="G975" s="40"/>
      <c r="H975" s="40"/>
      <c r="I975" s="40"/>
      <c r="J975" s="43"/>
      <c r="K975" s="43">
        <f>IF(I975="Professional Billing Rate",J975,'Lists &amp; Settings'!$E$2)</f>
        <v>35.47</v>
      </c>
      <c r="L975" s="40"/>
    </row>
    <row r="976">
      <c r="A976" s="28" t="str">
        <f t="shared" si="1"/>
        <v/>
      </c>
      <c r="B976" s="28"/>
      <c r="C976" s="28"/>
      <c r="D976" s="26" t="str">
        <f t="shared" si="2"/>
        <v/>
      </c>
      <c r="E976" s="28"/>
      <c r="F976" s="35"/>
      <c r="G976" s="28"/>
      <c r="H976" s="28"/>
      <c r="I976" s="28"/>
      <c r="J976" s="37"/>
      <c r="K976" s="37">
        <f>IF(I976="Professional Billing Rate",J976,'Lists &amp; Settings'!$E$2)</f>
        <v>35.47</v>
      </c>
      <c r="L976" s="28"/>
    </row>
    <row r="977">
      <c r="A977" s="40" t="str">
        <f t="shared" si="1"/>
        <v/>
      </c>
      <c r="B977" s="40"/>
      <c r="C977" s="40"/>
      <c r="D977" s="41" t="str">
        <f t="shared" si="2"/>
        <v/>
      </c>
      <c r="E977" s="40"/>
      <c r="F977" s="42"/>
      <c r="G977" s="40"/>
      <c r="H977" s="40"/>
      <c r="I977" s="40"/>
      <c r="J977" s="43"/>
      <c r="K977" s="43">
        <f>IF(I977="Professional Billing Rate",J977,'Lists &amp; Settings'!$E$2)</f>
        <v>35.47</v>
      </c>
      <c r="L977" s="40"/>
    </row>
    <row r="978">
      <c r="A978" s="28" t="str">
        <f t="shared" si="1"/>
        <v/>
      </c>
      <c r="B978" s="28"/>
      <c r="C978" s="28"/>
      <c r="D978" s="26" t="str">
        <f t="shared" si="2"/>
        <v/>
      </c>
      <c r="E978" s="28"/>
      <c r="F978" s="35"/>
      <c r="G978" s="28"/>
      <c r="H978" s="28"/>
      <c r="I978" s="28"/>
      <c r="J978" s="37"/>
      <c r="K978" s="37">
        <f>IF(I978="Professional Billing Rate",J978,'Lists &amp; Settings'!$E$2)</f>
        <v>35.47</v>
      </c>
      <c r="L978" s="28"/>
    </row>
    <row r="979">
      <c r="A979" s="40" t="str">
        <f t="shared" si="1"/>
        <v/>
      </c>
      <c r="B979" s="40"/>
      <c r="C979" s="40"/>
      <c r="D979" s="41" t="str">
        <f t="shared" si="2"/>
        <v/>
      </c>
      <c r="E979" s="40"/>
      <c r="F979" s="42"/>
      <c r="G979" s="40"/>
      <c r="H979" s="40"/>
      <c r="I979" s="40"/>
      <c r="J979" s="43"/>
      <c r="K979" s="43">
        <f>IF(I979="Professional Billing Rate",J979,'Lists &amp; Settings'!$E$2)</f>
        <v>35.47</v>
      </c>
      <c r="L979" s="40"/>
    </row>
    <row r="980">
      <c r="A980" s="28" t="str">
        <f t="shared" si="1"/>
        <v/>
      </c>
      <c r="B980" s="28"/>
      <c r="C980" s="28"/>
      <c r="D980" s="26" t="str">
        <f t="shared" si="2"/>
        <v/>
      </c>
      <c r="E980" s="28"/>
      <c r="F980" s="35"/>
      <c r="G980" s="28"/>
      <c r="H980" s="28"/>
      <c r="I980" s="28"/>
      <c r="J980" s="37"/>
      <c r="K980" s="37">
        <f>IF(I980="Professional Billing Rate",J980,'Lists &amp; Settings'!$E$2)</f>
        <v>35.47</v>
      </c>
      <c r="L980" s="28"/>
    </row>
    <row r="981">
      <c r="A981" s="40" t="str">
        <f t="shared" si="1"/>
        <v/>
      </c>
      <c r="B981" s="40"/>
      <c r="C981" s="40"/>
      <c r="D981" s="41" t="str">
        <f t="shared" si="2"/>
        <v/>
      </c>
      <c r="E981" s="40"/>
      <c r="F981" s="42"/>
      <c r="G981" s="40"/>
      <c r="H981" s="40"/>
      <c r="I981" s="40"/>
      <c r="J981" s="43"/>
      <c r="K981" s="43">
        <f>IF(I981="Professional Billing Rate",J981,'Lists &amp; Settings'!$E$2)</f>
        <v>35.47</v>
      </c>
      <c r="L981" s="40"/>
    </row>
    <row r="982">
      <c r="A982" s="28" t="str">
        <f t="shared" si="1"/>
        <v/>
      </c>
      <c r="B982" s="28"/>
      <c r="C982" s="28"/>
      <c r="D982" s="26" t="str">
        <f t="shared" si="2"/>
        <v/>
      </c>
      <c r="E982" s="28"/>
      <c r="F982" s="35"/>
      <c r="G982" s="28"/>
      <c r="H982" s="28"/>
      <c r="I982" s="28"/>
      <c r="J982" s="37"/>
      <c r="K982" s="37">
        <f>IF(I982="Professional Billing Rate",J982,'Lists &amp; Settings'!$E$2)</f>
        <v>35.47</v>
      </c>
      <c r="L982" s="28"/>
    </row>
    <row r="983">
      <c r="A983" s="40" t="str">
        <f t="shared" si="1"/>
        <v/>
      </c>
      <c r="B983" s="40"/>
      <c r="C983" s="40"/>
      <c r="D983" s="41" t="str">
        <f t="shared" si="2"/>
        <v/>
      </c>
      <c r="E983" s="40"/>
      <c r="F983" s="42"/>
      <c r="G983" s="40"/>
      <c r="H983" s="40"/>
      <c r="I983" s="40"/>
      <c r="J983" s="43"/>
      <c r="K983" s="43">
        <f>IF(I983="Professional Billing Rate",J983,'Lists &amp; Settings'!$E$2)</f>
        <v>35.47</v>
      </c>
      <c r="L983" s="40"/>
    </row>
    <row r="984">
      <c r="A984" s="28" t="str">
        <f t="shared" si="1"/>
        <v/>
      </c>
      <c r="B984" s="28"/>
      <c r="C984" s="28"/>
      <c r="D984" s="26" t="str">
        <f t="shared" si="2"/>
        <v/>
      </c>
      <c r="E984" s="28"/>
      <c r="F984" s="35"/>
      <c r="G984" s="28"/>
      <c r="H984" s="28"/>
      <c r="I984" s="28"/>
      <c r="J984" s="37"/>
      <c r="K984" s="37">
        <f>IF(I984="Professional Billing Rate",J984,'Lists &amp; Settings'!$E$2)</f>
        <v>35.47</v>
      </c>
      <c r="L984" s="28"/>
    </row>
    <row r="985">
      <c r="A985" s="40" t="str">
        <f t="shared" si="1"/>
        <v/>
      </c>
      <c r="B985" s="40"/>
      <c r="C985" s="40"/>
      <c r="D985" s="41" t="str">
        <f t="shared" si="2"/>
        <v/>
      </c>
      <c r="E985" s="40"/>
      <c r="F985" s="42"/>
      <c r="G985" s="40"/>
      <c r="H985" s="40"/>
      <c r="I985" s="40"/>
      <c r="J985" s="43"/>
      <c r="K985" s="43">
        <f>IF(I985="Professional Billing Rate",J985,'Lists &amp; Settings'!$E$2)</f>
        <v>35.47</v>
      </c>
      <c r="L985" s="40"/>
    </row>
    <row r="986">
      <c r="A986" s="28" t="str">
        <f t="shared" si="1"/>
        <v/>
      </c>
      <c r="B986" s="28"/>
      <c r="C986" s="28"/>
      <c r="D986" s="26" t="str">
        <f t="shared" si="2"/>
        <v/>
      </c>
      <c r="E986" s="28"/>
      <c r="F986" s="35"/>
      <c r="G986" s="28"/>
      <c r="H986" s="28"/>
      <c r="I986" s="28"/>
      <c r="J986" s="37"/>
      <c r="K986" s="37">
        <f>IF(I986="Professional Billing Rate",J986,'Lists &amp; Settings'!$E$2)</f>
        <v>35.47</v>
      </c>
      <c r="L986" s="28"/>
    </row>
    <row r="987">
      <c r="A987" s="40" t="str">
        <f t="shared" si="1"/>
        <v/>
      </c>
      <c r="B987" s="40"/>
      <c r="C987" s="40"/>
      <c r="D987" s="41" t="str">
        <f t="shared" si="2"/>
        <v/>
      </c>
      <c r="E987" s="40"/>
      <c r="F987" s="42"/>
      <c r="G987" s="40"/>
      <c r="H987" s="40"/>
      <c r="I987" s="40"/>
      <c r="J987" s="43"/>
      <c r="K987" s="43">
        <f>IF(I987="Professional Billing Rate",J987,'Lists &amp; Settings'!$E$2)</f>
        <v>35.47</v>
      </c>
      <c r="L987" s="40"/>
    </row>
    <row r="988">
      <c r="A988" s="28" t="str">
        <f t="shared" si="1"/>
        <v/>
      </c>
      <c r="B988" s="28"/>
      <c r="C988" s="28"/>
      <c r="D988" s="26" t="str">
        <f t="shared" si="2"/>
        <v/>
      </c>
      <c r="E988" s="28"/>
      <c r="F988" s="35"/>
      <c r="G988" s="28"/>
      <c r="H988" s="28"/>
      <c r="I988" s="28"/>
      <c r="J988" s="37"/>
      <c r="K988" s="37">
        <f>IF(I988="Professional Billing Rate",J988,'Lists &amp; Settings'!$E$2)</f>
        <v>35.47</v>
      </c>
      <c r="L988" s="28"/>
    </row>
    <row r="989">
      <c r="A989" s="40" t="str">
        <f t="shared" si="1"/>
        <v/>
      </c>
      <c r="B989" s="40"/>
      <c r="C989" s="40"/>
      <c r="D989" s="41" t="str">
        <f t="shared" si="2"/>
        <v/>
      </c>
      <c r="E989" s="40"/>
      <c r="F989" s="42"/>
      <c r="G989" s="40"/>
      <c r="H989" s="40"/>
      <c r="I989" s="40"/>
      <c r="J989" s="43"/>
      <c r="K989" s="43">
        <f>IF(I989="Professional Billing Rate",J989,'Lists &amp; Settings'!$E$2)</f>
        <v>35.47</v>
      </c>
      <c r="L989" s="40"/>
    </row>
    <row r="990">
      <c r="A990" s="28" t="str">
        <f t="shared" si="1"/>
        <v/>
      </c>
      <c r="B990" s="28"/>
      <c r="C990" s="28"/>
      <c r="D990" s="26" t="str">
        <f t="shared" si="2"/>
        <v/>
      </c>
      <c r="E990" s="28"/>
      <c r="F990" s="35"/>
      <c r="G990" s="28"/>
      <c r="H990" s="28"/>
      <c r="I990" s="28"/>
      <c r="J990" s="37"/>
      <c r="K990" s="37">
        <f>IF(I990="Professional Billing Rate",J990,'Lists &amp; Settings'!$E$2)</f>
        <v>35.47</v>
      </c>
      <c r="L990" s="28"/>
    </row>
    <row r="991">
      <c r="A991" s="40" t="str">
        <f t="shared" si="1"/>
        <v/>
      </c>
      <c r="B991" s="40"/>
      <c r="C991" s="40"/>
      <c r="D991" s="41" t="str">
        <f t="shared" si="2"/>
        <v/>
      </c>
      <c r="E991" s="40"/>
      <c r="F991" s="42"/>
      <c r="G991" s="40"/>
      <c r="H991" s="40"/>
      <c r="I991" s="40"/>
      <c r="J991" s="43"/>
      <c r="K991" s="43">
        <f>IF(I991="Professional Billing Rate",J991,'Lists &amp; Settings'!$E$2)</f>
        <v>35.47</v>
      </c>
      <c r="L991" s="40"/>
    </row>
    <row r="992">
      <c r="A992" s="28" t="str">
        <f t="shared" si="1"/>
        <v/>
      </c>
      <c r="B992" s="28"/>
      <c r="C992" s="28"/>
      <c r="D992" s="26" t="str">
        <f t="shared" si="2"/>
        <v/>
      </c>
      <c r="E992" s="28"/>
      <c r="F992" s="35"/>
      <c r="G992" s="28"/>
      <c r="H992" s="28"/>
      <c r="I992" s="28"/>
      <c r="J992" s="37"/>
      <c r="K992" s="37">
        <f>IF(I992="Professional Billing Rate",J992,'Lists &amp; Settings'!$E$2)</f>
        <v>35.47</v>
      </c>
      <c r="L992" s="28"/>
    </row>
    <row r="993">
      <c r="A993" s="40" t="str">
        <f t="shared" si="1"/>
        <v/>
      </c>
      <c r="B993" s="40"/>
      <c r="C993" s="40"/>
      <c r="D993" s="41" t="str">
        <f t="shared" si="2"/>
        <v/>
      </c>
      <c r="E993" s="40"/>
      <c r="F993" s="42"/>
      <c r="G993" s="40"/>
      <c r="H993" s="40"/>
      <c r="I993" s="40"/>
      <c r="J993" s="43"/>
      <c r="K993" s="43">
        <f>IF(I993="Professional Billing Rate",J993,'Lists &amp; Settings'!$E$2)</f>
        <v>35.47</v>
      </c>
      <c r="L993" s="40"/>
    </row>
    <row r="994">
      <c r="A994" s="28" t="str">
        <f t="shared" si="1"/>
        <v/>
      </c>
      <c r="B994" s="28"/>
      <c r="C994" s="28"/>
      <c r="D994" s="26" t="str">
        <f t="shared" si="2"/>
        <v/>
      </c>
      <c r="E994" s="28"/>
      <c r="F994" s="35"/>
      <c r="G994" s="28"/>
      <c r="H994" s="28"/>
      <c r="I994" s="28"/>
      <c r="J994" s="37"/>
      <c r="K994" s="37">
        <f>IF(I994="Professional Billing Rate",J994,'Lists &amp; Settings'!$E$2)</f>
        <v>35.47</v>
      </c>
      <c r="L994" s="28"/>
    </row>
    <row r="995">
      <c r="A995" s="40" t="str">
        <f t="shared" si="1"/>
        <v/>
      </c>
      <c r="B995" s="40"/>
      <c r="C995" s="40"/>
      <c r="D995" s="41" t="str">
        <f t="shared" si="2"/>
        <v/>
      </c>
      <c r="E995" s="40"/>
      <c r="F995" s="42"/>
      <c r="G995" s="40"/>
      <c r="H995" s="40"/>
      <c r="I995" s="40"/>
      <c r="J995" s="43"/>
      <c r="K995" s="43">
        <f>IF(I995="Professional Billing Rate",J995,'Lists &amp; Settings'!$E$2)</f>
        <v>35.47</v>
      </c>
      <c r="L995" s="40"/>
    </row>
    <row r="996">
      <c r="A996" s="28" t="str">
        <f t="shared" si="1"/>
        <v/>
      </c>
      <c r="B996" s="28"/>
      <c r="C996" s="28"/>
      <c r="D996" s="26" t="str">
        <f t="shared" si="2"/>
        <v/>
      </c>
      <c r="E996" s="28"/>
      <c r="F996" s="35"/>
      <c r="G996" s="28"/>
      <c r="H996" s="28"/>
      <c r="I996" s="28"/>
      <c r="J996" s="37"/>
      <c r="K996" s="37">
        <f>IF(I996="Professional Billing Rate",J996,'Lists &amp; Settings'!$E$2)</f>
        <v>35.47</v>
      </c>
      <c r="L996" s="28"/>
    </row>
    <row r="997">
      <c r="A997" s="40" t="str">
        <f t="shared" si="1"/>
        <v/>
      </c>
      <c r="B997" s="40"/>
      <c r="C997" s="40"/>
      <c r="D997" s="41" t="str">
        <f t="shared" si="2"/>
        <v/>
      </c>
      <c r="E997" s="40"/>
      <c r="F997" s="42"/>
      <c r="G997" s="40"/>
      <c r="H997" s="40"/>
      <c r="I997" s="40"/>
      <c r="J997" s="43"/>
      <c r="K997" s="43">
        <f>IF(I997="Professional Billing Rate",J997,'Lists &amp; Settings'!$E$2)</f>
        <v>35.47</v>
      </c>
      <c r="L997" s="40"/>
    </row>
    <row r="998">
      <c r="A998" s="28" t="str">
        <f t="shared" si="1"/>
        <v/>
      </c>
      <c r="B998" s="28"/>
      <c r="C998" s="28"/>
      <c r="D998" s="26" t="str">
        <f t="shared" si="2"/>
        <v/>
      </c>
      <c r="E998" s="28"/>
      <c r="F998" s="35"/>
      <c r="G998" s="28"/>
      <c r="H998" s="28"/>
      <c r="I998" s="28"/>
      <c r="J998" s="37"/>
      <c r="K998" s="37">
        <f>IF(I998="Professional Billing Rate",J998,'Lists &amp; Settings'!$E$2)</f>
        <v>35.47</v>
      </c>
      <c r="L998" s="28"/>
    </row>
    <row r="999">
      <c r="A999" s="40" t="str">
        <f t="shared" si="1"/>
        <v/>
      </c>
      <c r="B999" s="40"/>
      <c r="C999" s="40"/>
      <c r="D999" s="41" t="str">
        <f t="shared" si="2"/>
        <v/>
      </c>
      <c r="E999" s="40"/>
      <c r="F999" s="42"/>
      <c r="G999" s="40"/>
      <c r="H999" s="40"/>
      <c r="I999" s="40"/>
      <c r="J999" s="43"/>
      <c r="K999" s="43">
        <f>IF(I999="Professional Billing Rate",J999,'Lists &amp; Settings'!$E$2)</f>
        <v>35.47</v>
      </c>
      <c r="L999" s="40"/>
    </row>
  </sheetData>
  <autoFilter ref="$A$1:$AA$999">
    <sortState ref="A1:AA999">
      <sortCondition ref="B1:B999"/>
    </sortState>
  </autoFilter>
  <conditionalFormatting sqref="J2:J999">
    <cfRule type="expression" dxfId="3" priority="1">
      <formula>AND($I2="Professional Billing Rate",$J2="")</formula>
    </cfRule>
  </conditionalFormatting>
  <conditionalFormatting sqref="A2:L999">
    <cfRule type="expression" dxfId="4" priority="2">
      <formula>$H2="No"</formula>
    </cfRule>
  </conditionalFormatting>
  <conditionalFormatting sqref="J2:J999">
    <cfRule type="expression" dxfId="3" priority="3">
      <formula>AND($I2="Professional Billing Rate",$J2="")</formula>
    </cfRule>
  </conditionalFormatting>
  <conditionalFormatting sqref="D2:D999">
    <cfRule type="expression" dxfId="5" priority="4">
      <formula>AND($D2&lt;&gt;"",COUNTIF($D$2:$D999,$D2)&gt;1)</formula>
    </cfRule>
  </conditionalFormatting>
  <dataValidations>
    <dataValidation type="list" allowBlank="1" showErrorMessage="1" sqref="I2:I999">
      <formula1>'Lists &amp; Settings'!$G$2:$G999</formula1>
    </dataValidation>
    <dataValidation type="list" allowBlank="1" showErrorMessage="1" sqref="G2:G999">
      <formula1>'Lists &amp; Settings'!$M$2:$M999</formula1>
    </dataValidation>
    <dataValidation type="list" allowBlank="1" showErrorMessage="1" sqref="H2:H999">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10.13"/>
    <col customWidth="1" min="3" max="3" width="9.38"/>
    <col customWidth="1" min="4" max="4" width="9.25"/>
    <col customWidth="1" min="5" max="5" width="34.5"/>
    <col customWidth="1" min="6" max="6" width="8.63"/>
    <col customWidth="1" min="7" max="7" width="19.0"/>
    <col customWidth="1" min="8" max="8" width="31.0"/>
    <col customWidth="1" min="10" max="10" width="22.13"/>
    <col customWidth="1" min="13" max="13" width="23.63"/>
    <col customWidth="1" min="16" max="16" width="13.0"/>
  </cols>
  <sheetData>
    <row r="1">
      <c r="A1" s="1" t="s">
        <v>0</v>
      </c>
      <c r="B1" s="1"/>
      <c r="C1" s="1"/>
      <c r="D1" s="1"/>
      <c r="E1" s="1"/>
      <c r="F1" s="3"/>
      <c r="G1" s="1" t="s">
        <v>3</v>
      </c>
      <c r="H1" s="1"/>
      <c r="I1" s="3"/>
      <c r="J1" s="1" t="s">
        <v>6</v>
      </c>
      <c r="K1" s="3"/>
      <c r="L1" s="3"/>
      <c r="M1" s="1" t="s">
        <v>7</v>
      </c>
      <c r="N1" s="3"/>
      <c r="O1" s="3"/>
      <c r="P1" s="1" t="s">
        <v>10</v>
      </c>
      <c r="Q1" s="3"/>
      <c r="R1" s="1" t="s">
        <v>12</v>
      </c>
      <c r="S1" s="3"/>
      <c r="T1" s="3"/>
      <c r="U1" s="3"/>
      <c r="V1" s="3"/>
      <c r="W1" s="3"/>
      <c r="X1" s="3"/>
      <c r="Y1" s="3"/>
      <c r="Z1" s="3"/>
      <c r="AA1" s="3"/>
      <c r="AB1" s="3"/>
      <c r="AC1" s="3"/>
    </row>
    <row r="2">
      <c r="A2" s="16" t="s">
        <v>24</v>
      </c>
      <c r="B2" s="16"/>
      <c r="C2" s="16"/>
      <c r="D2" s="16"/>
      <c r="E2" s="16">
        <v>35.47</v>
      </c>
      <c r="G2" s="16" t="s">
        <v>29</v>
      </c>
      <c r="J2" s="16" t="s">
        <v>32</v>
      </c>
      <c r="M2" s="16" t="s">
        <v>33</v>
      </c>
      <c r="P2" s="16" t="s">
        <v>35</v>
      </c>
      <c r="R2" s="16" t="s">
        <v>36</v>
      </c>
    </row>
    <row r="3">
      <c r="A3" s="16" t="s">
        <v>40</v>
      </c>
      <c r="B3" s="16"/>
      <c r="C3" s="16"/>
      <c r="D3" s="16"/>
      <c r="E3" s="16">
        <v>2025.0</v>
      </c>
      <c r="G3" s="16" t="s">
        <v>31</v>
      </c>
      <c r="J3" s="16" t="s">
        <v>42</v>
      </c>
      <c r="M3" s="16" t="s">
        <v>43</v>
      </c>
      <c r="P3" s="16" t="s">
        <v>44</v>
      </c>
      <c r="R3" s="16" t="s">
        <v>45</v>
      </c>
    </row>
    <row r="4">
      <c r="A4" s="16" t="s">
        <v>47</v>
      </c>
      <c r="B4" s="16"/>
      <c r="C4" s="16"/>
      <c r="D4" s="16"/>
      <c r="E4" s="16">
        <v>2026.0</v>
      </c>
      <c r="J4" s="16" t="s">
        <v>48</v>
      </c>
      <c r="M4" s="16" t="s">
        <v>49</v>
      </c>
      <c r="R4" s="16" t="s">
        <v>50</v>
      </c>
    </row>
    <row r="5">
      <c r="A5" s="16" t="s">
        <v>51</v>
      </c>
      <c r="B5" s="16"/>
      <c r="C5" s="16"/>
      <c r="D5" s="16"/>
      <c r="E5" s="16" t="s">
        <v>29</v>
      </c>
      <c r="J5" s="16" t="s">
        <v>52</v>
      </c>
      <c r="M5" s="16" t="s">
        <v>53</v>
      </c>
      <c r="R5" s="16" t="s">
        <v>54</v>
      </c>
    </row>
    <row r="6">
      <c r="M6" s="16" t="s">
        <v>55</v>
      </c>
      <c r="R6" s="16" t="s">
        <v>56</v>
      </c>
    </row>
    <row r="7">
      <c r="M7" s="16" t="s">
        <v>57</v>
      </c>
      <c r="R7" s="16" t="s">
        <v>59</v>
      </c>
    </row>
    <row r="8">
      <c r="M8" s="16" t="s">
        <v>60</v>
      </c>
      <c r="R8" s="16" t="s">
        <v>61</v>
      </c>
    </row>
    <row r="9">
      <c r="M9" s="16" t="s">
        <v>62</v>
      </c>
      <c r="R9" s="16" t="s">
        <v>63</v>
      </c>
    </row>
    <row r="10">
      <c r="M10" s="16" t="s">
        <v>65</v>
      </c>
      <c r="R10" s="16" t="s">
        <v>66</v>
      </c>
    </row>
    <row r="20">
      <c r="A20" s="1" t="s">
        <v>5</v>
      </c>
      <c r="B20" s="1" t="s">
        <v>68</v>
      </c>
      <c r="C20" s="1" t="s">
        <v>69</v>
      </c>
      <c r="D20" s="1" t="s">
        <v>71</v>
      </c>
      <c r="E20" s="1" t="s">
        <v>73</v>
      </c>
      <c r="F20" s="1" t="s">
        <v>27</v>
      </c>
      <c r="G20" s="3"/>
      <c r="H20" s="1" t="s">
        <v>76</v>
      </c>
      <c r="I20" s="3"/>
      <c r="J20" s="3"/>
      <c r="K20" s="3"/>
      <c r="L20" s="3"/>
      <c r="M20" s="3"/>
      <c r="N20" s="3"/>
      <c r="O20" s="3"/>
      <c r="P20" s="3"/>
      <c r="Q20" s="3"/>
      <c r="R20" s="3"/>
      <c r="S20" s="3"/>
      <c r="T20" s="3"/>
      <c r="U20" s="3"/>
      <c r="V20" s="3"/>
      <c r="W20" s="3"/>
      <c r="X20" s="3"/>
      <c r="Y20" s="3"/>
      <c r="Z20" s="3"/>
      <c r="AA20" s="3"/>
      <c r="AB20" s="3"/>
      <c r="AC20" s="3"/>
    </row>
    <row r="21">
      <c r="A21" s="16" t="s">
        <v>79</v>
      </c>
      <c r="B21" s="16" t="s">
        <v>81</v>
      </c>
      <c r="C21" s="16"/>
      <c r="D21" s="16"/>
      <c r="E21" s="16" t="s">
        <v>33</v>
      </c>
      <c r="F21" s="16" t="s">
        <v>87</v>
      </c>
      <c r="H21" s="38" t="str">
        <f>IFERROR(__xludf.DUMMYFUNCTION("FILTER(A21:A1001,F21:F1001=""Yes"")"),"No Specific Project")</f>
        <v>No Specific Project</v>
      </c>
    </row>
    <row r="22">
      <c r="A22" s="16" t="s">
        <v>43</v>
      </c>
      <c r="B22" s="16" t="s">
        <v>81</v>
      </c>
      <c r="C22" s="16"/>
      <c r="D22" s="16"/>
      <c r="E22" s="16" t="s">
        <v>43</v>
      </c>
      <c r="F22" s="16" t="s">
        <v>87</v>
      </c>
      <c r="H22" s="38" t="str">
        <f>IFERROR(__xludf.DUMMYFUNCTION("""COMPUTED_VALUE"""),"Literary Arts Society")</f>
        <v>Literary Arts Society</v>
      </c>
    </row>
    <row r="23">
      <c r="A23" s="16" t="s">
        <v>49</v>
      </c>
      <c r="B23" s="16" t="s">
        <v>81</v>
      </c>
      <c r="C23" s="16"/>
      <c r="D23" s="16"/>
      <c r="E23" s="16" t="s">
        <v>49</v>
      </c>
      <c r="F23" s="16" t="s">
        <v>87</v>
      </c>
      <c r="H23" s="38" t="str">
        <f>IFERROR(__xludf.DUMMYFUNCTION("""COMPUTED_VALUE"""),"Sugar Factory Playhouse")</f>
        <v>Sugar Factory Playhouse</v>
      </c>
    </row>
    <row r="24">
      <c r="A24" s="16" t="s">
        <v>53</v>
      </c>
      <c r="B24" s="16" t="s">
        <v>81</v>
      </c>
      <c r="C24" s="16"/>
      <c r="D24" s="16"/>
      <c r="E24" s="16" t="s">
        <v>53</v>
      </c>
      <c r="F24" s="16" t="s">
        <v>87</v>
      </c>
      <c r="H24" s="38" t="str">
        <f>IFERROR(__xludf.DUMMYFUNCTION("""COMPUTED_VALUE"""),"Visual Arts Society")</f>
        <v>Visual Arts Society</v>
      </c>
    </row>
    <row r="25">
      <c r="A25" s="16" t="s">
        <v>55</v>
      </c>
      <c r="B25" s="16" t="s">
        <v>81</v>
      </c>
      <c r="C25" s="16"/>
      <c r="D25" s="16"/>
      <c r="E25" s="16" t="s">
        <v>55</v>
      </c>
      <c r="F25" s="16" t="s">
        <v>87</v>
      </c>
      <c r="H25" s="38" t="str">
        <f>IFERROR(__xludf.DUMMYFUNCTION("""COMPUTED_VALUE"""),"West Jordan Community Band")</f>
        <v>West Jordan Community Band</v>
      </c>
    </row>
    <row r="26">
      <c r="A26" s="16" t="s">
        <v>57</v>
      </c>
      <c r="B26" s="16" t="s">
        <v>81</v>
      </c>
      <c r="C26" s="16"/>
      <c r="D26" s="16"/>
      <c r="E26" s="16" t="s">
        <v>57</v>
      </c>
      <c r="F26" s="16" t="s">
        <v>87</v>
      </c>
      <c r="H26" s="38" t="str">
        <f>IFERROR(__xludf.DUMMYFUNCTION("""COMPUTED_VALUE"""),"West Jordan Jazz Band")</f>
        <v>West Jordan Jazz Band</v>
      </c>
    </row>
    <row r="27">
      <c r="A27" s="16" t="s">
        <v>60</v>
      </c>
      <c r="B27" s="16" t="s">
        <v>81</v>
      </c>
      <c r="C27" s="16"/>
      <c r="D27" s="16"/>
      <c r="E27" s="16" t="s">
        <v>60</v>
      </c>
      <c r="F27" s="16" t="s">
        <v>87</v>
      </c>
      <c r="H27" s="38" t="str">
        <f>IFERROR(__xludf.DUMMYFUNCTION("""COMPUTED_VALUE"""),"West Jordan Symphony")</f>
        <v>West Jordan Symphony</v>
      </c>
    </row>
    <row r="28">
      <c r="A28" s="16" t="s">
        <v>62</v>
      </c>
      <c r="B28" s="16" t="s">
        <v>81</v>
      </c>
      <c r="C28" s="16"/>
      <c r="D28" s="16"/>
      <c r="E28" s="16" t="s">
        <v>62</v>
      </c>
      <c r="F28" s="16" t="s">
        <v>87</v>
      </c>
      <c r="H28" s="38" t="str">
        <f>IFERROR(__xludf.DUMMYFUNCTION("""COMPUTED_VALUE"""),"West Jordan Winds")</f>
        <v>West Jordan Winds</v>
      </c>
    </row>
    <row r="29">
      <c r="A29" s="16" t="s">
        <v>65</v>
      </c>
      <c r="B29" s="16" t="s">
        <v>81</v>
      </c>
      <c r="C29" s="16"/>
      <c r="D29" s="16"/>
      <c r="E29" s="16" t="s">
        <v>65</v>
      </c>
      <c r="F29" s="16" t="s">
        <v>87</v>
      </c>
      <c r="H29" s="38" t="str">
        <f>IFERROR(__xludf.DUMMYFUNCTION("""COMPUTED_VALUE"""),"West Jordan Youth Theatre")</f>
        <v>West Jordan Youth Theatre</v>
      </c>
    </row>
    <row r="30">
      <c r="A30" s="16" t="s">
        <v>106</v>
      </c>
      <c r="B30" s="16" t="s">
        <v>107</v>
      </c>
      <c r="C30" s="44">
        <v>46060.0</v>
      </c>
      <c r="D30" s="46"/>
      <c r="E30" s="16" t="s">
        <v>53</v>
      </c>
      <c r="F30" s="16" t="s">
        <v>87</v>
      </c>
      <c r="H30" s="38" t="str">
        <f>IFERROR(__xludf.DUMMYFUNCTION("""COMPUTED_VALUE"""),"American Dreams February 2026")</f>
        <v>American Dreams February 2026</v>
      </c>
    </row>
    <row r="31">
      <c r="A31" s="16" t="s">
        <v>110</v>
      </c>
      <c r="B31" s="16" t="s">
        <v>107</v>
      </c>
      <c r="C31" s="44">
        <v>46066.0</v>
      </c>
      <c r="D31" s="46"/>
      <c r="E31" s="16" t="s">
        <v>57</v>
      </c>
      <c r="F31" s="16" t="s">
        <v>87</v>
      </c>
      <c r="H31" s="38" t="str">
        <f>IFERROR(__xludf.DUMMYFUNCTION("""COMPUTED_VALUE"""),"Valentine's Concert February 2026")</f>
        <v>Valentine's Concert February 2026</v>
      </c>
    </row>
    <row r="32">
      <c r="A32" s="16" t="s">
        <v>111</v>
      </c>
      <c r="B32" s="16" t="s">
        <v>107</v>
      </c>
      <c r="C32" s="44">
        <v>46073.0</v>
      </c>
      <c r="D32" s="46"/>
      <c r="E32" s="16" t="s">
        <v>65</v>
      </c>
      <c r="F32" s="16" t="s">
        <v>87</v>
      </c>
      <c r="H32" s="38" t="str">
        <f>IFERROR(__xludf.DUMMYFUNCTION("""COMPUTED_VALUE"""),"Mid-Winter Concert February 2026")</f>
        <v>Mid-Winter Concert February 2026</v>
      </c>
    </row>
    <row r="33">
      <c r="A33" s="16" t="s">
        <v>113</v>
      </c>
      <c r="B33" s="16" t="s">
        <v>107</v>
      </c>
      <c r="C33" s="44">
        <v>46081.0</v>
      </c>
      <c r="D33" s="46"/>
      <c r="E33" s="16" t="s">
        <v>60</v>
      </c>
      <c r="F33" s="16" t="s">
        <v>87</v>
      </c>
      <c r="H33" s="38" t="str">
        <f>IFERROR(__xludf.DUMMYFUNCTION("""COMPUTED_VALUE"""),"Solo &amp; Ensemble Showcase February 2026")</f>
        <v>Solo &amp; Ensemble Showcase February 2026</v>
      </c>
    </row>
    <row r="34">
      <c r="A34" s="16" t="s">
        <v>115</v>
      </c>
      <c r="B34" s="16" t="s">
        <v>107</v>
      </c>
      <c r="C34" s="44">
        <v>46100.0</v>
      </c>
      <c r="D34" s="44">
        <v>46109.0</v>
      </c>
      <c r="E34" s="16" t="s">
        <v>49</v>
      </c>
      <c r="F34" s="16" t="s">
        <v>87</v>
      </c>
      <c r="H34" s="38" t="str">
        <f>IFERROR(__xludf.DUMMYFUNCTION("""COMPUTED_VALUE"""),"A Midsummer Night's Dream March 2026")</f>
        <v>A Midsummer Night's Dream March 2026</v>
      </c>
    </row>
    <row r="35">
      <c r="A35" s="16" t="s">
        <v>116</v>
      </c>
      <c r="B35" s="16" t="s">
        <v>107</v>
      </c>
      <c r="C35" s="44">
        <v>46113.0</v>
      </c>
      <c r="D35" s="46"/>
      <c r="E35" s="16" t="s">
        <v>55</v>
      </c>
      <c r="F35" s="16" t="s">
        <v>87</v>
      </c>
      <c r="H35" s="38" t="str">
        <f>IFERROR(__xludf.DUMMYFUNCTION("""COMPUTED_VALUE"""),"Spring Concert April 2026")</f>
        <v>Spring Concert April 2026</v>
      </c>
    </row>
    <row r="36">
      <c r="A36" s="16" t="s">
        <v>117</v>
      </c>
      <c r="B36" s="16" t="s">
        <v>107</v>
      </c>
      <c r="C36" s="44">
        <v>46113.0</v>
      </c>
      <c r="D36" s="46"/>
      <c r="E36" s="16" t="s">
        <v>62</v>
      </c>
      <c r="F36" s="16" t="s">
        <v>87</v>
      </c>
      <c r="H36" s="38" t="str">
        <f>IFERROR(__xludf.DUMMYFUNCTION("""COMPUTED_VALUE"""),"Spring Concert - April 2026")</f>
        <v>Spring Concert - April 2026</v>
      </c>
    </row>
    <row r="37">
      <c r="A37" s="16" t="s">
        <v>120</v>
      </c>
      <c r="B37" s="16" t="s">
        <v>107</v>
      </c>
      <c r="C37" s="44">
        <v>46129.0</v>
      </c>
      <c r="D37" s="44">
        <v>46137.0</v>
      </c>
      <c r="E37" s="16" t="s">
        <v>65</v>
      </c>
      <c r="F37" s="16" t="s">
        <v>87</v>
      </c>
      <c r="H37" s="38" t="str">
        <f>IFERROR(__xludf.DUMMYFUNCTION("""COMPUTED_VALUE"""),"Into the Woods - April 2026")</f>
        <v>Into the Woods - April 2026</v>
      </c>
    </row>
    <row r="38">
      <c r="A38" s="16" t="s">
        <v>121</v>
      </c>
      <c r="B38" s="16" t="s">
        <v>107</v>
      </c>
      <c r="C38" s="44">
        <v>46144.0</v>
      </c>
      <c r="D38" s="46"/>
      <c r="E38" s="16" t="s">
        <v>53</v>
      </c>
      <c r="F38" s="16" t="s">
        <v>87</v>
      </c>
      <c r="H38" s="38" t="str">
        <f>IFERROR(__xludf.DUMMYFUNCTION("""COMPUTED_VALUE"""),"Art in the Park - May 2026")</f>
        <v>Art in the Park - May 2026</v>
      </c>
    </row>
    <row r="39">
      <c r="A39" s="16" t="s">
        <v>122</v>
      </c>
      <c r="B39" s="16" t="s">
        <v>107</v>
      </c>
      <c r="C39" s="44">
        <v>46143.0</v>
      </c>
      <c r="D39" s="46"/>
      <c r="E39" s="16" t="s">
        <v>57</v>
      </c>
      <c r="F39" s="16" t="s">
        <v>87</v>
      </c>
      <c r="H39" s="38" t="str">
        <f>IFERROR(__xludf.DUMMYFUNCTION("""COMPUTED_VALUE"""),"Summer Concert - May 2026")</f>
        <v>Summer Concert - May 2026</v>
      </c>
    </row>
    <row r="40">
      <c r="A40" s="16" t="s">
        <v>123</v>
      </c>
      <c r="B40" s="16" t="s">
        <v>107</v>
      </c>
      <c r="C40" s="44">
        <v>46171.0</v>
      </c>
      <c r="D40" s="46"/>
      <c r="E40" s="16" t="s">
        <v>55</v>
      </c>
      <c r="F40" s="16" t="s">
        <v>87</v>
      </c>
      <c r="H40" s="38" t="str">
        <f>IFERROR(__xludf.DUMMYFUNCTION("""COMPUTED_VALUE"""),"Summer Pops Concert - May 2026")</f>
        <v>Summer Pops Concert - May 2026</v>
      </c>
    </row>
    <row r="41">
      <c r="A41" s="16" t="s">
        <v>125</v>
      </c>
      <c r="B41" s="16" t="s">
        <v>107</v>
      </c>
      <c r="C41" s="44">
        <v>46172.0</v>
      </c>
      <c r="D41" s="46"/>
      <c r="E41" s="16" t="s">
        <v>60</v>
      </c>
      <c r="F41" s="16" t="s">
        <v>87</v>
      </c>
      <c r="H41" s="38" t="str">
        <f>IFERROR(__xludf.DUMMYFUNCTION("""COMPUTED_VALUE"""),"Generations - A Masterworks Performance - May 2026")</f>
        <v>Generations - A Masterworks Performance - May 2026</v>
      </c>
    </row>
    <row r="42">
      <c r="A42" s="16" t="s">
        <v>127</v>
      </c>
      <c r="B42" s="16" t="s">
        <v>107</v>
      </c>
      <c r="C42" s="44">
        <v>46191.0</v>
      </c>
      <c r="D42" s="44">
        <v>46200.0</v>
      </c>
      <c r="E42" s="16" t="s">
        <v>49</v>
      </c>
      <c r="F42" s="16" t="s">
        <v>87</v>
      </c>
      <c r="H42" s="38" t="str">
        <f>IFERROR(__xludf.DUMMYFUNCTION("""COMPUTED_VALUE"""),"Footloose June 2026")</f>
        <v>Footloose June 2026</v>
      </c>
    </row>
    <row r="43">
      <c r="A43" s="16" t="s">
        <v>128</v>
      </c>
      <c r="B43" s="16" t="s">
        <v>107</v>
      </c>
      <c r="C43" s="44">
        <v>46204.0</v>
      </c>
      <c r="D43" s="46"/>
      <c r="E43" s="16" t="s">
        <v>60</v>
      </c>
      <c r="F43" s="16" t="s">
        <v>87</v>
      </c>
      <c r="H43" s="38" t="str">
        <f>IFERROR(__xludf.DUMMYFUNCTION("""COMPUTED_VALUE"""),"Mixtape Vol. 1 Road Trip - July 2026")</f>
        <v>Mixtape Vol. 1 Road Trip - July 2026</v>
      </c>
    </row>
    <row r="44">
      <c r="A44" s="16" t="s">
        <v>129</v>
      </c>
      <c r="B44" s="16" t="s">
        <v>107</v>
      </c>
      <c r="C44" s="44">
        <v>46234.0</v>
      </c>
      <c r="D44" s="44">
        <v>46242.0</v>
      </c>
      <c r="E44" s="16" t="s">
        <v>65</v>
      </c>
      <c r="F44" s="16" t="s">
        <v>87</v>
      </c>
      <c r="H44" s="38" t="str">
        <f>IFERROR(__xludf.DUMMYFUNCTION("""COMPUTED_VALUE"""),"Frozen July &amp; August 2026")</f>
        <v>Frozen July &amp; August 2026</v>
      </c>
    </row>
    <row r="45">
      <c r="A45" s="16" t="s">
        <v>131</v>
      </c>
      <c r="B45" s="16" t="s">
        <v>107</v>
      </c>
      <c r="C45" s="44">
        <v>46282.0</v>
      </c>
      <c r="D45" s="44">
        <v>46291.0</v>
      </c>
      <c r="E45" s="16" t="s">
        <v>49</v>
      </c>
      <c r="F45" s="16" t="s">
        <v>87</v>
      </c>
      <c r="H45" s="38" t="str">
        <f>IFERROR(__xludf.DUMMYFUNCTION("""COMPUTED_VALUE"""),"Hound of the Baskervilles September 2026")</f>
        <v>Hound of the Baskervilles September 2026</v>
      </c>
    </row>
    <row r="46">
      <c r="A46" s="16" t="s">
        <v>133</v>
      </c>
      <c r="B46" s="16" t="s">
        <v>107</v>
      </c>
      <c r="C46" s="44">
        <v>46291.0</v>
      </c>
      <c r="D46" s="46"/>
      <c r="E46" s="16" t="s">
        <v>53</v>
      </c>
      <c r="F46" s="16" t="s">
        <v>87</v>
      </c>
      <c r="H46" s="38" t="str">
        <f>IFERROR(__xludf.DUMMYFUNCTION("""COMPUTED_VALUE"""),"Plein Air 2026")</f>
        <v>Plein Air 2026</v>
      </c>
    </row>
    <row r="47">
      <c r="A47" s="16" t="s">
        <v>134</v>
      </c>
      <c r="B47" s="16" t="s">
        <v>107</v>
      </c>
      <c r="C47" s="44">
        <v>46297.0</v>
      </c>
      <c r="D47" s="46"/>
      <c r="E47" s="16" t="s">
        <v>60</v>
      </c>
      <c r="F47" s="16" t="s">
        <v>87</v>
      </c>
      <c r="H47" s="38" t="str">
        <f>IFERROR(__xludf.DUMMYFUNCTION("""COMPUTED_VALUE"""),"First/Final Concert October 2026")</f>
        <v>First/Final Concert October 2026</v>
      </c>
    </row>
    <row r="48">
      <c r="A48" s="16" t="s">
        <v>135</v>
      </c>
      <c r="B48" s="16" t="s">
        <v>107</v>
      </c>
      <c r="C48" s="44">
        <v>46305.0</v>
      </c>
      <c r="D48" s="46"/>
      <c r="E48" s="16" t="s">
        <v>60</v>
      </c>
      <c r="F48" s="16" t="s">
        <v>87</v>
      </c>
      <c r="H48" s="38" t="str">
        <f>IFERROR(__xludf.DUMMYFUNCTION("""COMPUTED_VALUE"""),"Into the Stars October 2026")</f>
        <v>Into the Stars October 2026</v>
      </c>
    </row>
    <row r="49">
      <c r="A49" s="16" t="s">
        <v>138</v>
      </c>
      <c r="B49" s="16" t="s">
        <v>107</v>
      </c>
      <c r="C49" s="44">
        <v>46310.0</v>
      </c>
      <c r="D49" s="46"/>
      <c r="E49" s="16" t="s">
        <v>55</v>
      </c>
      <c r="F49" s="16" t="s">
        <v>87</v>
      </c>
      <c r="H49" s="38" t="str">
        <f>IFERROR(__xludf.DUMMYFUNCTION("""COMPUTED_VALUE"""),"Fall Concert 2026")</f>
        <v>Fall Concert 2026</v>
      </c>
    </row>
    <row r="50">
      <c r="A50" s="16" t="s">
        <v>139</v>
      </c>
      <c r="B50" s="16" t="s">
        <v>107</v>
      </c>
      <c r="C50" s="44">
        <v>46332.0</v>
      </c>
      <c r="D50" s="44">
        <v>46340.0</v>
      </c>
      <c r="E50" s="16" t="s">
        <v>65</v>
      </c>
      <c r="F50" s="16" t="s">
        <v>87</v>
      </c>
      <c r="H50" s="38" t="str">
        <f>IFERROR(__xludf.DUMMYFUNCTION("""COMPUTED_VALUE"""),"Matilda November 2026")</f>
        <v>Matilda November 2026</v>
      </c>
    </row>
    <row r="51">
      <c r="A51" s="16" t="s">
        <v>140</v>
      </c>
      <c r="B51" s="16" t="s">
        <v>107</v>
      </c>
      <c r="C51" s="46"/>
      <c r="D51" s="46"/>
      <c r="E51" s="16" t="s">
        <v>43</v>
      </c>
      <c r="F51" s="16" t="s">
        <v>87</v>
      </c>
      <c r="H51" s="38" t="str">
        <f>IFERROR(__xludf.DUMMYFUNCTION("""COMPUTED_VALUE"""),"Utah Readers Fest 2026")</f>
        <v>Utah Readers Fest 2026</v>
      </c>
    </row>
    <row r="52">
      <c r="A52" s="16" t="s">
        <v>141</v>
      </c>
      <c r="B52" s="16" t="s">
        <v>107</v>
      </c>
      <c r="C52" s="46"/>
      <c r="D52" s="46"/>
      <c r="E52" s="16" t="s">
        <v>43</v>
      </c>
      <c r="F52" s="16" t="s">
        <v>87</v>
      </c>
      <c r="H52" s="38" t="str">
        <f>IFERROR(__xludf.DUMMYFUNCTION("""COMPUTED_VALUE"""),"Anthology 2026")</f>
        <v>Anthology 2026</v>
      </c>
    </row>
    <row r="53">
      <c r="A53" s="16" t="s">
        <v>144</v>
      </c>
      <c r="B53" s="16" t="s">
        <v>107</v>
      </c>
      <c r="C53" s="44"/>
      <c r="D53" s="46"/>
      <c r="E53" s="16" t="s">
        <v>49</v>
      </c>
      <c r="F53" s="16" t="s">
        <v>87</v>
      </c>
      <c r="H53" s="38" t="str">
        <f>IFERROR(__xludf.DUMMYFUNCTION("""COMPUTED_VALUE"""),"The Man Who Came to Dinner - December 2026")</f>
        <v>The Man Who Came to Dinner - December 2026</v>
      </c>
    </row>
    <row r="54">
      <c r="A54" s="16" t="s">
        <v>145</v>
      </c>
      <c r="B54" s="16" t="s">
        <v>107</v>
      </c>
      <c r="C54" s="44"/>
      <c r="D54" s="46"/>
      <c r="E54" s="16" t="s">
        <v>57</v>
      </c>
      <c r="F54" s="16" t="s">
        <v>87</v>
      </c>
      <c r="H54" s="38" t="str">
        <f>IFERROR(__xludf.DUMMYFUNCTION("""COMPUTED_VALUE"""),"Holiday Concert - December 2026")</f>
        <v>Holiday Concert - December 2026</v>
      </c>
    </row>
    <row r="55">
      <c r="A55" s="16" t="s">
        <v>146</v>
      </c>
      <c r="B55" s="16" t="s">
        <v>107</v>
      </c>
      <c r="C55" s="44">
        <v>46376.0</v>
      </c>
      <c r="D55" s="46"/>
      <c r="E55" s="16" t="s">
        <v>60</v>
      </c>
      <c r="F55" s="16" t="s">
        <v>87</v>
      </c>
      <c r="H55" s="38" t="str">
        <f>IFERROR(__xludf.DUMMYFUNCTION("""COMPUTED_VALUE"""),"Messiah - December 2026")</f>
        <v>Messiah - December 2026</v>
      </c>
    </row>
    <row r="56">
      <c r="B56" s="16"/>
      <c r="E56" s="38"/>
      <c r="F56" s="38"/>
    </row>
    <row r="57">
      <c r="E57" s="38"/>
      <c r="F57" s="38"/>
    </row>
    <row r="58">
      <c r="E58" s="38"/>
      <c r="F58" s="38"/>
    </row>
    <row r="59">
      <c r="E59" s="38"/>
      <c r="F59" s="38"/>
    </row>
    <row r="60">
      <c r="E60" s="38"/>
      <c r="F60" s="38"/>
    </row>
    <row r="61">
      <c r="E61" s="38"/>
      <c r="F61" s="38"/>
    </row>
    <row r="62">
      <c r="E62" s="38"/>
      <c r="F62" s="38"/>
    </row>
    <row r="63">
      <c r="E63" s="38"/>
      <c r="F63" s="38"/>
    </row>
    <row r="64">
      <c r="E64" s="38"/>
      <c r="F64" s="38"/>
    </row>
    <row r="65">
      <c r="E65" s="38"/>
      <c r="F65" s="38"/>
    </row>
    <row r="66">
      <c r="E66" s="38"/>
      <c r="F66" s="38"/>
    </row>
    <row r="67">
      <c r="E67" s="38"/>
      <c r="F67" s="38"/>
    </row>
    <row r="68">
      <c r="E68" s="38"/>
      <c r="F68" s="38"/>
    </row>
    <row r="69">
      <c r="E69" s="38"/>
      <c r="F69" s="38"/>
    </row>
    <row r="70">
      <c r="E70" s="38"/>
      <c r="F70" s="38"/>
    </row>
    <row r="71">
      <c r="E71" s="38"/>
      <c r="F71" s="38"/>
    </row>
    <row r="72">
      <c r="E72" s="38"/>
      <c r="F72" s="38"/>
    </row>
    <row r="73">
      <c r="E73" s="38"/>
      <c r="F73" s="38"/>
    </row>
    <row r="74">
      <c r="E74" s="38"/>
      <c r="F74" s="38"/>
    </row>
    <row r="75">
      <c r="E75" s="38"/>
      <c r="F75" s="38"/>
    </row>
    <row r="76">
      <c r="E76" s="38"/>
      <c r="F76" s="38"/>
    </row>
    <row r="77">
      <c r="E77" s="38"/>
      <c r="F77" s="38"/>
    </row>
    <row r="78">
      <c r="E78" s="38"/>
      <c r="F78" s="38"/>
    </row>
    <row r="79">
      <c r="E79" s="38"/>
      <c r="F79" s="38"/>
    </row>
    <row r="80">
      <c r="E80" s="38"/>
      <c r="F80" s="38"/>
    </row>
    <row r="81">
      <c r="E81" s="38"/>
      <c r="F81" s="38"/>
    </row>
    <row r="82">
      <c r="E82" s="38"/>
      <c r="F82" s="38"/>
    </row>
    <row r="83">
      <c r="E83" s="38"/>
      <c r="F83" s="38"/>
    </row>
    <row r="84">
      <c r="E84" s="38"/>
      <c r="F84" s="38"/>
    </row>
    <row r="85">
      <c r="E85" s="38"/>
      <c r="F85" s="38"/>
    </row>
    <row r="86">
      <c r="E86" s="38"/>
      <c r="F86" s="38"/>
    </row>
    <row r="87">
      <c r="E87" s="38"/>
      <c r="F87" s="38"/>
    </row>
    <row r="88">
      <c r="E88" s="38"/>
      <c r="F88" s="38"/>
    </row>
    <row r="89">
      <c r="E89" s="38"/>
      <c r="F89" s="38"/>
    </row>
    <row r="90">
      <c r="E90" s="38"/>
      <c r="F90" s="38"/>
    </row>
    <row r="91">
      <c r="E91" s="38"/>
      <c r="F91" s="38"/>
    </row>
    <row r="92">
      <c r="E92" s="38"/>
      <c r="F92" s="38"/>
    </row>
    <row r="93">
      <c r="E93" s="38"/>
      <c r="F93" s="38"/>
    </row>
    <row r="94">
      <c r="E94" s="38"/>
      <c r="F94" s="38"/>
    </row>
    <row r="95">
      <c r="E95" s="38"/>
      <c r="F95" s="38"/>
    </row>
    <row r="96">
      <c r="E96" s="38"/>
      <c r="F96" s="38"/>
    </row>
    <row r="97">
      <c r="E97" s="38"/>
      <c r="F97" s="38"/>
    </row>
    <row r="98">
      <c r="E98" s="38"/>
      <c r="F98" s="38"/>
    </row>
    <row r="99">
      <c r="E99" s="38"/>
      <c r="F99" s="38"/>
    </row>
    <row r="100">
      <c r="E100" s="38"/>
      <c r="F100" s="38"/>
    </row>
    <row r="101">
      <c r="E101" s="38"/>
      <c r="F101" s="38"/>
    </row>
    <row r="102">
      <c r="E102" s="38"/>
      <c r="F102" s="38"/>
    </row>
    <row r="103">
      <c r="E103" s="38"/>
      <c r="F103" s="38"/>
    </row>
    <row r="104">
      <c r="E104" s="38"/>
      <c r="F104" s="38"/>
    </row>
    <row r="105">
      <c r="E105" s="38"/>
      <c r="F105" s="38"/>
    </row>
    <row r="106">
      <c r="E106" s="38"/>
      <c r="F106" s="38"/>
    </row>
    <row r="107">
      <c r="E107" s="38"/>
      <c r="F107" s="38"/>
    </row>
    <row r="108">
      <c r="E108" s="38"/>
      <c r="F108" s="38"/>
    </row>
    <row r="109">
      <c r="E109" s="38"/>
      <c r="F109" s="38"/>
    </row>
    <row r="110">
      <c r="E110" s="38"/>
      <c r="F110" s="38"/>
    </row>
    <row r="111">
      <c r="E111" s="38"/>
      <c r="F111" s="38"/>
    </row>
    <row r="112">
      <c r="E112" s="38"/>
      <c r="F112" s="38"/>
    </row>
    <row r="113">
      <c r="E113" s="38"/>
      <c r="F113" s="38"/>
    </row>
    <row r="114">
      <c r="E114" s="38"/>
      <c r="F114" s="38"/>
    </row>
    <row r="115">
      <c r="E115" s="38"/>
      <c r="F115" s="38"/>
    </row>
    <row r="116">
      <c r="E116" s="38"/>
      <c r="F116" s="38"/>
    </row>
    <row r="117">
      <c r="E117" s="38"/>
      <c r="F117" s="38"/>
    </row>
    <row r="118">
      <c r="E118" s="38"/>
      <c r="F118" s="38"/>
    </row>
    <row r="119">
      <c r="E119" s="38"/>
      <c r="F119" s="38"/>
    </row>
    <row r="120">
      <c r="E120" s="38"/>
      <c r="F120" s="38"/>
    </row>
    <row r="121">
      <c r="E121" s="38"/>
      <c r="F121" s="38"/>
    </row>
    <row r="122">
      <c r="E122" s="38"/>
      <c r="F122" s="38"/>
    </row>
    <row r="123">
      <c r="E123" s="38"/>
      <c r="F123" s="38"/>
    </row>
    <row r="124">
      <c r="E124" s="38"/>
      <c r="F124" s="38"/>
    </row>
    <row r="125">
      <c r="E125" s="38"/>
      <c r="F125" s="38"/>
    </row>
    <row r="126">
      <c r="E126" s="38"/>
      <c r="F126" s="38"/>
    </row>
    <row r="127">
      <c r="E127" s="38"/>
      <c r="F127" s="38"/>
    </row>
    <row r="128">
      <c r="E128" s="38"/>
      <c r="F128" s="38"/>
    </row>
    <row r="129">
      <c r="E129" s="38"/>
      <c r="F129" s="38"/>
    </row>
    <row r="130">
      <c r="E130" s="38"/>
      <c r="F130" s="38"/>
    </row>
    <row r="131">
      <c r="E131" s="38"/>
      <c r="F131" s="38"/>
    </row>
    <row r="132">
      <c r="E132" s="38"/>
      <c r="F132" s="38"/>
    </row>
    <row r="133">
      <c r="E133" s="38"/>
      <c r="F133" s="38"/>
    </row>
    <row r="134">
      <c r="E134" s="38"/>
      <c r="F134" s="38"/>
    </row>
    <row r="135">
      <c r="E135" s="38"/>
      <c r="F135" s="38"/>
    </row>
    <row r="136">
      <c r="E136" s="38"/>
      <c r="F136" s="38"/>
    </row>
    <row r="137">
      <c r="E137" s="38"/>
      <c r="F137" s="38"/>
    </row>
    <row r="138">
      <c r="E138" s="38"/>
      <c r="F138" s="38"/>
    </row>
    <row r="139">
      <c r="E139" s="38"/>
      <c r="F139" s="38"/>
    </row>
    <row r="140">
      <c r="E140" s="38"/>
      <c r="F140" s="38"/>
    </row>
    <row r="141">
      <c r="E141" s="38"/>
      <c r="F141" s="38"/>
    </row>
    <row r="142">
      <c r="E142" s="38"/>
      <c r="F142" s="38"/>
    </row>
    <row r="143">
      <c r="E143" s="38"/>
      <c r="F143" s="38"/>
    </row>
    <row r="144">
      <c r="E144" s="38"/>
      <c r="F144" s="38"/>
    </row>
    <row r="145">
      <c r="E145" s="38"/>
      <c r="F145" s="38"/>
    </row>
    <row r="146">
      <c r="E146" s="38"/>
      <c r="F146" s="38"/>
    </row>
    <row r="147">
      <c r="E147" s="38"/>
      <c r="F147" s="38"/>
    </row>
    <row r="148">
      <c r="E148" s="38"/>
      <c r="F148" s="38"/>
    </row>
    <row r="149">
      <c r="E149" s="38"/>
      <c r="F149" s="38"/>
    </row>
    <row r="150">
      <c r="E150" s="38"/>
      <c r="F150" s="38"/>
    </row>
    <row r="151">
      <c r="E151" s="38"/>
      <c r="F151" s="38"/>
    </row>
    <row r="152">
      <c r="E152" s="38"/>
      <c r="F152" s="38"/>
    </row>
    <row r="153">
      <c r="E153" s="38"/>
      <c r="F153" s="38"/>
    </row>
    <row r="154">
      <c r="E154" s="38"/>
      <c r="F154" s="38"/>
    </row>
    <row r="155">
      <c r="E155" s="38"/>
      <c r="F155" s="38"/>
    </row>
    <row r="156">
      <c r="E156" s="38"/>
      <c r="F156" s="38"/>
    </row>
    <row r="157">
      <c r="E157" s="38"/>
      <c r="F157" s="38"/>
    </row>
    <row r="158">
      <c r="E158" s="38"/>
      <c r="F158" s="38"/>
    </row>
    <row r="159">
      <c r="E159" s="38"/>
      <c r="F159" s="38"/>
    </row>
    <row r="160">
      <c r="E160" s="38"/>
      <c r="F160" s="38"/>
    </row>
    <row r="161">
      <c r="E161" s="38"/>
      <c r="F161" s="38"/>
    </row>
    <row r="162">
      <c r="E162" s="38"/>
      <c r="F162" s="38"/>
    </row>
    <row r="163">
      <c r="E163" s="38"/>
      <c r="F163" s="38"/>
    </row>
    <row r="164">
      <c r="E164" s="38"/>
      <c r="F164" s="38"/>
    </row>
    <row r="165">
      <c r="E165" s="38"/>
      <c r="F165" s="38"/>
    </row>
    <row r="166">
      <c r="E166" s="38"/>
      <c r="F166" s="38"/>
    </row>
    <row r="167">
      <c r="E167" s="38"/>
      <c r="F167" s="38"/>
    </row>
    <row r="168">
      <c r="E168" s="38"/>
      <c r="F168" s="38"/>
    </row>
    <row r="169">
      <c r="E169" s="38"/>
      <c r="F169" s="38"/>
    </row>
    <row r="170">
      <c r="E170" s="38"/>
      <c r="F170" s="38"/>
    </row>
    <row r="171">
      <c r="E171" s="38"/>
      <c r="F171" s="38"/>
    </row>
    <row r="172">
      <c r="E172" s="38"/>
      <c r="F172" s="38"/>
    </row>
    <row r="173">
      <c r="E173" s="38"/>
      <c r="F173" s="38"/>
    </row>
    <row r="174">
      <c r="E174" s="38"/>
      <c r="F174" s="38"/>
    </row>
    <row r="175">
      <c r="E175" s="38"/>
      <c r="F175" s="38"/>
    </row>
    <row r="176">
      <c r="E176" s="38"/>
      <c r="F176" s="38"/>
    </row>
    <row r="177">
      <c r="E177" s="38"/>
      <c r="F177" s="38"/>
    </row>
    <row r="178">
      <c r="E178" s="38"/>
      <c r="F178" s="38"/>
    </row>
    <row r="179">
      <c r="E179" s="38"/>
      <c r="F179" s="38"/>
    </row>
    <row r="180">
      <c r="E180" s="38"/>
      <c r="F180" s="38"/>
    </row>
    <row r="181">
      <c r="E181" s="38"/>
      <c r="F181" s="38"/>
    </row>
    <row r="182">
      <c r="E182" s="38"/>
      <c r="F182" s="38"/>
    </row>
    <row r="183">
      <c r="E183" s="38"/>
      <c r="F183" s="38"/>
    </row>
    <row r="184">
      <c r="E184" s="38"/>
      <c r="F184" s="38"/>
    </row>
    <row r="185">
      <c r="E185" s="38"/>
      <c r="F185" s="38"/>
    </row>
    <row r="186">
      <c r="E186" s="38"/>
      <c r="F186" s="38"/>
    </row>
    <row r="187">
      <c r="E187" s="38"/>
      <c r="F187" s="38"/>
    </row>
    <row r="188">
      <c r="E188" s="38"/>
      <c r="F188" s="38"/>
    </row>
    <row r="189">
      <c r="E189" s="38"/>
      <c r="F189" s="38"/>
    </row>
    <row r="190">
      <c r="E190" s="38"/>
      <c r="F190" s="38"/>
    </row>
    <row r="191">
      <c r="E191" s="38"/>
      <c r="F191" s="38"/>
    </row>
    <row r="192">
      <c r="E192" s="38"/>
      <c r="F192" s="38"/>
    </row>
    <row r="193">
      <c r="E193" s="38"/>
      <c r="F193" s="38"/>
    </row>
    <row r="194">
      <c r="E194" s="38"/>
      <c r="F194" s="38"/>
    </row>
    <row r="195">
      <c r="E195" s="38"/>
      <c r="F195" s="38"/>
    </row>
    <row r="196">
      <c r="E196" s="38"/>
      <c r="F196" s="38"/>
    </row>
    <row r="197">
      <c r="E197" s="38"/>
      <c r="F197" s="38"/>
    </row>
    <row r="198">
      <c r="E198" s="38"/>
      <c r="F198" s="38"/>
    </row>
    <row r="199">
      <c r="E199" s="38"/>
      <c r="F199" s="38"/>
    </row>
    <row r="200">
      <c r="E200" s="38"/>
      <c r="F200" s="38"/>
    </row>
    <row r="201">
      <c r="E201" s="38"/>
      <c r="F201" s="38"/>
    </row>
    <row r="202">
      <c r="E202" s="38"/>
      <c r="F202" s="38"/>
    </row>
    <row r="203">
      <c r="E203" s="38"/>
      <c r="F203" s="38"/>
    </row>
    <row r="204">
      <c r="E204" s="38"/>
      <c r="F204" s="38"/>
    </row>
    <row r="205">
      <c r="E205" s="38"/>
      <c r="F205" s="38"/>
    </row>
    <row r="206">
      <c r="E206" s="38"/>
      <c r="F206" s="38"/>
    </row>
    <row r="207">
      <c r="E207" s="38"/>
      <c r="F207" s="38"/>
    </row>
    <row r="208">
      <c r="E208" s="38"/>
      <c r="F208" s="38"/>
    </row>
    <row r="209">
      <c r="E209" s="38"/>
      <c r="F209" s="38"/>
    </row>
    <row r="210">
      <c r="E210" s="38"/>
      <c r="F210" s="38"/>
    </row>
    <row r="211">
      <c r="E211" s="38"/>
      <c r="F211" s="38"/>
    </row>
    <row r="212">
      <c r="E212" s="38"/>
      <c r="F212" s="38"/>
    </row>
    <row r="213">
      <c r="E213" s="38"/>
      <c r="F213" s="38"/>
    </row>
    <row r="214">
      <c r="E214" s="38"/>
      <c r="F214" s="38"/>
    </row>
    <row r="215">
      <c r="E215" s="38"/>
      <c r="F215" s="38"/>
    </row>
    <row r="216">
      <c r="E216" s="38"/>
      <c r="F216" s="38"/>
    </row>
    <row r="217">
      <c r="E217" s="38"/>
      <c r="F217" s="38"/>
    </row>
    <row r="218">
      <c r="E218" s="38"/>
      <c r="F218" s="38"/>
    </row>
    <row r="219">
      <c r="E219" s="38"/>
      <c r="F219" s="38"/>
    </row>
    <row r="220">
      <c r="E220" s="38"/>
      <c r="F220" s="38"/>
    </row>
    <row r="221">
      <c r="E221" s="38"/>
      <c r="F221" s="38"/>
    </row>
    <row r="222">
      <c r="E222" s="38"/>
      <c r="F222" s="38"/>
    </row>
    <row r="223">
      <c r="E223" s="38"/>
      <c r="F223" s="38"/>
    </row>
    <row r="224">
      <c r="E224" s="38"/>
      <c r="F224" s="38"/>
    </row>
    <row r="225">
      <c r="E225" s="38"/>
      <c r="F225" s="38"/>
    </row>
    <row r="226">
      <c r="E226" s="38"/>
      <c r="F226" s="38"/>
    </row>
    <row r="227">
      <c r="E227" s="38"/>
      <c r="F227" s="38"/>
    </row>
    <row r="228">
      <c r="E228" s="38"/>
      <c r="F228" s="38"/>
    </row>
    <row r="229">
      <c r="E229" s="38"/>
      <c r="F229" s="38"/>
    </row>
    <row r="230">
      <c r="E230" s="38"/>
      <c r="F230" s="38"/>
    </row>
    <row r="231">
      <c r="E231" s="38"/>
      <c r="F231" s="38"/>
    </row>
    <row r="232">
      <c r="E232" s="38"/>
      <c r="F232" s="38"/>
    </row>
    <row r="233">
      <c r="E233" s="38"/>
      <c r="F233" s="38"/>
    </row>
    <row r="234">
      <c r="E234" s="38"/>
      <c r="F234" s="38"/>
    </row>
    <row r="235">
      <c r="E235" s="38"/>
      <c r="F235" s="38"/>
    </row>
    <row r="236">
      <c r="E236" s="38"/>
      <c r="F236" s="38"/>
    </row>
    <row r="237">
      <c r="E237" s="38"/>
      <c r="F237" s="38"/>
    </row>
    <row r="238">
      <c r="E238" s="38"/>
      <c r="F238" s="38"/>
    </row>
    <row r="239">
      <c r="E239" s="38"/>
      <c r="F239" s="38"/>
    </row>
    <row r="240">
      <c r="E240" s="38"/>
      <c r="F240" s="38"/>
    </row>
    <row r="241">
      <c r="E241" s="38"/>
      <c r="F241" s="38"/>
    </row>
    <row r="242">
      <c r="E242" s="38"/>
      <c r="F242" s="38"/>
    </row>
    <row r="243">
      <c r="E243" s="38"/>
      <c r="F243" s="38"/>
    </row>
    <row r="244">
      <c r="E244" s="38"/>
      <c r="F244" s="38"/>
    </row>
    <row r="245">
      <c r="E245" s="38"/>
      <c r="F245" s="38"/>
    </row>
    <row r="246">
      <c r="E246" s="38"/>
      <c r="F246" s="38"/>
    </row>
    <row r="247">
      <c r="E247" s="38"/>
      <c r="F247" s="38"/>
    </row>
    <row r="248">
      <c r="E248" s="38"/>
      <c r="F248" s="38"/>
    </row>
    <row r="249">
      <c r="E249" s="38"/>
      <c r="F249" s="38"/>
    </row>
    <row r="250">
      <c r="E250" s="38"/>
      <c r="F250" s="38"/>
    </row>
    <row r="251">
      <c r="E251" s="38"/>
      <c r="F251" s="38"/>
    </row>
    <row r="252">
      <c r="E252" s="38"/>
      <c r="F252" s="38"/>
    </row>
    <row r="253">
      <c r="E253" s="38"/>
      <c r="F253" s="38"/>
    </row>
    <row r="254">
      <c r="E254" s="38"/>
      <c r="F254" s="38"/>
    </row>
    <row r="255">
      <c r="E255" s="38"/>
      <c r="F255" s="38"/>
    </row>
    <row r="256">
      <c r="E256" s="38"/>
      <c r="F256" s="38"/>
    </row>
    <row r="257">
      <c r="E257" s="38"/>
      <c r="F257" s="38"/>
    </row>
    <row r="258">
      <c r="E258" s="38"/>
      <c r="F258" s="38"/>
    </row>
    <row r="259">
      <c r="E259" s="38"/>
      <c r="F259" s="38"/>
    </row>
    <row r="260">
      <c r="E260" s="38"/>
      <c r="F260" s="38"/>
    </row>
    <row r="261">
      <c r="E261" s="38"/>
      <c r="F261" s="38"/>
    </row>
    <row r="262">
      <c r="E262" s="38"/>
      <c r="F262" s="38"/>
    </row>
    <row r="263">
      <c r="E263" s="38"/>
      <c r="F263" s="38"/>
    </row>
    <row r="264">
      <c r="E264" s="38"/>
      <c r="F264" s="38"/>
    </row>
    <row r="265">
      <c r="E265" s="38"/>
      <c r="F265" s="38"/>
    </row>
    <row r="266">
      <c r="E266" s="38"/>
      <c r="F266" s="38"/>
    </row>
    <row r="267">
      <c r="E267" s="38"/>
      <c r="F267" s="38"/>
    </row>
    <row r="268">
      <c r="E268" s="38"/>
      <c r="F268" s="38"/>
    </row>
    <row r="269">
      <c r="E269" s="38"/>
      <c r="F269" s="38"/>
    </row>
    <row r="270">
      <c r="E270" s="38"/>
      <c r="F270" s="38"/>
    </row>
    <row r="271">
      <c r="E271" s="38"/>
      <c r="F271" s="38"/>
    </row>
    <row r="272">
      <c r="E272" s="38"/>
      <c r="F272" s="38"/>
    </row>
    <row r="273">
      <c r="E273" s="38"/>
      <c r="F273" s="38"/>
    </row>
    <row r="274">
      <c r="E274" s="38"/>
      <c r="F274" s="38"/>
    </row>
    <row r="275">
      <c r="E275" s="38"/>
      <c r="F275" s="38"/>
    </row>
    <row r="276">
      <c r="E276" s="38"/>
      <c r="F276" s="38"/>
    </row>
    <row r="277">
      <c r="E277" s="38"/>
      <c r="F277" s="38"/>
    </row>
    <row r="278">
      <c r="E278" s="38"/>
      <c r="F278" s="38"/>
    </row>
    <row r="279">
      <c r="E279" s="38"/>
      <c r="F279" s="38"/>
    </row>
    <row r="280">
      <c r="E280" s="38"/>
      <c r="F280" s="38"/>
    </row>
    <row r="281">
      <c r="E281" s="38"/>
      <c r="F281" s="38"/>
    </row>
    <row r="282">
      <c r="E282" s="38"/>
      <c r="F282" s="38"/>
    </row>
    <row r="283">
      <c r="E283" s="38"/>
      <c r="F283" s="38"/>
    </row>
    <row r="284">
      <c r="E284" s="38"/>
      <c r="F284" s="38"/>
    </row>
    <row r="285">
      <c r="E285" s="38"/>
      <c r="F285" s="38"/>
    </row>
    <row r="286">
      <c r="E286" s="38"/>
      <c r="F286" s="38"/>
    </row>
    <row r="287">
      <c r="E287" s="38"/>
      <c r="F287" s="38"/>
    </row>
    <row r="288">
      <c r="E288" s="38"/>
      <c r="F288" s="38"/>
    </row>
    <row r="289">
      <c r="E289" s="38"/>
      <c r="F289" s="38"/>
    </row>
    <row r="290">
      <c r="E290" s="38"/>
      <c r="F290" s="38"/>
    </row>
    <row r="291">
      <c r="E291" s="38"/>
      <c r="F291" s="38"/>
    </row>
    <row r="292">
      <c r="E292" s="38"/>
      <c r="F292" s="38"/>
    </row>
    <row r="293">
      <c r="E293" s="38"/>
      <c r="F293" s="38"/>
    </row>
    <row r="294">
      <c r="E294" s="38"/>
      <c r="F294" s="38"/>
    </row>
    <row r="295">
      <c r="E295" s="38"/>
      <c r="F295" s="38"/>
    </row>
    <row r="296">
      <c r="E296" s="38"/>
      <c r="F296" s="38"/>
    </row>
    <row r="297">
      <c r="E297" s="38"/>
      <c r="F297" s="38"/>
    </row>
    <row r="298">
      <c r="E298" s="38"/>
      <c r="F298" s="38"/>
    </row>
    <row r="299">
      <c r="E299" s="38"/>
      <c r="F299" s="38"/>
    </row>
    <row r="300">
      <c r="E300" s="38"/>
      <c r="F300" s="38"/>
    </row>
    <row r="301">
      <c r="E301" s="38"/>
      <c r="F301" s="38"/>
    </row>
    <row r="302">
      <c r="E302" s="38"/>
      <c r="F302" s="38"/>
    </row>
    <row r="303">
      <c r="E303" s="38"/>
      <c r="F303" s="38"/>
    </row>
    <row r="304">
      <c r="E304" s="38"/>
      <c r="F304" s="38"/>
    </row>
    <row r="305">
      <c r="E305" s="38"/>
      <c r="F305" s="38"/>
    </row>
    <row r="306">
      <c r="E306" s="38"/>
      <c r="F306" s="38"/>
    </row>
    <row r="307">
      <c r="E307" s="38"/>
      <c r="F307" s="38"/>
    </row>
    <row r="308">
      <c r="E308" s="38"/>
      <c r="F308" s="38"/>
    </row>
    <row r="309">
      <c r="E309" s="38"/>
      <c r="F309" s="38"/>
    </row>
    <row r="310">
      <c r="E310" s="38"/>
      <c r="F310" s="38"/>
    </row>
    <row r="311">
      <c r="E311" s="38"/>
      <c r="F311" s="38"/>
    </row>
    <row r="312">
      <c r="E312" s="38"/>
      <c r="F312" s="38"/>
    </row>
    <row r="313">
      <c r="E313" s="38"/>
      <c r="F313" s="38"/>
    </row>
    <row r="314">
      <c r="E314" s="38"/>
      <c r="F314" s="38"/>
    </row>
    <row r="315">
      <c r="E315" s="38"/>
      <c r="F315" s="38"/>
    </row>
    <row r="316">
      <c r="E316" s="38"/>
      <c r="F316" s="38"/>
    </row>
    <row r="317">
      <c r="E317" s="38"/>
      <c r="F317" s="38"/>
    </row>
    <row r="318">
      <c r="E318" s="38"/>
      <c r="F318" s="38"/>
    </row>
    <row r="319">
      <c r="E319" s="38"/>
      <c r="F319" s="38"/>
    </row>
    <row r="320">
      <c r="E320" s="38"/>
      <c r="F320" s="38"/>
    </row>
    <row r="321">
      <c r="E321" s="38"/>
      <c r="F321" s="38"/>
    </row>
    <row r="322">
      <c r="E322" s="38"/>
      <c r="F322" s="38"/>
    </row>
    <row r="323">
      <c r="E323" s="38"/>
      <c r="F323" s="38"/>
    </row>
    <row r="324">
      <c r="E324" s="38"/>
      <c r="F324" s="38"/>
    </row>
    <row r="325">
      <c r="E325" s="38"/>
      <c r="F325" s="38"/>
    </row>
    <row r="326">
      <c r="E326" s="38"/>
      <c r="F326" s="38"/>
    </row>
    <row r="327">
      <c r="E327" s="38"/>
      <c r="F327" s="38"/>
    </row>
    <row r="328">
      <c r="E328" s="38"/>
      <c r="F328" s="38"/>
    </row>
    <row r="329">
      <c r="E329" s="38"/>
      <c r="F329" s="38"/>
    </row>
    <row r="330">
      <c r="E330" s="38"/>
      <c r="F330" s="38"/>
    </row>
    <row r="331">
      <c r="E331" s="38"/>
      <c r="F331" s="38"/>
    </row>
    <row r="332">
      <c r="E332" s="38"/>
      <c r="F332" s="38"/>
    </row>
    <row r="333">
      <c r="E333" s="38"/>
      <c r="F333" s="38"/>
    </row>
    <row r="334">
      <c r="E334" s="38"/>
      <c r="F334" s="38"/>
    </row>
    <row r="335">
      <c r="E335" s="38"/>
      <c r="F335" s="38"/>
    </row>
    <row r="336">
      <c r="E336" s="38"/>
      <c r="F336" s="38"/>
    </row>
    <row r="337">
      <c r="E337" s="38"/>
      <c r="F337" s="38"/>
    </row>
    <row r="338">
      <c r="E338" s="38"/>
      <c r="F338" s="38"/>
    </row>
    <row r="339">
      <c r="E339" s="38"/>
      <c r="F339" s="38"/>
    </row>
    <row r="340">
      <c r="E340" s="38"/>
      <c r="F340" s="38"/>
    </row>
    <row r="341">
      <c r="E341" s="38"/>
      <c r="F341" s="38"/>
    </row>
    <row r="342">
      <c r="E342" s="38"/>
      <c r="F342" s="38"/>
    </row>
    <row r="343">
      <c r="E343" s="38"/>
      <c r="F343" s="38"/>
    </row>
    <row r="344">
      <c r="E344" s="38"/>
      <c r="F344" s="38"/>
    </row>
    <row r="345">
      <c r="E345" s="38"/>
      <c r="F345" s="38"/>
    </row>
    <row r="346">
      <c r="E346" s="38"/>
      <c r="F346" s="38"/>
    </row>
    <row r="347">
      <c r="E347" s="38"/>
      <c r="F347" s="38"/>
    </row>
    <row r="348">
      <c r="E348" s="38"/>
      <c r="F348" s="38"/>
    </row>
    <row r="349">
      <c r="E349" s="38"/>
      <c r="F349" s="38"/>
    </row>
    <row r="350">
      <c r="E350" s="38"/>
      <c r="F350" s="38"/>
    </row>
    <row r="351">
      <c r="E351" s="38"/>
      <c r="F351" s="38"/>
    </row>
    <row r="352">
      <c r="E352" s="38"/>
      <c r="F352" s="38"/>
    </row>
    <row r="353">
      <c r="E353" s="38"/>
      <c r="F353" s="38"/>
    </row>
    <row r="354">
      <c r="E354" s="38"/>
      <c r="F354" s="38"/>
    </row>
    <row r="355">
      <c r="E355" s="38"/>
      <c r="F355" s="38"/>
    </row>
    <row r="356">
      <c r="E356" s="38"/>
      <c r="F356" s="38"/>
    </row>
    <row r="357">
      <c r="E357" s="38"/>
      <c r="F357" s="38"/>
    </row>
    <row r="358">
      <c r="E358" s="38"/>
      <c r="F358" s="38"/>
    </row>
    <row r="359">
      <c r="E359" s="38"/>
      <c r="F359" s="38"/>
    </row>
    <row r="360">
      <c r="E360" s="38"/>
      <c r="F360" s="38"/>
    </row>
    <row r="361">
      <c r="E361" s="38"/>
      <c r="F361" s="38"/>
    </row>
    <row r="362">
      <c r="E362" s="38"/>
      <c r="F362" s="38"/>
    </row>
    <row r="363">
      <c r="E363" s="38"/>
      <c r="F363" s="38"/>
    </row>
    <row r="364">
      <c r="E364" s="38"/>
      <c r="F364" s="38"/>
    </row>
    <row r="365">
      <c r="E365" s="38"/>
      <c r="F365" s="38"/>
    </row>
    <row r="366">
      <c r="E366" s="38"/>
      <c r="F366" s="38"/>
    </row>
    <row r="367">
      <c r="E367" s="38"/>
      <c r="F367" s="38"/>
    </row>
    <row r="368">
      <c r="E368" s="38"/>
      <c r="F368" s="38"/>
    </row>
    <row r="369">
      <c r="E369" s="38"/>
      <c r="F369" s="38"/>
    </row>
    <row r="370">
      <c r="E370" s="38"/>
      <c r="F370" s="38"/>
    </row>
    <row r="371">
      <c r="E371" s="38"/>
      <c r="F371" s="38"/>
    </row>
    <row r="372">
      <c r="E372" s="38"/>
      <c r="F372" s="38"/>
    </row>
    <row r="373">
      <c r="E373" s="38"/>
      <c r="F373" s="38"/>
    </row>
    <row r="374">
      <c r="E374" s="38"/>
      <c r="F374" s="38"/>
    </row>
    <row r="375">
      <c r="E375" s="38"/>
      <c r="F375" s="38"/>
    </row>
    <row r="376">
      <c r="E376" s="38"/>
      <c r="F376" s="38"/>
    </row>
    <row r="377">
      <c r="E377" s="38"/>
      <c r="F377" s="38"/>
    </row>
    <row r="378">
      <c r="E378" s="38"/>
      <c r="F378" s="38"/>
    </row>
    <row r="379">
      <c r="E379" s="38"/>
      <c r="F379" s="38"/>
    </row>
    <row r="380">
      <c r="E380" s="38"/>
      <c r="F380" s="38"/>
    </row>
    <row r="381">
      <c r="E381" s="38"/>
      <c r="F381" s="38"/>
    </row>
    <row r="382">
      <c r="E382" s="38"/>
      <c r="F382" s="38"/>
    </row>
    <row r="383">
      <c r="E383" s="38"/>
      <c r="F383" s="38"/>
    </row>
    <row r="384">
      <c r="E384" s="38"/>
      <c r="F384" s="38"/>
    </row>
    <row r="385">
      <c r="E385" s="38"/>
      <c r="F385" s="38"/>
    </row>
    <row r="386">
      <c r="E386" s="38"/>
      <c r="F386" s="38"/>
    </row>
    <row r="387">
      <c r="E387" s="38"/>
      <c r="F387" s="38"/>
    </row>
    <row r="388">
      <c r="E388" s="38"/>
      <c r="F388" s="38"/>
    </row>
    <row r="389">
      <c r="E389" s="38"/>
      <c r="F389" s="38"/>
    </row>
    <row r="390">
      <c r="E390" s="38"/>
      <c r="F390" s="38"/>
    </row>
    <row r="391">
      <c r="E391" s="38"/>
      <c r="F391" s="38"/>
    </row>
    <row r="392">
      <c r="E392" s="38"/>
      <c r="F392" s="38"/>
    </row>
    <row r="393">
      <c r="E393" s="38"/>
      <c r="F393" s="38"/>
    </row>
    <row r="394">
      <c r="E394" s="38"/>
      <c r="F394" s="38"/>
    </row>
    <row r="395">
      <c r="E395" s="38"/>
      <c r="F395" s="38"/>
    </row>
    <row r="396">
      <c r="E396" s="38"/>
      <c r="F396" s="38"/>
    </row>
    <row r="397">
      <c r="E397" s="38"/>
      <c r="F397" s="38"/>
    </row>
    <row r="398">
      <c r="E398" s="38"/>
      <c r="F398" s="38"/>
    </row>
    <row r="399">
      <c r="E399" s="38"/>
      <c r="F399" s="38"/>
    </row>
    <row r="400">
      <c r="E400" s="38"/>
      <c r="F400" s="38"/>
    </row>
    <row r="401">
      <c r="E401" s="38"/>
      <c r="F401" s="38"/>
    </row>
    <row r="402">
      <c r="E402" s="38"/>
      <c r="F402" s="38"/>
    </row>
    <row r="403">
      <c r="E403" s="38"/>
      <c r="F403" s="38"/>
    </row>
    <row r="404">
      <c r="E404" s="38"/>
      <c r="F404" s="38"/>
    </row>
    <row r="405">
      <c r="E405" s="38"/>
      <c r="F405" s="38"/>
    </row>
    <row r="406">
      <c r="E406" s="38"/>
      <c r="F406" s="38"/>
    </row>
    <row r="407">
      <c r="E407" s="38"/>
      <c r="F407" s="38"/>
    </row>
    <row r="408">
      <c r="E408" s="38"/>
      <c r="F408" s="38"/>
    </row>
    <row r="409">
      <c r="E409" s="38"/>
      <c r="F409" s="38"/>
    </row>
    <row r="410">
      <c r="E410" s="38"/>
      <c r="F410" s="38"/>
    </row>
    <row r="411">
      <c r="E411" s="38"/>
      <c r="F411" s="38"/>
    </row>
    <row r="412">
      <c r="E412" s="38"/>
      <c r="F412" s="38"/>
    </row>
    <row r="413">
      <c r="E413" s="38"/>
      <c r="F413" s="38"/>
    </row>
    <row r="414">
      <c r="E414" s="38"/>
      <c r="F414" s="38"/>
    </row>
    <row r="415">
      <c r="E415" s="38"/>
      <c r="F415" s="38"/>
    </row>
    <row r="416">
      <c r="E416" s="38"/>
      <c r="F416" s="38"/>
    </row>
    <row r="417">
      <c r="E417" s="38"/>
      <c r="F417" s="38"/>
    </row>
    <row r="418">
      <c r="E418" s="38"/>
      <c r="F418" s="38"/>
    </row>
    <row r="419">
      <c r="E419" s="38"/>
      <c r="F419" s="38"/>
    </row>
    <row r="420">
      <c r="E420" s="38"/>
      <c r="F420" s="38"/>
    </row>
    <row r="421">
      <c r="E421" s="38"/>
      <c r="F421" s="38"/>
    </row>
    <row r="422">
      <c r="E422" s="38"/>
      <c r="F422" s="38"/>
    </row>
    <row r="423">
      <c r="E423" s="38"/>
      <c r="F423" s="38"/>
    </row>
    <row r="424">
      <c r="E424" s="38"/>
      <c r="F424" s="38"/>
    </row>
    <row r="425">
      <c r="E425" s="38"/>
      <c r="F425" s="38"/>
    </row>
    <row r="426">
      <c r="E426" s="38"/>
      <c r="F426" s="38"/>
    </row>
    <row r="427">
      <c r="E427" s="38"/>
      <c r="F427" s="38"/>
    </row>
    <row r="428">
      <c r="E428" s="38"/>
      <c r="F428" s="38"/>
    </row>
    <row r="429">
      <c r="E429" s="38"/>
      <c r="F429" s="38"/>
    </row>
    <row r="430">
      <c r="E430" s="38"/>
      <c r="F430" s="38"/>
    </row>
    <row r="431">
      <c r="E431" s="38"/>
      <c r="F431" s="38"/>
    </row>
    <row r="432">
      <c r="E432" s="38"/>
      <c r="F432" s="38"/>
    </row>
    <row r="433">
      <c r="E433" s="38"/>
      <c r="F433" s="38"/>
    </row>
    <row r="434">
      <c r="E434" s="38"/>
      <c r="F434" s="38"/>
    </row>
    <row r="435">
      <c r="E435" s="38"/>
      <c r="F435" s="38"/>
    </row>
    <row r="436">
      <c r="E436" s="38"/>
      <c r="F436" s="38"/>
    </row>
    <row r="437">
      <c r="E437" s="38"/>
      <c r="F437" s="38"/>
    </row>
    <row r="438">
      <c r="E438" s="38"/>
      <c r="F438" s="38"/>
    </row>
    <row r="439">
      <c r="E439" s="38"/>
      <c r="F439" s="38"/>
    </row>
    <row r="440">
      <c r="E440" s="38"/>
      <c r="F440" s="38"/>
    </row>
    <row r="441">
      <c r="E441" s="38"/>
      <c r="F441" s="38"/>
    </row>
    <row r="442">
      <c r="E442" s="38"/>
      <c r="F442" s="38"/>
    </row>
    <row r="443">
      <c r="E443" s="38"/>
      <c r="F443" s="38"/>
    </row>
    <row r="444">
      <c r="E444" s="38"/>
      <c r="F444" s="38"/>
    </row>
    <row r="445">
      <c r="E445" s="38"/>
      <c r="F445" s="38"/>
    </row>
    <row r="446">
      <c r="E446" s="38"/>
      <c r="F446" s="38"/>
    </row>
    <row r="447">
      <c r="E447" s="38"/>
      <c r="F447" s="38"/>
    </row>
    <row r="448">
      <c r="E448" s="38"/>
      <c r="F448" s="38"/>
    </row>
    <row r="449">
      <c r="E449" s="38"/>
      <c r="F449" s="38"/>
    </row>
    <row r="450">
      <c r="E450" s="38"/>
      <c r="F450" s="38"/>
    </row>
    <row r="451">
      <c r="E451" s="38"/>
      <c r="F451" s="38"/>
    </row>
    <row r="452">
      <c r="E452" s="38"/>
      <c r="F452" s="38"/>
    </row>
    <row r="453">
      <c r="E453" s="38"/>
      <c r="F453" s="38"/>
    </row>
    <row r="454">
      <c r="E454" s="38"/>
      <c r="F454" s="38"/>
    </row>
    <row r="455">
      <c r="E455" s="38"/>
      <c r="F455" s="38"/>
    </row>
    <row r="456">
      <c r="E456" s="38"/>
      <c r="F456" s="38"/>
    </row>
    <row r="457">
      <c r="E457" s="38"/>
      <c r="F457" s="38"/>
    </row>
    <row r="458">
      <c r="E458" s="38"/>
      <c r="F458" s="38"/>
    </row>
    <row r="459">
      <c r="E459" s="38"/>
      <c r="F459" s="38"/>
    </row>
    <row r="460">
      <c r="E460" s="38"/>
      <c r="F460" s="38"/>
    </row>
    <row r="461">
      <c r="E461" s="38"/>
      <c r="F461" s="38"/>
    </row>
    <row r="462">
      <c r="E462" s="38"/>
      <c r="F462" s="38"/>
    </row>
    <row r="463">
      <c r="E463" s="38"/>
      <c r="F463" s="38"/>
    </row>
    <row r="464">
      <c r="E464" s="38"/>
      <c r="F464" s="38"/>
    </row>
    <row r="465">
      <c r="E465" s="38"/>
      <c r="F465" s="38"/>
    </row>
    <row r="466">
      <c r="E466" s="38"/>
      <c r="F466" s="38"/>
    </row>
    <row r="467">
      <c r="E467" s="38"/>
      <c r="F467" s="38"/>
    </row>
    <row r="468">
      <c r="E468" s="38"/>
      <c r="F468" s="38"/>
    </row>
    <row r="469">
      <c r="E469" s="38"/>
      <c r="F469" s="38"/>
    </row>
    <row r="470">
      <c r="E470" s="38"/>
      <c r="F470" s="38"/>
    </row>
    <row r="471">
      <c r="E471" s="38"/>
      <c r="F471" s="38"/>
    </row>
    <row r="472">
      <c r="E472" s="38"/>
      <c r="F472" s="38"/>
    </row>
    <row r="473">
      <c r="E473" s="38"/>
      <c r="F473" s="38"/>
    </row>
    <row r="474">
      <c r="E474" s="38"/>
      <c r="F474" s="38"/>
    </row>
    <row r="475">
      <c r="E475" s="38"/>
      <c r="F475" s="38"/>
    </row>
    <row r="476">
      <c r="E476" s="38"/>
      <c r="F476" s="38"/>
    </row>
    <row r="477">
      <c r="E477" s="38"/>
      <c r="F477" s="38"/>
    </row>
    <row r="478">
      <c r="E478" s="38"/>
      <c r="F478" s="38"/>
    </row>
    <row r="479">
      <c r="E479" s="38"/>
      <c r="F479" s="38"/>
    </row>
    <row r="480">
      <c r="E480" s="38"/>
      <c r="F480" s="38"/>
    </row>
    <row r="481">
      <c r="E481" s="38"/>
      <c r="F481" s="38"/>
    </row>
    <row r="482">
      <c r="E482" s="38"/>
      <c r="F482" s="38"/>
    </row>
    <row r="483">
      <c r="E483" s="38"/>
      <c r="F483" s="38"/>
    </row>
    <row r="484">
      <c r="E484" s="38"/>
      <c r="F484" s="38"/>
    </row>
    <row r="485">
      <c r="E485" s="38"/>
      <c r="F485" s="38"/>
    </row>
    <row r="486">
      <c r="E486" s="38"/>
      <c r="F486" s="38"/>
    </row>
    <row r="487">
      <c r="E487" s="38"/>
      <c r="F487" s="38"/>
    </row>
    <row r="488">
      <c r="E488" s="38"/>
      <c r="F488" s="38"/>
    </row>
    <row r="489">
      <c r="E489" s="38"/>
      <c r="F489" s="38"/>
    </row>
    <row r="490">
      <c r="E490" s="38"/>
      <c r="F490" s="38"/>
    </row>
    <row r="491">
      <c r="E491" s="38"/>
      <c r="F491" s="38"/>
    </row>
    <row r="492">
      <c r="E492" s="38"/>
      <c r="F492" s="38"/>
    </row>
    <row r="493">
      <c r="E493" s="38"/>
      <c r="F493" s="38"/>
    </row>
    <row r="494">
      <c r="E494" s="38"/>
      <c r="F494" s="38"/>
    </row>
    <row r="495">
      <c r="E495" s="38"/>
      <c r="F495" s="38"/>
    </row>
    <row r="496">
      <c r="E496" s="38"/>
      <c r="F496" s="38"/>
    </row>
    <row r="497">
      <c r="E497" s="38"/>
      <c r="F497" s="38"/>
    </row>
    <row r="498">
      <c r="E498" s="38"/>
      <c r="F498" s="38"/>
    </row>
    <row r="499">
      <c r="E499" s="38"/>
      <c r="F499" s="38"/>
    </row>
    <row r="500">
      <c r="E500" s="38"/>
      <c r="F500" s="38"/>
    </row>
    <row r="501">
      <c r="E501" s="38"/>
      <c r="F501" s="38"/>
    </row>
    <row r="502">
      <c r="E502" s="38"/>
      <c r="F502" s="38"/>
    </row>
    <row r="503">
      <c r="E503" s="38"/>
      <c r="F503" s="38"/>
    </row>
    <row r="504">
      <c r="E504" s="38"/>
      <c r="F504" s="38"/>
    </row>
    <row r="505">
      <c r="E505" s="38"/>
      <c r="F505" s="38"/>
    </row>
    <row r="506">
      <c r="E506" s="38"/>
      <c r="F506" s="38"/>
    </row>
    <row r="507">
      <c r="E507" s="38"/>
      <c r="F507" s="38"/>
    </row>
    <row r="508">
      <c r="E508" s="38"/>
      <c r="F508" s="38"/>
    </row>
    <row r="509">
      <c r="E509" s="38"/>
      <c r="F509" s="38"/>
    </row>
    <row r="510">
      <c r="E510" s="38"/>
      <c r="F510" s="38"/>
    </row>
    <row r="511">
      <c r="E511" s="38"/>
      <c r="F511" s="38"/>
    </row>
    <row r="512">
      <c r="E512" s="38"/>
      <c r="F512" s="38"/>
    </row>
    <row r="513">
      <c r="E513" s="38"/>
      <c r="F513" s="38"/>
    </row>
    <row r="514">
      <c r="E514" s="38"/>
      <c r="F514" s="38"/>
    </row>
    <row r="515">
      <c r="E515" s="38"/>
      <c r="F515" s="38"/>
    </row>
    <row r="516">
      <c r="E516" s="38"/>
      <c r="F516" s="38"/>
    </row>
    <row r="517">
      <c r="E517" s="38"/>
      <c r="F517" s="38"/>
    </row>
    <row r="518">
      <c r="E518" s="38"/>
      <c r="F518" s="38"/>
    </row>
    <row r="519">
      <c r="E519" s="38"/>
      <c r="F519" s="38"/>
    </row>
    <row r="520">
      <c r="E520" s="38"/>
      <c r="F520" s="38"/>
    </row>
    <row r="521">
      <c r="E521" s="38"/>
      <c r="F521" s="38"/>
    </row>
    <row r="522">
      <c r="E522" s="38"/>
      <c r="F522" s="38"/>
    </row>
    <row r="523">
      <c r="E523" s="38"/>
      <c r="F523" s="38"/>
    </row>
    <row r="524">
      <c r="E524" s="38"/>
      <c r="F524" s="38"/>
    </row>
    <row r="525">
      <c r="E525" s="38"/>
      <c r="F525" s="38"/>
    </row>
    <row r="526">
      <c r="E526" s="38"/>
      <c r="F526" s="38"/>
    </row>
    <row r="527">
      <c r="E527" s="38"/>
      <c r="F527" s="38"/>
    </row>
    <row r="528">
      <c r="E528" s="38"/>
      <c r="F528" s="38"/>
    </row>
    <row r="529">
      <c r="E529" s="38"/>
      <c r="F529" s="38"/>
    </row>
    <row r="530">
      <c r="E530" s="38"/>
      <c r="F530" s="38"/>
    </row>
    <row r="531">
      <c r="E531" s="38"/>
      <c r="F531" s="38"/>
    </row>
    <row r="532">
      <c r="E532" s="38"/>
      <c r="F532" s="38"/>
    </row>
    <row r="533">
      <c r="E533" s="38"/>
      <c r="F533" s="38"/>
    </row>
    <row r="534">
      <c r="E534" s="38"/>
      <c r="F534" s="38"/>
    </row>
    <row r="535">
      <c r="E535" s="38"/>
      <c r="F535" s="38"/>
    </row>
    <row r="536">
      <c r="E536" s="38"/>
      <c r="F536" s="38"/>
    </row>
    <row r="537">
      <c r="E537" s="38"/>
      <c r="F537" s="38"/>
    </row>
    <row r="538">
      <c r="E538" s="38"/>
      <c r="F538" s="38"/>
    </row>
    <row r="539">
      <c r="E539" s="38"/>
      <c r="F539" s="38"/>
    </row>
    <row r="540">
      <c r="E540" s="38"/>
      <c r="F540" s="38"/>
    </row>
    <row r="541">
      <c r="E541" s="38"/>
      <c r="F541" s="38"/>
    </row>
    <row r="542">
      <c r="E542" s="38"/>
      <c r="F542" s="38"/>
    </row>
    <row r="543">
      <c r="E543" s="38"/>
      <c r="F543" s="38"/>
    </row>
    <row r="544">
      <c r="E544" s="38"/>
      <c r="F544" s="38"/>
    </row>
    <row r="545">
      <c r="E545" s="38"/>
      <c r="F545" s="38"/>
    </row>
    <row r="546">
      <c r="E546" s="38"/>
      <c r="F546" s="38"/>
    </row>
    <row r="547">
      <c r="E547" s="38"/>
      <c r="F547" s="38"/>
    </row>
    <row r="548">
      <c r="E548" s="38"/>
      <c r="F548" s="38"/>
    </row>
    <row r="549">
      <c r="E549" s="38"/>
      <c r="F549" s="38"/>
    </row>
    <row r="550">
      <c r="E550" s="38"/>
      <c r="F550" s="38"/>
    </row>
    <row r="551">
      <c r="E551" s="38"/>
      <c r="F551" s="38"/>
    </row>
    <row r="552">
      <c r="E552" s="38"/>
      <c r="F552" s="38"/>
    </row>
    <row r="553">
      <c r="E553" s="38"/>
      <c r="F553" s="38"/>
    </row>
    <row r="554">
      <c r="E554" s="38"/>
      <c r="F554" s="38"/>
    </row>
    <row r="555">
      <c r="E555" s="38"/>
      <c r="F555" s="38"/>
    </row>
    <row r="556">
      <c r="E556" s="38"/>
      <c r="F556" s="38"/>
    </row>
    <row r="557">
      <c r="E557" s="38"/>
      <c r="F557" s="38"/>
    </row>
    <row r="558">
      <c r="E558" s="38"/>
      <c r="F558" s="38"/>
    </row>
    <row r="559">
      <c r="E559" s="38"/>
      <c r="F559" s="38"/>
    </row>
    <row r="560">
      <c r="E560" s="38"/>
      <c r="F560" s="38"/>
    </row>
    <row r="561">
      <c r="E561" s="38"/>
      <c r="F561" s="38"/>
    </row>
    <row r="562">
      <c r="E562" s="38"/>
      <c r="F562" s="38"/>
    </row>
    <row r="563">
      <c r="E563" s="38"/>
      <c r="F563" s="38"/>
    </row>
    <row r="564">
      <c r="E564" s="38"/>
      <c r="F564" s="38"/>
    </row>
    <row r="565">
      <c r="E565" s="38"/>
      <c r="F565" s="38"/>
    </row>
    <row r="566">
      <c r="E566" s="38"/>
      <c r="F566" s="38"/>
    </row>
    <row r="567">
      <c r="E567" s="38"/>
      <c r="F567" s="38"/>
    </row>
    <row r="568">
      <c r="E568" s="38"/>
      <c r="F568" s="38"/>
    </row>
    <row r="569">
      <c r="E569" s="38"/>
      <c r="F569" s="38"/>
    </row>
    <row r="570">
      <c r="E570" s="38"/>
      <c r="F570" s="38"/>
    </row>
    <row r="571">
      <c r="E571" s="38"/>
      <c r="F571" s="38"/>
    </row>
    <row r="572">
      <c r="E572" s="38"/>
      <c r="F572" s="38"/>
    </row>
    <row r="573">
      <c r="E573" s="38"/>
      <c r="F573" s="38"/>
    </row>
    <row r="574">
      <c r="E574" s="38"/>
      <c r="F574" s="38"/>
    </row>
    <row r="575">
      <c r="E575" s="38"/>
      <c r="F575" s="38"/>
    </row>
    <row r="576">
      <c r="E576" s="38"/>
      <c r="F576" s="38"/>
    </row>
    <row r="577">
      <c r="E577" s="38"/>
      <c r="F577" s="38"/>
    </row>
    <row r="578">
      <c r="E578" s="38"/>
      <c r="F578" s="38"/>
    </row>
    <row r="579">
      <c r="E579" s="38"/>
      <c r="F579" s="38"/>
    </row>
    <row r="580">
      <c r="E580" s="38"/>
      <c r="F580" s="38"/>
    </row>
    <row r="581">
      <c r="E581" s="38"/>
      <c r="F581" s="38"/>
    </row>
    <row r="582">
      <c r="E582" s="38"/>
      <c r="F582" s="38"/>
    </row>
    <row r="583">
      <c r="E583" s="38"/>
      <c r="F583" s="38"/>
    </row>
    <row r="584">
      <c r="E584" s="38"/>
      <c r="F584" s="38"/>
    </row>
    <row r="585">
      <c r="E585" s="38"/>
      <c r="F585" s="38"/>
    </row>
    <row r="586">
      <c r="E586" s="38"/>
      <c r="F586" s="38"/>
    </row>
    <row r="587">
      <c r="E587" s="38"/>
      <c r="F587" s="38"/>
    </row>
    <row r="588">
      <c r="E588" s="38"/>
      <c r="F588" s="38"/>
    </row>
    <row r="589">
      <c r="E589" s="38"/>
      <c r="F589" s="38"/>
    </row>
    <row r="590">
      <c r="E590" s="38"/>
      <c r="F590" s="38"/>
    </row>
    <row r="591">
      <c r="E591" s="38"/>
      <c r="F591" s="38"/>
    </row>
    <row r="592">
      <c r="E592" s="38"/>
      <c r="F592" s="38"/>
    </row>
    <row r="593">
      <c r="E593" s="38"/>
      <c r="F593" s="38"/>
    </row>
    <row r="594">
      <c r="E594" s="38"/>
      <c r="F594" s="38"/>
    </row>
    <row r="595">
      <c r="E595" s="38"/>
      <c r="F595" s="38"/>
    </row>
    <row r="596">
      <c r="E596" s="38"/>
      <c r="F596" s="38"/>
    </row>
    <row r="597">
      <c r="E597" s="38"/>
      <c r="F597" s="38"/>
    </row>
    <row r="598">
      <c r="E598" s="38"/>
      <c r="F598" s="38"/>
    </row>
    <row r="599">
      <c r="E599" s="38"/>
      <c r="F599" s="38"/>
    </row>
    <row r="600">
      <c r="E600" s="38"/>
      <c r="F600" s="38"/>
    </row>
    <row r="601">
      <c r="E601" s="38"/>
      <c r="F601" s="38"/>
    </row>
    <row r="602">
      <c r="E602" s="38"/>
      <c r="F602" s="38"/>
    </row>
    <row r="603">
      <c r="E603" s="38"/>
      <c r="F603" s="38"/>
    </row>
    <row r="604">
      <c r="E604" s="38"/>
      <c r="F604" s="38"/>
    </row>
    <row r="605">
      <c r="E605" s="38"/>
      <c r="F605" s="38"/>
    </row>
    <row r="606">
      <c r="E606" s="38"/>
      <c r="F606" s="38"/>
    </row>
    <row r="607">
      <c r="E607" s="38"/>
      <c r="F607" s="38"/>
    </row>
    <row r="608">
      <c r="E608" s="38"/>
      <c r="F608" s="38"/>
    </row>
    <row r="609">
      <c r="E609" s="38"/>
      <c r="F609" s="38"/>
    </row>
    <row r="610">
      <c r="E610" s="38"/>
      <c r="F610" s="38"/>
    </row>
    <row r="611">
      <c r="E611" s="38"/>
      <c r="F611" s="38"/>
    </row>
    <row r="612">
      <c r="E612" s="38"/>
      <c r="F612" s="38"/>
    </row>
    <row r="613">
      <c r="E613" s="38"/>
      <c r="F613" s="38"/>
    </row>
    <row r="614">
      <c r="E614" s="38"/>
      <c r="F614" s="38"/>
    </row>
    <row r="615">
      <c r="E615" s="38"/>
      <c r="F615" s="38"/>
    </row>
    <row r="616">
      <c r="E616" s="38"/>
      <c r="F616" s="38"/>
    </row>
    <row r="617">
      <c r="E617" s="38"/>
      <c r="F617" s="38"/>
    </row>
    <row r="618">
      <c r="E618" s="38"/>
      <c r="F618" s="38"/>
    </row>
    <row r="619">
      <c r="E619" s="38"/>
      <c r="F619" s="38"/>
    </row>
    <row r="620">
      <c r="E620" s="38"/>
      <c r="F620" s="38"/>
    </row>
    <row r="621">
      <c r="E621" s="38"/>
      <c r="F621" s="38"/>
    </row>
    <row r="622">
      <c r="E622" s="38"/>
      <c r="F622" s="38"/>
    </row>
    <row r="623">
      <c r="E623" s="38"/>
      <c r="F623" s="38"/>
    </row>
    <row r="624">
      <c r="E624" s="38"/>
      <c r="F624" s="38"/>
    </row>
    <row r="625">
      <c r="E625" s="38"/>
      <c r="F625" s="38"/>
    </row>
    <row r="626">
      <c r="E626" s="38"/>
      <c r="F626" s="38"/>
    </row>
    <row r="627">
      <c r="E627" s="38"/>
      <c r="F627" s="38"/>
    </row>
    <row r="628">
      <c r="E628" s="38"/>
      <c r="F628" s="38"/>
    </row>
    <row r="629">
      <c r="E629" s="38"/>
      <c r="F629" s="38"/>
    </row>
    <row r="630">
      <c r="E630" s="38"/>
      <c r="F630" s="38"/>
    </row>
    <row r="631">
      <c r="E631" s="38"/>
      <c r="F631" s="38"/>
    </row>
    <row r="632">
      <c r="E632" s="38"/>
      <c r="F632" s="38"/>
    </row>
    <row r="633">
      <c r="E633" s="38"/>
      <c r="F633" s="38"/>
    </row>
    <row r="634">
      <c r="E634" s="38"/>
      <c r="F634" s="38"/>
    </row>
    <row r="635">
      <c r="E635" s="38"/>
      <c r="F635" s="38"/>
    </row>
    <row r="636">
      <c r="E636" s="38"/>
      <c r="F636" s="38"/>
    </row>
    <row r="637">
      <c r="E637" s="38"/>
      <c r="F637" s="38"/>
    </row>
    <row r="638">
      <c r="E638" s="38"/>
      <c r="F638" s="38"/>
    </row>
    <row r="639">
      <c r="E639" s="38"/>
      <c r="F639" s="38"/>
    </row>
    <row r="640">
      <c r="E640" s="38"/>
      <c r="F640" s="38"/>
    </row>
    <row r="641">
      <c r="E641" s="38"/>
      <c r="F641" s="38"/>
    </row>
    <row r="642">
      <c r="E642" s="38"/>
      <c r="F642" s="38"/>
    </row>
    <row r="643">
      <c r="E643" s="38"/>
      <c r="F643" s="38"/>
    </row>
    <row r="644">
      <c r="E644" s="38"/>
      <c r="F644" s="38"/>
    </row>
    <row r="645">
      <c r="E645" s="38"/>
      <c r="F645" s="38"/>
    </row>
    <row r="646">
      <c r="E646" s="38"/>
      <c r="F646" s="38"/>
    </row>
    <row r="647">
      <c r="E647" s="38"/>
      <c r="F647" s="38"/>
    </row>
    <row r="648">
      <c r="E648" s="38"/>
      <c r="F648" s="38"/>
    </row>
    <row r="649">
      <c r="E649" s="38"/>
      <c r="F649" s="38"/>
    </row>
    <row r="650">
      <c r="E650" s="38"/>
      <c r="F650" s="38"/>
    </row>
    <row r="651">
      <c r="E651" s="38"/>
      <c r="F651" s="38"/>
    </row>
    <row r="652">
      <c r="E652" s="38"/>
      <c r="F652" s="38"/>
    </row>
    <row r="653">
      <c r="E653" s="38"/>
      <c r="F653" s="38"/>
    </row>
    <row r="654">
      <c r="E654" s="38"/>
      <c r="F654" s="38"/>
    </row>
    <row r="655">
      <c r="E655" s="38"/>
      <c r="F655" s="38"/>
    </row>
    <row r="656">
      <c r="E656" s="38"/>
      <c r="F656" s="38"/>
    </row>
    <row r="657">
      <c r="E657" s="38"/>
      <c r="F657" s="38"/>
    </row>
    <row r="658">
      <c r="E658" s="38"/>
      <c r="F658" s="38"/>
    </row>
    <row r="659">
      <c r="E659" s="38"/>
      <c r="F659" s="38"/>
    </row>
    <row r="660">
      <c r="E660" s="38"/>
      <c r="F660" s="38"/>
    </row>
    <row r="661">
      <c r="E661" s="38"/>
      <c r="F661" s="38"/>
    </row>
    <row r="662">
      <c r="E662" s="38"/>
      <c r="F662" s="38"/>
    </row>
    <row r="663">
      <c r="E663" s="38"/>
      <c r="F663" s="38"/>
    </row>
    <row r="664">
      <c r="E664" s="38"/>
      <c r="F664" s="38"/>
    </row>
    <row r="665">
      <c r="E665" s="38"/>
      <c r="F665" s="38"/>
    </row>
    <row r="666">
      <c r="E666" s="38"/>
      <c r="F666" s="38"/>
    </row>
    <row r="667">
      <c r="E667" s="38"/>
      <c r="F667" s="38"/>
    </row>
    <row r="668">
      <c r="E668" s="38"/>
      <c r="F668" s="38"/>
    </row>
    <row r="669">
      <c r="E669" s="38"/>
      <c r="F669" s="38"/>
    </row>
    <row r="670">
      <c r="E670" s="38"/>
      <c r="F670" s="38"/>
    </row>
    <row r="671">
      <c r="E671" s="38"/>
      <c r="F671" s="38"/>
    </row>
    <row r="672">
      <c r="E672" s="38"/>
      <c r="F672" s="38"/>
    </row>
    <row r="673">
      <c r="E673" s="38"/>
      <c r="F673" s="38"/>
    </row>
    <row r="674">
      <c r="E674" s="38"/>
      <c r="F674" s="38"/>
    </row>
    <row r="675">
      <c r="E675" s="38"/>
      <c r="F675" s="38"/>
    </row>
    <row r="676">
      <c r="E676" s="38"/>
      <c r="F676" s="38"/>
    </row>
    <row r="677">
      <c r="E677" s="38"/>
      <c r="F677" s="38"/>
    </row>
    <row r="678">
      <c r="E678" s="38"/>
      <c r="F678" s="38"/>
    </row>
    <row r="679">
      <c r="E679" s="38"/>
      <c r="F679" s="38"/>
    </row>
    <row r="680">
      <c r="E680" s="38"/>
      <c r="F680" s="38"/>
    </row>
    <row r="681">
      <c r="E681" s="38"/>
      <c r="F681" s="38"/>
    </row>
    <row r="682">
      <c r="E682" s="38"/>
      <c r="F682" s="38"/>
    </row>
    <row r="683">
      <c r="E683" s="38"/>
      <c r="F683" s="38"/>
    </row>
    <row r="684">
      <c r="E684" s="38"/>
      <c r="F684" s="38"/>
    </row>
    <row r="685">
      <c r="E685" s="38"/>
      <c r="F685" s="38"/>
    </row>
    <row r="686">
      <c r="E686" s="38"/>
      <c r="F686" s="38"/>
    </row>
    <row r="687">
      <c r="E687" s="38"/>
      <c r="F687" s="38"/>
    </row>
    <row r="688">
      <c r="E688" s="38"/>
      <c r="F688" s="38"/>
    </row>
    <row r="689">
      <c r="E689" s="38"/>
      <c r="F689" s="38"/>
    </row>
    <row r="690">
      <c r="E690" s="38"/>
      <c r="F690" s="38"/>
    </row>
    <row r="691">
      <c r="E691" s="38"/>
      <c r="F691" s="38"/>
    </row>
    <row r="692">
      <c r="E692" s="38"/>
      <c r="F692" s="38"/>
    </row>
    <row r="693">
      <c r="E693" s="38"/>
      <c r="F693" s="38"/>
    </row>
    <row r="694">
      <c r="E694" s="38"/>
      <c r="F694" s="38"/>
    </row>
    <row r="695">
      <c r="E695" s="38"/>
      <c r="F695" s="38"/>
    </row>
    <row r="696">
      <c r="E696" s="38"/>
      <c r="F696" s="38"/>
    </row>
    <row r="697">
      <c r="E697" s="38"/>
      <c r="F697" s="38"/>
    </row>
    <row r="698">
      <c r="E698" s="38"/>
      <c r="F698" s="38"/>
    </row>
    <row r="699">
      <c r="E699" s="38"/>
      <c r="F699" s="38"/>
    </row>
    <row r="700">
      <c r="E700" s="38"/>
      <c r="F700" s="38"/>
    </row>
    <row r="701">
      <c r="E701" s="38"/>
      <c r="F701" s="38"/>
    </row>
    <row r="702">
      <c r="E702" s="38"/>
      <c r="F702" s="38"/>
    </row>
    <row r="703">
      <c r="E703" s="38"/>
      <c r="F703" s="38"/>
    </row>
    <row r="704">
      <c r="E704" s="38"/>
      <c r="F704" s="38"/>
    </row>
    <row r="705">
      <c r="E705" s="38"/>
      <c r="F705" s="38"/>
    </row>
    <row r="706">
      <c r="E706" s="38"/>
      <c r="F706" s="38"/>
    </row>
    <row r="707">
      <c r="E707" s="38"/>
      <c r="F707" s="38"/>
    </row>
    <row r="708">
      <c r="E708" s="38"/>
      <c r="F708" s="38"/>
    </row>
    <row r="709">
      <c r="E709" s="38"/>
      <c r="F709" s="38"/>
    </row>
    <row r="710">
      <c r="E710" s="38"/>
      <c r="F710" s="38"/>
    </row>
    <row r="711">
      <c r="E711" s="38"/>
      <c r="F711" s="38"/>
    </row>
    <row r="712">
      <c r="E712" s="38"/>
      <c r="F712" s="38"/>
    </row>
    <row r="713">
      <c r="E713" s="38"/>
      <c r="F713" s="38"/>
    </row>
    <row r="714">
      <c r="E714" s="38"/>
      <c r="F714" s="38"/>
    </row>
    <row r="715">
      <c r="E715" s="38"/>
      <c r="F715" s="38"/>
    </row>
    <row r="716">
      <c r="E716" s="38"/>
      <c r="F716" s="38"/>
    </row>
    <row r="717">
      <c r="E717" s="38"/>
      <c r="F717" s="38"/>
    </row>
    <row r="718">
      <c r="E718" s="38"/>
      <c r="F718" s="38"/>
    </row>
    <row r="719">
      <c r="E719" s="38"/>
      <c r="F719" s="38"/>
    </row>
    <row r="720">
      <c r="E720" s="38"/>
      <c r="F720" s="38"/>
    </row>
    <row r="721">
      <c r="E721" s="38"/>
      <c r="F721" s="38"/>
    </row>
    <row r="722">
      <c r="E722" s="38"/>
      <c r="F722" s="38"/>
    </row>
    <row r="723">
      <c r="E723" s="38"/>
      <c r="F723" s="38"/>
    </row>
    <row r="724">
      <c r="E724" s="38"/>
      <c r="F724" s="38"/>
    </row>
    <row r="725">
      <c r="E725" s="38"/>
      <c r="F725" s="38"/>
    </row>
    <row r="726">
      <c r="E726" s="38"/>
      <c r="F726" s="38"/>
    </row>
    <row r="727">
      <c r="E727" s="38"/>
      <c r="F727" s="38"/>
    </row>
    <row r="728">
      <c r="E728" s="38"/>
      <c r="F728" s="38"/>
    </row>
    <row r="729">
      <c r="E729" s="38"/>
      <c r="F729" s="38"/>
    </row>
    <row r="730">
      <c r="E730" s="38"/>
      <c r="F730" s="38"/>
    </row>
    <row r="731">
      <c r="E731" s="38"/>
      <c r="F731" s="38"/>
    </row>
    <row r="732">
      <c r="E732" s="38"/>
      <c r="F732" s="38"/>
    </row>
    <row r="733">
      <c r="E733" s="38"/>
      <c r="F733" s="38"/>
    </row>
    <row r="734">
      <c r="E734" s="38"/>
      <c r="F734" s="38"/>
    </row>
    <row r="735">
      <c r="E735" s="38"/>
      <c r="F735" s="38"/>
    </row>
    <row r="736">
      <c r="E736" s="38"/>
      <c r="F736" s="38"/>
    </row>
    <row r="737">
      <c r="E737" s="38"/>
      <c r="F737" s="38"/>
    </row>
    <row r="738">
      <c r="E738" s="38"/>
      <c r="F738" s="38"/>
    </row>
    <row r="739">
      <c r="E739" s="38"/>
      <c r="F739" s="38"/>
    </row>
    <row r="740">
      <c r="E740" s="38"/>
      <c r="F740" s="38"/>
    </row>
    <row r="741">
      <c r="E741" s="38"/>
      <c r="F741" s="38"/>
    </row>
    <row r="742">
      <c r="E742" s="38"/>
      <c r="F742" s="38"/>
    </row>
    <row r="743">
      <c r="E743" s="38"/>
      <c r="F743" s="38"/>
    </row>
    <row r="744">
      <c r="E744" s="38"/>
      <c r="F744" s="38"/>
    </row>
    <row r="745">
      <c r="E745" s="38"/>
      <c r="F745" s="38"/>
    </row>
    <row r="746">
      <c r="E746" s="38"/>
      <c r="F746" s="38"/>
    </row>
    <row r="747">
      <c r="E747" s="38"/>
      <c r="F747" s="38"/>
    </row>
    <row r="748">
      <c r="E748" s="38"/>
      <c r="F748" s="38"/>
    </row>
    <row r="749">
      <c r="E749" s="38"/>
      <c r="F749" s="38"/>
    </row>
    <row r="750">
      <c r="E750" s="38"/>
      <c r="F750" s="38"/>
    </row>
    <row r="751">
      <c r="E751" s="38"/>
      <c r="F751" s="38"/>
    </row>
    <row r="752">
      <c r="E752" s="38"/>
      <c r="F752" s="38"/>
    </row>
    <row r="753">
      <c r="E753" s="38"/>
      <c r="F753" s="38"/>
    </row>
    <row r="754">
      <c r="E754" s="38"/>
      <c r="F754" s="38"/>
    </row>
    <row r="755">
      <c r="E755" s="38"/>
      <c r="F755" s="38"/>
    </row>
    <row r="756">
      <c r="E756" s="38"/>
      <c r="F756" s="38"/>
    </row>
    <row r="757">
      <c r="E757" s="38"/>
      <c r="F757" s="38"/>
    </row>
    <row r="758">
      <c r="E758" s="38"/>
      <c r="F758" s="38"/>
    </row>
    <row r="759">
      <c r="E759" s="38"/>
      <c r="F759" s="38"/>
    </row>
    <row r="760">
      <c r="E760" s="38"/>
      <c r="F760" s="38"/>
    </row>
    <row r="761">
      <c r="E761" s="38"/>
      <c r="F761" s="38"/>
    </row>
    <row r="762">
      <c r="E762" s="38"/>
      <c r="F762" s="38"/>
    </row>
    <row r="763">
      <c r="E763" s="38"/>
      <c r="F763" s="38"/>
    </row>
    <row r="764">
      <c r="E764" s="38"/>
      <c r="F764" s="38"/>
    </row>
    <row r="765">
      <c r="E765" s="38"/>
      <c r="F765" s="38"/>
    </row>
    <row r="766">
      <c r="E766" s="38"/>
      <c r="F766" s="38"/>
    </row>
    <row r="767">
      <c r="E767" s="38"/>
      <c r="F767" s="38"/>
    </row>
    <row r="768">
      <c r="E768" s="38"/>
      <c r="F768" s="38"/>
    </row>
    <row r="769">
      <c r="E769" s="38"/>
      <c r="F769" s="38"/>
    </row>
    <row r="770">
      <c r="E770" s="38"/>
      <c r="F770" s="38"/>
    </row>
    <row r="771">
      <c r="E771" s="38"/>
      <c r="F771" s="38"/>
    </row>
    <row r="772">
      <c r="E772" s="38"/>
      <c r="F772" s="38"/>
    </row>
    <row r="773">
      <c r="E773" s="38"/>
      <c r="F773" s="38"/>
    </row>
    <row r="774">
      <c r="E774" s="38"/>
      <c r="F774" s="38"/>
    </row>
    <row r="775">
      <c r="E775" s="38"/>
      <c r="F775" s="38"/>
    </row>
    <row r="776">
      <c r="E776" s="38"/>
      <c r="F776" s="38"/>
    </row>
    <row r="777">
      <c r="E777" s="38"/>
      <c r="F777" s="38"/>
    </row>
    <row r="778">
      <c r="E778" s="38"/>
      <c r="F778" s="38"/>
    </row>
    <row r="779">
      <c r="E779" s="38"/>
      <c r="F779" s="38"/>
    </row>
    <row r="780">
      <c r="E780" s="38"/>
      <c r="F780" s="38"/>
    </row>
    <row r="781">
      <c r="E781" s="38"/>
      <c r="F781" s="38"/>
    </row>
    <row r="782">
      <c r="E782" s="38"/>
      <c r="F782" s="38"/>
    </row>
    <row r="783">
      <c r="E783" s="38"/>
      <c r="F783" s="38"/>
    </row>
    <row r="784">
      <c r="E784" s="38"/>
      <c r="F784" s="38"/>
    </row>
    <row r="785">
      <c r="E785" s="38"/>
      <c r="F785" s="38"/>
    </row>
    <row r="786">
      <c r="E786" s="38"/>
      <c r="F786" s="38"/>
    </row>
    <row r="787">
      <c r="E787" s="38"/>
      <c r="F787" s="38"/>
    </row>
    <row r="788">
      <c r="E788" s="38"/>
      <c r="F788" s="38"/>
    </row>
    <row r="789">
      <c r="E789" s="38"/>
      <c r="F789" s="38"/>
    </row>
    <row r="790">
      <c r="E790" s="38"/>
      <c r="F790" s="38"/>
    </row>
    <row r="791">
      <c r="E791" s="38"/>
      <c r="F791" s="38"/>
    </row>
    <row r="792">
      <c r="E792" s="38"/>
      <c r="F792" s="38"/>
    </row>
    <row r="793">
      <c r="E793" s="38"/>
      <c r="F793" s="38"/>
    </row>
    <row r="794">
      <c r="E794" s="38"/>
      <c r="F794" s="38"/>
    </row>
    <row r="795">
      <c r="E795" s="38"/>
      <c r="F795" s="38"/>
    </row>
    <row r="796">
      <c r="E796" s="38"/>
      <c r="F796" s="38"/>
    </row>
    <row r="797">
      <c r="E797" s="38"/>
      <c r="F797" s="38"/>
    </row>
    <row r="798">
      <c r="E798" s="38"/>
      <c r="F798" s="38"/>
    </row>
    <row r="799">
      <c r="E799" s="38"/>
      <c r="F799" s="38"/>
    </row>
    <row r="800">
      <c r="E800" s="38"/>
      <c r="F800" s="38"/>
    </row>
    <row r="801">
      <c r="E801" s="38"/>
      <c r="F801" s="38"/>
    </row>
    <row r="802">
      <c r="E802" s="38"/>
      <c r="F802" s="38"/>
    </row>
    <row r="803">
      <c r="E803" s="38"/>
      <c r="F803" s="38"/>
    </row>
    <row r="804">
      <c r="E804" s="38"/>
      <c r="F804" s="38"/>
    </row>
    <row r="805">
      <c r="E805" s="38"/>
      <c r="F805" s="38"/>
    </row>
    <row r="806">
      <c r="E806" s="38"/>
      <c r="F806" s="38"/>
    </row>
    <row r="807">
      <c r="E807" s="38"/>
      <c r="F807" s="38"/>
    </row>
    <row r="808">
      <c r="E808" s="38"/>
      <c r="F808" s="38"/>
    </row>
    <row r="809">
      <c r="E809" s="38"/>
      <c r="F809" s="38"/>
    </row>
    <row r="810">
      <c r="E810" s="38"/>
      <c r="F810" s="38"/>
    </row>
    <row r="811">
      <c r="E811" s="38"/>
      <c r="F811" s="38"/>
    </row>
    <row r="812">
      <c r="E812" s="38"/>
      <c r="F812" s="38"/>
    </row>
    <row r="813">
      <c r="E813" s="38"/>
      <c r="F813" s="38"/>
    </row>
    <row r="814">
      <c r="E814" s="38"/>
      <c r="F814" s="38"/>
    </row>
    <row r="815">
      <c r="E815" s="38"/>
      <c r="F815" s="38"/>
    </row>
    <row r="816">
      <c r="E816" s="38"/>
      <c r="F816" s="38"/>
    </row>
    <row r="817">
      <c r="E817" s="38"/>
      <c r="F817" s="38"/>
    </row>
    <row r="818">
      <c r="E818" s="38"/>
      <c r="F818" s="38"/>
    </row>
    <row r="819">
      <c r="E819" s="38"/>
      <c r="F819" s="38"/>
    </row>
    <row r="820">
      <c r="E820" s="38"/>
      <c r="F820" s="38"/>
    </row>
    <row r="821">
      <c r="E821" s="38"/>
      <c r="F821" s="38"/>
    </row>
    <row r="822">
      <c r="E822" s="38"/>
      <c r="F822" s="38"/>
    </row>
    <row r="823">
      <c r="E823" s="38"/>
      <c r="F823" s="38"/>
    </row>
    <row r="824">
      <c r="E824" s="38"/>
      <c r="F824" s="38"/>
    </row>
    <row r="825">
      <c r="E825" s="38"/>
      <c r="F825" s="38"/>
    </row>
    <row r="826">
      <c r="E826" s="38"/>
      <c r="F826" s="38"/>
    </row>
    <row r="827">
      <c r="E827" s="38"/>
      <c r="F827" s="38"/>
    </row>
    <row r="828">
      <c r="E828" s="38"/>
      <c r="F828" s="38"/>
    </row>
    <row r="829">
      <c r="E829" s="38"/>
      <c r="F829" s="38"/>
    </row>
    <row r="830">
      <c r="E830" s="38"/>
      <c r="F830" s="38"/>
    </row>
    <row r="831">
      <c r="E831" s="38"/>
      <c r="F831" s="38"/>
    </row>
    <row r="832">
      <c r="E832" s="38"/>
      <c r="F832" s="38"/>
    </row>
    <row r="833">
      <c r="E833" s="38"/>
      <c r="F833" s="38"/>
    </row>
    <row r="834">
      <c r="E834" s="38"/>
      <c r="F834" s="38"/>
    </row>
    <row r="835">
      <c r="E835" s="38"/>
      <c r="F835" s="38"/>
    </row>
    <row r="836">
      <c r="E836" s="38"/>
      <c r="F836" s="38"/>
    </row>
    <row r="837">
      <c r="E837" s="38"/>
      <c r="F837" s="38"/>
    </row>
    <row r="838">
      <c r="E838" s="38"/>
      <c r="F838" s="38"/>
    </row>
    <row r="839">
      <c r="E839" s="38"/>
      <c r="F839" s="38"/>
    </row>
    <row r="840">
      <c r="E840" s="38"/>
      <c r="F840" s="38"/>
    </row>
    <row r="841">
      <c r="E841" s="38"/>
      <c r="F841" s="38"/>
    </row>
    <row r="842">
      <c r="E842" s="38"/>
      <c r="F842" s="38"/>
    </row>
    <row r="843">
      <c r="E843" s="38"/>
      <c r="F843" s="38"/>
    </row>
    <row r="844">
      <c r="E844" s="38"/>
      <c r="F844" s="38"/>
    </row>
    <row r="845">
      <c r="E845" s="38"/>
      <c r="F845" s="38"/>
    </row>
    <row r="846">
      <c r="E846" s="38"/>
      <c r="F846" s="38"/>
    </row>
    <row r="847">
      <c r="E847" s="38"/>
      <c r="F847" s="38"/>
    </row>
    <row r="848">
      <c r="E848" s="38"/>
      <c r="F848" s="38"/>
    </row>
    <row r="849">
      <c r="E849" s="38"/>
      <c r="F849" s="38"/>
    </row>
    <row r="850">
      <c r="E850" s="38"/>
      <c r="F850" s="38"/>
    </row>
    <row r="851">
      <c r="E851" s="38"/>
      <c r="F851" s="38"/>
    </row>
    <row r="852">
      <c r="E852" s="38"/>
      <c r="F852" s="38"/>
    </row>
    <row r="853">
      <c r="E853" s="38"/>
      <c r="F853" s="38"/>
    </row>
    <row r="854">
      <c r="E854" s="38"/>
      <c r="F854" s="38"/>
    </row>
    <row r="855">
      <c r="E855" s="38"/>
      <c r="F855" s="38"/>
    </row>
    <row r="856">
      <c r="E856" s="38"/>
      <c r="F856" s="38"/>
    </row>
    <row r="857">
      <c r="E857" s="38"/>
      <c r="F857" s="38"/>
    </row>
    <row r="858">
      <c r="E858" s="38"/>
      <c r="F858" s="38"/>
    </row>
    <row r="859">
      <c r="E859" s="38"/>
      <c r="F859" s="38"/>
    </row>
    <row r="860">
      <c r="E860" s="38"/>
      <c r="F860" s="38"/>
    </row>
    <row r="861">
      <c r="E861" s="38"/>
      <c r="F861" s="38"/>
    </row>
    <row r="862">
      <c r="E862" s="38"/>
      <c r="F862" s="38"/>
    </row>
    <row r="863">
      <c r="E863" s="38"/>
      <c r="F863" s="38"/>
    </row>
    <row r="864">
      <c r="E864" s="38"/>
      <c r="F864" s="38"/>
    </row>
    <row r="865">
      <c r="E865" s="38"/>
      <c r="F865" s="38"/>
    </row>
    <row r="866">
      <c r="E866" s="38"/>
      <c r="F866" s="38"/>
    </row>
    <row r="867">
      <c r="E867" s="38"/>
      <c r="F867" s="38"/>
    </row>
    <row r="868">
      <c r="E868" s="38"/>
      <c r="F868" s="38"/>
    </row>
    <row r="869">
      <c r="E869" s="38"/>
      <c r="F869" s="38"/>
    </row>
    <row r="870">
      <c r="E870" s="38"/>
      <c r="F870" s="38"/>
    </row>
    <row r="871">
      <c r="E871" s="38"/>
      <c r="F871" s="38"/>
    </row>
    <row r="872">
      <c r="E872" s="38"/>
      <c r="F872" s="38"/>
    </row>
    <row r="873">
      <c r="E873" s="38"/>
      <c r="F873" s="38"/>
    </row>
    <row r="874">
      <c r="E874" s="38"/>
      <c r="F874" s="38"/>
    </row>
    <row r="875">
      <c r="E875" s="38"/>
      <c r="F875" s="38"/>
    </row>
    <row r="876">
      <c r="E876" s="38"/>
      <c r="F876" s="38"/>
    </row>
    <row r="877">
      <c r="E877" s="38"/>
      <c r="F877" s="38"/>
    </row>
    <row r="878">
      <c r="E878" s="38"/>
      <c r="F878" s="38"/>
    </row>
    <row r="879">
      <c r="E879" s="38"/>
      <c r="F879" s="38"/>
    </row>
    <row r="880">
      <c r="E880" s="38"/>
      <c r="F880" s="38"/>
    </row>
    <row r="881">
      <c r="E881" s="38"/>
      <c r="F881" s="38"/>
    </row>
    <row r="882">
      <c r="E882" s="38"/>
      <c r="F882" s="38"/>
    </row>
    <row r="883">
      <c r="E883" s="38"/>
      <c r="F883" s="38"/>
    </row>
    <row r="884">
      <c r="E884" s="38"/>
      <c r="F884" s="38"/>
    </row>
    <row r="885">
      <c r="E885" s="38"/>
      <c r="F885" s="38"/>
    </row>
    <row r="886">
      <c r="E886" s="38"/>
      <c r="F886" s="38"/>
    </row>
    <row r="887">
      <c r="E887" s="38"/>
      <c r="F887" s="38"/>
    </row>
    <row r="888">
      <c r="E888" s="38"/>
      <c r="F888" s="38"/>
    </row>
    <row r="889">
      <c r="E889" s="38"/>
      <c r="F889" s="38"/>
    </row>
    <row r="890">
      <c r="E890" s="38"/>
      <c r="F890" s="38"/>
    </row>
    <row r="891">
      <c r="E891" s="38"/>
      <c r="F891" s="38"/>
    </row>
    <row r="892">
      <c r="E892" s="38"/>
      <c r="F892" s="38"/>
    </row>
    <row r="893">
      <c r="E893" s="38"/>
      <c r="F893" s="38"/>
    </row>
    <row r="894">
      <c r="E894" s="38"/>
      <c r="F894" s="38"/>
    </row>
    <row r="895">
      <c r="E895" s="38"/>
      <c r="F895" s="38"/>
    </row>
    <row r="896">
      <c r="E896" s="38"/>
      <c r="F896" s="38"/>
    </row>
    <row r="897">
      <c r="E897" s="38"/>
      <c r="F897" s="38"/>
    </row>
    <row r="898">
      <c r="E898" s="38"/>
      <c r="F898" s="38"/>
    </row>
    <row r="899">
      <c r="E899" s="38"/>
      <c r="F899" s="38"/>
    </row>
    <row r="900">
      <c r="E900" s="38"/>
      <c r="F900" s="38"/>
    </row>
    <row r="901">
      <c r="E901" s="38"/>
      <c r="F901" s="38"/>
    </row>
    <row r="902">
      <c r="E902" s="38"/>
      <c r="F902" s="38"/>
    </row>
    <row r="903">
      <c r="E903" s="38"/>
      <c r="F903" s="38"/>
    </row>
    <row r="904">
      <c r="E904" s="38"/>
      <c r="F904" s="38"/>
    </row>
    <row r="905">
      <c r="E905" s="38"/>
      <c r="F905" s="38"/>
    </row>
    <row r="906">
      <c r="E906" s="38"/>
      <c r="F906" s="38"/>
    </row>
    <row r="907">
      <c r="E907" s="38"/>
      <c r="F907" s="38"/>
    </row>
    <row r="908">
      <c r="E908" s="38"/>
      <c r="F908" s="38"/>
    </row>
    <row r="909">
      <c r="E909" s="38"/>
      <c r="F909" s="38"/>
    </row>
    <row r="910">
      <c r="E910" s="38"/>
      <c r="F910" s="38"/>
    </row>
    <row r="911">
      <c r="E911" s="38"/>
      <c r="F911" s="38"/>
    </row>
    <row r="912">
      <c r="E912" s="38"/>
      <c r="F912" s="38"/>
    </row>
    <row r="913">
      <c r="E913" s="38"/>
      <c r="F913" s="38"/>
    </row>
    <row r="914">
      <c r="E914" s="38"/>
      <c r="F914" s="38"/>
    </row>
    <row r="915">
      <c r="E915" s="38"/>
      <c r="F915" s="38"/>
    </row>
    <row r="916">
      <c r="E916" s="38"/>
      <c r="F916" s="38"/>
    </row>
    <row r="917">
      <c r="E917" s="38"/>
      <c r="F917" s="38"/>
    </row>
    <row r="918">
      <c r="E918" s="38"/>
      <c r="F918" s="38"/>
    </row>
    <row r="919">
      <c r="E919" s="38"/>
      <c r="F919" s="38"/>
    </row>
    <row r="920">
      <c r="E920" s="38"/>
      <c r="F920" s="38"/>
    </row>
    <row r="921">
      <c r="E921" s="38"/>
      <c r="F921" s="38"/>
    </row>
    <row r="922">
      <c r="E922" s="38"/>
      <c r="F922" s="38"/>
    </row>
    <row r="923">
      <c r="E923" s="38"/>
      <c r="F923" s="38"/>
    </row>
    <row r="924">
      <c r="E924" s="38"/>
      <c r="F924" s="38"/>
    </row>
    <row r="925">
      <c r="E925" s="38"/>
      <c r="F925" s="38"/>
    </row>
    <row r="926">
      <c r="E926" s="38"/>
      <c r="F926" s="38"/>
    </row>
    <row r="927">
      <c r="E927" s="38"/>
      <c r="F927" s="38"/>
    </row>
    <row r="928">
      <c r="E928" s="38"/>
      <c r="F928" s="38"/>
    </row>
    <row r="929">
      <c r="E929" s="38"/>
      <c r="F929" s="38"/>
    </row>
    <row r="930">
      <c r="E930" s="38"/>
      <c r="F930" s="38"/>
    </row>
    <row r="931">
      <c r="E931" s="38"/>
      <c r="F931" s="38"/>
    </row>
    <row r="932">
      <c r="E932" s="38"/>
      <c r="F932" s="38"/>
    </row>
    <row r="933">
      <c r="E933" s="38"/>
      <c r="F933" s="38"/>
    </row>
    <row r="934">
      <c r="E934" s="38"/>
      <c r="F934" s="38"/>
    </row>
    <row r="935">
      <c r="E935" s="38"/>
      <c r="F935" s="38"/>
    </row>
    <row r="936">
      <c r="E936" s="38"/>
      <c r="F936" s="38"/>
    </row>
    <row r="937">
      <c r="E937" s="38"/>
      <c r="F937" s="38"/>
    </row>
    <row r="938">
      <c r="E938" s="38"/>
      <c r="F938" s="38"/>
    </row>
    <row r="939">
      <c r="E939" s="38"/>
      <c r="F939" s="38"/>
    </row>
    <row r="940">
      <c r="E940" s="38"/>
      <c r="F940" s="38"/>
    </row>
    <row r="941">
      <c r="E941" s="38"/>
      <c r="F941" s="38"/>
    </row>
    <row r="942">
      <c r="E942" s="38"/>
      <c r="F942" s="38"/>
    </row>
    <row r="943">
      <c r="E943" s="38"/>
      <c r="F943" s="38"/>
    </row>
    <row r="944">
      <c r="E944" s="38"/>
      <c r="F944" s="38"/>
    </row>
    <row r="945">
      <c r="E945" s="38"/>
      <c r="F945" s="38"/>
    </row>
    <row r="946">
      <c r="E946" s="38"/>
      <c r="F946" s="38"/>
    </row>
    <row r="947">
      <c r="E947" s="38"/>
      <c r="F947" s="38"/>
    </row>
    <row r="948">
      <c r="E948" s="38"/>
      <c r="F948" s="38"/>
    </row>
    <row r="949">
      <c r="E949" s="38"/>
      <c r="F949" s="38"/>
    </row>
    <row r="950">
      <c r="E950" s="38"/>
      <c r="F950" s="38"/>
    </row>
    <row r="951">
      <c r="E951" s="38"/>
      <c r="F951" s="38"/>
    </row>
    <row r="952">
      <c r="E952" s="38"/>
      <c r="F952" s="38"/>
    </row>
    <row r="953">
      <c r="E953" s="38"/>
      <c r="F953" s="38"/>
    </row>
    <row r="954">
      <c r="E954" s="38"/>
      <c r="F954" s="38"/>
    </row>
    <row r="955">
      <c r="E955" s="38"/>
      <c r="F955" s="38"/>
    </row>
    <row r="956">
      <c r="E956" s="38"/>
      <c r="F956" s="38"/>
    </row>
    <row r="957">
      <c r="E957" s="38"/>
      <c r="F957" s="38"/>
    </row>
    <row r="958">
      <c r="E958" s="38"/>
      <c r="F958" s="38"/>
    </row>
    <row r="959">
      <c r="E959" s="38"/>
      <c r="F959" s="38"/>
    </row>
    <row r="960">
      <c r="E960" s="38"/>
      <c r="F960" s="38"/>
    </row>
    <row r="961">
      <c r="E961" s="38"/>
      <c r="F961" s="38"/>
    </row>
    <row r="962">
      <c r="E962" s="38"/>
      <c r="F962" s="38"/>
    </row>
    <row r="963">
      <c r="E963" s="38"/>
      <c r="F963" s="38"/>
    </row>
    <row r="964">
      <c r="E964" s="38"/>
      <c r="F964" s="38"/>
    </row>
    <row r="965">
      <c r="E965" s="38"/>
      <c r="F965" s="38"/>
    </row>
    <row r="966">
      <c r="E966" s="38"/>
      <c r="F966" s="38"/>
    </row>
    <row r="967">
      <c r="E967" s="38"/>
      <c r="F967" s="38"/>
    </row>
    <row r="968">
      <c r="E968" s="38"/>
      <c r="F968" s="38"/>
    </row>
    <row r="969">
      <c r="E969" s="38"/>
      <c r="F969" s="38"/>
    </row>
    <row r="970">
      <c r="E970" s="38"/>
      <c r="F970" s="38"/>
    </row>
    <row r="971">
      <c r="E971" s="38"/>
      <c r="F971" s="38"/>
    </row>
    <row r="972">
      <c r="E972" s="38"/>
      <c r="F972" s="38"/>
    </row>
    <row r="973">
      <c r="E973" s="38"/>
      <c r="F973" s="38"/>
    </row>
    <row r="974">
      <c r="E974" s="38"/>
      <c r="F974" s="38"/>
    </row>
    <row r="975">
      <c r="E975" s="38"/>
      <c r="F975" s="38"/>
    </row>
    <row r="976">
      <c r="E976" s="38"/>
      <c r="F976" s="38"/>
    </row>
    <row r="977">
      <c r="E977" s="38"/>
      <c r="F977" s="38"/>
    </row>
    <row r="978">
      <c r="E978" s="38"/>
      <c r="F978" s="38"/>
    </row>
    <row r="979">
      <c r="E979" s="38"/>
      <c r="F979" s="38"/>
    </row>
    <row r="980">
      <c r="E980" s="38"/>
      <c r="F980" s="38"/>
    </row>
    <row r="981">
      <c r="E981" s="38"/>
      <c r="F981" s="38"/>
    </row>
    <row r="982">
      <c r="E982" s="38"/>
      <c r="F982" s="38"/>
    </row>
    <row r="983">
      <c r="E983" s="38"/>
      <c r="F983" s="38"/>
    </row>
    <row r="984">
      <c r="E984" s="38"/>
      <c r="F984" s="38"/>
    </row>
    <row r="985">
      <c r="E985" s="38"/>
      <c r="F985" s="38"/>
    </row>
    <row r="986">
      <c r="E986" s="38"/>
      <c r="F986" s="38"/>
    </row>
    <row r="987">
      <c r="E987" s="38"/>
      <c r="F987" s="38"/>
    </row>
    <row r="988">
      <c r="E988" s="38"/>
      <c r="F988" s="38"/>
    </row>
    <row r="989">
      <c r="E989" s="38"/>
      <c r="F989" s="38"/>
    </row>
    <row r="990">
      <c r="E990" s="38"/>
      <c r="F990" s="38"/>
    </row>
    <row r="991">
      <c r="E991" s="38"/>
      <c r="F991" s="38"/>
    </row>
    <row r="992">
      <c r="E992" s="38"/>
      <c r="F992" s="38"/>
    </row>
    <row r="993">
      <c r="E993" s="38"/>
      <c r="F993" s="38"/>
    </row>
    <row r="994">
      <c r="E994" s="38"/>
      <c r="F994" s="38"/>
    </row>
    <row r="995">
      <c r="E995" s="38"/>
      <c r="F995" s="38"/>
    </row>
    <row r="996">
      <c r="E996" s="38"/>
      <c r="F996" s="38"/>
    </row>
    <row r="997">
      <c r="E997" s="38"/>
      <c r="F997" s="38"/>
    </row>
    <row r="998">
      <c r="E998" s="38"/>
      <c r="F998" s="38"/>
    </row>
    <row r="999">
      <c r="E999" s="38"/>
      <c r="F999" s="38"/>
    </row>
    <row r="1000">
      <c r="E1000" s="38"/>
      <c r="F1000" s="38"/>
    </row>
    <row r="1001">
      <c r="E1001" s="38"/>
      <c r="F1001" s="38"/>
    </row>
  </sheetData>
  <conditionalFormatting sqref="A21:F1001">
    <cfRule type="expression" dxfId="1" priority="1">
      <formula>$F21="No"</formula>
    </cfRule>
  </conditionalFormatting>
  <dataValidations>
    <dataValidation type="list" allowBlank="1" showErrorMessage="1" sqref="E21:E1001">
      <formula1>'Lists &amp; Settings'!$M$2:$M1001</formula1>
    </dataValidation>
    <dataValidation type="list" allowBlank="1" showErrorMessage="1" sqref="F21:F1001">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3.88"/>
    <col customWidth="1" min="5" max="5" width="23.75"/>
    <col customWidth="1" min="6" max="6" width="13.88"/>
    <col customWidth="1" min="10" max="10" width="13.88"/>
    <col customWidth="1" min="13" max="13" width="14.25"/>
    <col customWidth="1" min="17" max="17" width="28.63"/>
    <col customWidth="1" min="18" max="18" width="13.88"/>
  </cols>
  <sheetData>
    <row r="1">
      <c r="A1" s="76" t="s">
        <v>287</v>
      </c>
      <c r="B1" s="77">
        <f>SUM('Volunteer Log'!J2:J1000)</f>
        <v>14609.41667</v>
      </c>
    </row>
    <row r="2">
      <c r="A2" s="78" t="s">
        <v>288</v>
      </c>
      <c r="B2" s="79">
        <f>SUM('Volunteer Log'!M2:M1000)</f>
        <v>517273.7891</v>
      </c>
    </row>
    <row r="3">
      <c r="A3" s="78" t="s">
        <v>289</v>
      </c>
      <c r="B3" s="15">
        <f>IFERROR(__xludf.DUMMYFUNCTION("COUNTA(UNIQUE(FILTER('Volunteer Log'!C2:C1000,'Volunteer Log'!C2:C1000&lt;&gt;"""")))"),17.0)</f>
        <v>17</v>
      </c>
    </row>
    <row r="4">
      <c r="A4" s="80" t="s">
        <v>290</v>
      </c>
      <c r="B4" s="34">
        <f>IFERROR(__xludf.DUMMYFUNCTION("COUNTA(FILTER('Volunteer Log'!A2:A1000,'Volunteer Log'!A2:A1000&lt;&gt;""""))"),249.0)</f>
        <v>249</v>
      </c>
    </row>
    <row r="7">
      <c r="A7" s="81" t="s">
        <v>291</v>
      </c>
      <c r="B7" s="82" t="s">
        <v>52</v>
      </c>
      <c r="C7" s="81" t="s">
        <v>28</v>
      </c>
      <c r="D7" s="3"/>
      <c r="E7" s="81" t="s">
        <v>13</v>
      </c>
      <c r="F7" s="83" t="s">
        <v>52</v>
      </c>
      <c r="G7" s="81" t="s">
        <v>28</v>
      </c>
      <c r="H7" s="3"/>
      <c r="I7" s="81" t="s">
        <v>293</v>
      </c>
      <c r="J7" s="82" t="s">
        <v>52</v>
      </c>
      <c r="K7" s="81" t="s">
        <v>28</v>
      </c>
      <c r="L7" s="3"/>
      <c r="M7" s="81" t="s">
        <v>8</v>
      </c>
      <c r="N7" s="81" t="s">
        <v>44</v>
      </c>
      <c r="O7" s="81" t="s">
        <v>28</v>
      </c>
      <c r="P7" s="3"/>
      <c r="Q7" s="81" t="s">
        <v>5</v>
      </c>
      <c r="R7" s="81" t="s">
        <v>52</v>
      </c>
      <c r="S7" s="81" t="s">
        <v>28</v>
      </c>
      <c r="T7" s="3"/>
      <c r="U7" s="3"/>
      <c r="V7" s="3"/>
      <c r="W7" s="3"/>
      <c r="X7" s="3"/>
      <c r="Y7" s="3"/>
      <c r="Z7" s="3"/>
    </row>
    <row r="8">
      <c r="A8" s="1" t="s">
        <v>33</v>
      </c>
      <c r="B8" s="84">
        <f>SUMIF('Volunteer Log'!D:D,A8,'Volunteer Log'!J:J)</f>
        <v>89.966667</v>
      </c>
      <c r="C8" s="85">
        <f>SUMIF('Volunteer Log'!D:D,A8,'Volunteer Log'!M:M)</f>
        <v>3191.117678</v>
      </c>
      <c r="E8" s="16" t="s">
        <v>32</v>
      </c>
      <c r="F8" s="86">
        <f>SUMIF('Volunteer Log'!E:E,E8,'Volunteer Log'!J:J)</f>
        <v>95.150001</v>
      </c>
      <c r="G8" s="85">
        <f>SUMIF('Volunteer Log'!E:E,E8,'Volunteer Log'!M:M)</f>
        <v>3374.970535</v>
      </c>
      <c r="I8" s="87">
        <v>46023.0</v>
      </c>
      <c r="J8" s="84">
        <f>SUMIFS('Volunteer Log'!J:J,'Volunteer Log'!A:A,"&gt;="&amp;I8,'Volunteer Log'!A:A,"&lt;"&amp;EDATE(I8,1))</f>
        <v>1238.416666</v>
      </c>
      <c r="K8" s="85">
        <f>SUMIFS('Volunteer Log'!M:M,'Volunteer Log'!A:A,"&gt;="&amp;I8,'Volunteer Log'!A:A,"&lt;"&amp;EDATE(I8,1))</f>
        <v>43926.63914</v>
      </c>
      <c r="M8" s="38" t="str">
        <f>IFERROR(__xludf.DUMMYFUNCTION("QUERY('Volunteer Log'!C2:J1000,
""select C, sum(J)
 where C is not null
 and E &lt;&gt; 'Participant Hours'
 group by C
 order by sum(J) desc
 label C '', sum(J) ''"",
0)"),"Anna Nelson")</f>
        <v>Anna Nelson</v>
      </c>
      <c r="N8" s="88">
        <f>IFERROR(__xludf.DUMMYFUNCTION("""COMPUTED_VALUE"""),95.51666899999998)</f>
        <v>95.516669</v>
      </c>
      <c r="O8" s="85">
        <f t="array" ref="O8:O1000">IF(M8:M1000="","",SUMIF('Volunteer Log'!C:C,M8:M1000,'Volunteer Log'!M:M))</f>
        <v>5010.728714</v>
      </c>
      <c r="Q8" s="38" t="str">
        <f>IFERROR(__xludf.DUMMYFUNCTION("QUERY('Volunteer Log'!B2:J1000,
""select B, sum(J)
 where B is not null
 group by B
 order by sum(J) desc
 label B '', sum(J) ''"",
0)"),"General - West Jordan Youth Theatre")</f>
        <v>General - West Jordan Youth Theatre</v>
      </c>
      <c r="R8" s="88">
        <f>IFERROR(__xludf.DUMMYFUNCTION("""COMPUTED_VALUE"""),11047.333333)</f>
        <v>11047.33333</v>
      </c>
      <c r="S8" s="85">
        <f t="array" ref="S8:S1000">IF(Q8:Q1000="","",SUMIF('Volunteer Log'!B:B,Q8:Q1000,'Volunteer Log'!M:M))</f>
        <v>391813.4433</v>
      </c>
    </row>
    <row r="9">
      <c r="A9" s="1" t="s">
        <v>43</v>
      </c>
      <c r="B9" s="84">
        <f>SUMIF('Volunteer Log'!D:D,A9,'Volunteer Log'!J:J)</f>
        <v>0</v>
      </c>
      <c r="C9" s="85">
        <f>SUMIF('Volunteer Log'!D:D,A9,'Volunteer Log'!M:M)</f>
        <v>0</v>
      </c>
      <c r="E9" s="16" t="s">
        <v>42</v>
      </c>
      <c r="F9" s="86">
        <f>SUMIF('Volunteer Log'!E:E,E9,'Volunteer Log'!J:J)</f>
        <v>418.283333</v>
      </c>
      <c r="G9" s="85">
        <f>SUMIF('Volunteer Log'!E:E,E9,'Volunteer Log'!M:M)</f>
        <v>13914.28982</v>
      </c>
      <c r="I9" s="87">
        <v>46054.0</v>
      </c>
      <c r="J9" s="84">
        <f>SUMIFS('Volunteer Log'!J:J,'Volunteer Log'!A:A,"&gt;="&amp;I9,'Volunteer Log'!A:A,"&lt;"&amp;EDATE(I9,1))</f>
        <v>1764.333334</v>
      </c>
      <c r="K9" s="85">
        <f>SUMIFS('Volunteer Log'!M:M,'Volunteer Log'!A:A,"&gt;="&amp;I9,'Volunteer Log'!A:A,"&lt;"&amp;EDATE(I9,1))</f>
        <v>61694.15336</v>
      </c>
      <c r="M9" s="38" t="str">
        <f>IFERROR(__xludf.DUMMYFUNCTION("""COMPUTED_VALUE"""),"Diana Larsen")</f>
        <v>Diana Larsen</v>
      </c>
      <c r="N9" s="88">
        <f>IFERROR(__xludf.DUMMYFUNCTION("""COMPUTED_VALUE"""),92.0)</f>
        <v>92</v>
      </c>
      <c r="O9" s="85">
        <v>107202.75446453</v>
      </c>
      <c r="Q9" s="38" t="str">
        <f>IFERROR(__xludf.DUMMYFUNCTION("""COMPUTED_VALUE"""),"General - West Jordan Symphony")</f>
        <v>General - West Jordan Symphony</v>
      </c>
      <c r="R9" s="88">
        <f>IFERROR(__xludf.DUMMYFUNCTION("""COMPUTED_VALUE"""),3149.316666)</f>
        <v>3149.316666</v>
      </c>
      <c r="S9" s="85">
        <v>110819.51214302001</v>
      </c>
    </row>
    <row r="10">
      <c r="A10" s="1" t="s">
        <v>49</v>
      </c>
      <c r="B10" s="84">
        <f>SUMIF('Volunteer Log'!D:D,A10,'Volunteer Log'!J:J)</f>
        <v>33.666666</v>
      </c>
      <c r="C10" s="85">
        <f>SUMIF('Volunteer Log'!D:D,A10,'Volunteer Log'!M:M)</f>
        <v>1194.156643</v>
      </c>
      <c r="E10" s="16" t="s">
        <v>48</v>
      </c>
      <c r="F10" s="86">
        <f>SUMIF('Volunteer Log'!E:E,E10,'Volunteer Log'!J:J)</f>
        <v>14029.78333</v>
      </c>
      <c r="G10" s="85">
        <f>SUMIF('Volunteer Log'!E:E,E10,'Volunteer Log'!M:M)</f>
        <v>497636.4148</v>
      </c>
      <c r="I10" s="87">
        <v>46082.0</v>
      </c>
      <c r="J10" s="84">
        <f>SUMIFS('Volunteer Log'!J:J,'Volunteer Log'!A:A,"&gt;="&amp;I10,'Volunteer Log'!A:A,"&lt;"&amp;EDATE(I10,1))</f>
        <v>1912.399999</v>
      </c>
      <c r="K10" s="85">
        <f>SUMIFS('Volunteer Log'!M:M,'Volunteer Log'!A:A,"&gt;="&amp;I10,'Volunteer Log'!A:A,"&lt;"&amp;EDATE(I10,1))</f>
        <v>67832.82796</v>
      </c>
      <c r="M10" s="38" t="str">
        <f>IFERROR(__xludf.DUMMYFUNCTION("""COMPUTED_VALUE"""),"Maya Collinwood")</f>
        <v>Maya Collinwood</v>
      </c>
      <c r="N10" s="88">
        <f>IFERROR(__xludf.DUMMYFUNCTION("""COMPUTED_VALUE"""),71.5)</f>
        <v>71.5</v>
      </c>
      <c r="O10" s="85">
        <v>2536.105</v>
      </c>
      <c r="Q10" s="38" t="str">
        <f>IFERROR(__xludf.DUMMYFUNCTION("""COMPUTED_VALUE"""),"General - Visual Arts Society")</f>
        <v>General - Visual Arts Society</v>
      </c>
      <c r="R10" s="88">
        <f>IFERROR(__xludf.DUMMYFUNCTION("""COMPUTED_VALUE"""),210.03333500000002)</f>
        <v>210.033335</v>
      </c>
      <c r="S10" s="85">
        <v>7449.8823924499975</v>
      </c>
    </row>
    <row r="11">
      <c r="A11" s="1" t="s">
        <v>53</v>
      </c>
      <c r="B11" s="84">
        <f>SUMIF('Volunteer Log'!D:D,A11,'Volunteer Log'!J:J)</f>
        <v>234.95</v>
      </c>
      <c r="C11" s="85">
        <f>SUMIF('Volunteer Log'!D:D,A11,'Volunteer Log'!M:M)</f>
        <v>8333.6765</v>
      </c>
      <c r="E11" s="16" t="s">
        <v>52</v>
      </c>
      <c r="F11" s="86">
        <f>SUMIF('Volunteer Log'!E:E,E11,'Volunteer Log'!J:J)</f>
        <v>66.200001</v>
      </c>
      <c r="G11" s="85">
        <f>SUMIF('Volunteer Log'!E:E,E11,'Volunteer Log'!M:M)</f>
        <v>2348.114035</v>
      </c>
      <c r="I11" s="87">
        <v>46113.0</v>
      </c>
      <c r="J11" s="84">
        <f>SUMIFS('Volunteer Log'!J:J,'Volunteer Log'!A:A,"&gt;="&amp;I11,'Volunteer Log'!A:A,"&lt;"&amp;EDATE(I11,1))</f>
        <v>4247.483334</v>
      </c>
      <c r="K11" s="85">
        <f>SUMIFS('Volunteer Log'!M:M,'Volunteer Log'!A:A,"&gt;="&amp;I11,'Volunteer Log'!A:A,"&lt;"&amp;EDATE(I11,1))</f>
        <v>150622.7639</v>
      </c>
      <c r="M11" s="38" t="str">
        <f>IFERROR(__xludf.DUMMYFUNCTION("""COMPUTED_VALUE"""),"Chelsea McGee")</f>
        <v>Chelsea McGee</v>
      </c>
      <c r="N11" s="88">
        <f>IFERROR(__xludf.DUMMYFUNCTION("""COMPUTED_VALUE"""),60.466667)</f>
        <v>60.466667</v>
      </c>
      <c r="O11" s="85">
        <v>2144.752678489999</v>
      </c>
      <c r="Q11" s="38" t="str">
        <f>IFERROR(__xludf.DUMMYFUNCTION("""COMPUTED_VALUE"""),"General / No Specific Project")</f>
        <v>General / No Specific Project</v>
      </c>
      <c r="R11" s="88">
        <f>IFERROR(__xludf.DUMMYFUNCTION("""COMPUTED_VALUE"""),81.96666700000002)</f>
        <v>81.966667</v>
      </c>
      <c r="S11" s="85">
        <v>2907.3576784899983</v>
      </c>
    </row>
    <row r="12">
      <c r="A12" s="1" t="s">
        <v>55</v>
      </c>
      <c r="B12" s="84">
        <f>SUMIF('Volunteer Log'!D:D,A12,'Volunteer Log'!J:J)</f>
        <v>0</v>
      </c>
      <c r="C12" s="85">
        <f>SUMIF('Volunteer Log'!D:D,A12,'Volunteer Log'!M:M)</f>
        <v>0</v>
      </c>
      <c r="F12" s="89"/>
      <c r="G12" s="85"/>
      <c r="I12" s="87">
        <v>46143.0</v>
      </c>
      <c r="J12" s="84">
        <f>SUMIFS('Volunteer Log'!J:J,'Volunteer Log'!A:A,"&gt;="&amp;I12,'Volunteer Log'!A:A,"&lt;"&amp;EDATE(I12,1))</f>
        <v>2218.183333</v>
      </c>
      <c r="K12" s="85">
        <f>SUMIFS('Volunteer Log'!M:M,'Volunteer Log'!A:A,"&gt;="&amp;I12,'Volunteer Log'!A:A,"&lt;"&amp;EDATE(I12,1))</f>
        <v>78678.96282</v>
      </c>
      <c r="M12" s="38" t="str">
        <f>IFERROR(__xludf.DUMMYFUNCTION("""COMPUTED_VALUE"""),"Samuel Abramson")</f>
        <v>Samuel Abramson</v>
      </c>
      <c r="N12" s="88">
        <f>IFERROR(__xludf.DUMMYFUNCTION("""COMPUTED_VALUE"""),50.0)</f>
        <v>50</v>
      </c>
      <c r="O12" s="85">
        <v>1773.5</v>
      </c>
      <c r="Q12" s="38" t="str">
        <f>IFERROR(__xludf.DUMMYFUNCTION("""COMPUTED_VALUE"""),"Plein Air 2026")</f>
        <v>Plein Air 2026</v>
      </c>
      <c r="R12" s="88">
        <f>IFERROR(__xludf.DUMMYFUNCTION("""COMPUTED_VALUE"""),58.433332)</f>
        <v>58.433332</v>
      </c>
      <c r="S12" s="85">
        <v>2072.6302860399996</v>
      </c>
    </row>
    <row r="13">
      <c r="A13" s="1" t="s">
        <v>57</v>
      </c>
      <c r="B13" s="84">
        <f>SUMIF('Volunteer Log'!D:D,A13,'Volunteer Log'!J:J)</f>
        <v>0</v>
      </c>
      <c r="C13" s="85">
        <f>SUMIF('Volunteer Log'!D:D,A13,'Volunteer Log'!M:M)</f>
        <v>0</v>
      </c>
      <c r="F13" s="89"/>
      <c r="G13" s="85"/>
      <c r="I13" s="87">
        <v>46174.0</v>
      </c>
      <c r="J13" s="84">
        <f>SUMIFS('Volunteer Log'!J:J,'Volunteer Log'!A:A,"&gt;="&amp;I13,'Volunteer Log'!A:A,"&lt;"&amp;EDATE(I13,1))</f>
        <v>2805.3</v>
      </c>
      <c r="K13" s="85">
        <f>SUMIFS('Volunteer Log'!M:M,'Volunteer Log'!A:A,"&gt;="&amp;I13,'Volunteer Log'!A:A,"&lt;"&amp;EDATE(I13,1))</f>
        <v>99503.991</v>
      </c>
      <c r="M13" s="38" t="str">
        <f>IFERROR(__xludf.DUMMYFUNCTION("""COMPUTED_VALUE"""),"Trevor McFarland")</f>
        <v>Trevor McFarland</v>
      </c>
      <c r="N13" s="88">
        <f>IFERROR(__xludf.DUMMYFUNCTION("""COMPUTED_VALUE"""),50.0)</f>
        <v>50</v>
      </c>
      <c r="O13" s="85">
        <v>1773.5</v>
      </c>
      <c r="Q13" s="38" t="str">
        <f>IFERROR(__xludf.DUMMYFUNCTION("""COMPUTED_VALUE"""),"General - Sugar Factory Playhouse")</f>
        <v>General - Sugar Factory Playhouse</v>
      </c>
      <c r="R13" s="88">
        <f>IFERROR(__xludf.DUMMYFUNCTION("""COMPUTED_VALUE"""),33.666666)</f>
        <v>33.666666</v>
      </c>
      <c r="S13" s="85">
        <v>1194.15664302</v>
      </c>
    </row>
    <row r="14">
      <c r="A14" s="1" t="s">
        <v>60</v>
      </c>
      <c r="B14" s="84">
        <f>SUMIF('Volunteer Log'!D:D,A14,'Volunteer Log'!J:J)</f>
        <v>3149.316666</v>
      </c>
      <c r="C14" s="85">
        <f>SUMIF('Volunteer Log'!D:D,A14,'Volunteer Log'!M:M)</f>
        <v>110819.5121</v>
      </c>
      <c r="F14" s="89"/>
      <c r="G14" s="85"/>
      <c r="I14" s="87">
        <v>46204.0</v>
      </c>
      <c r="J14" s="84">
        <f>SUMIFS('Volunteer Log'!J:J,'Volunteer Log'!A:A,"&gt;="&amp;I14,'Volunteer Log'!A:A,"&lt;"&amp;EDATE(I14,1))</f>
        <v>32.516667</v>
      </c>
      <c r="K14" s="85">
        <f>SUMIFS('Volunteer Log'!M:M,'Volunteer Log'!A:A,"&gt;="&amp;I14,'Volunteer Log'!A:A,"&lt;"&amp;EDATE(I14,1))</f>
        <v>1153.366178</v>
      </c>
      <c r="M14" s="38" t="str">
        <f>IFERROR(__xludf.DUMMYFUNCTION("""COMPUTED_VALUE"""),"Rachel O'Crowley")</f>
        <v>Rachel O'Crowley</v>
      </c>
      <c r="N14" s="88">
        <f>IFERROR(__xludf.DUMMYFUNCTION("""COMPUTED_VALUE"""),47.0)</f>
        <v>47</v>
      </c>
      <c r="O14" s="85">
        <v>1667.0900000000001</v>
      </c>
      <c r="Q14" s="38" t="str">
        <f>IFERROR(__xludf.DUMMYFUNCTION("""COMPUTED_VALUE"""),"Art in the Park May 2026")</f>
        <v>Art in the Park May 2026</v>
      </c>
      <c r="R14" s="88">
        <f>IFERROR(__xludf.DUMMYFUNCTION("""COMPUTED_VALUE"""),10.25)</f>
        <v>10.25</v>
      </c>
      <c r="S14" s="85">
        <v>363.56749999999994</v>
      </c>
    </row>
    <row r="15">
      <c r="A15" s="1" t="s">
        <v>62</v>
      </c>
      <c r="B15" s="84">
        <f>SUMIF('Volunteer Log'!D:D,A15,'Volunteer Log'!J:J)</f>
        <v>0</v>
      </c>
      <c r="C15" s="85">
        <f>SUMIF('Volunteer Log'!D:D,A15,'Volunteer Log'!M:M)</f>
        <v>0</v>
      </c>
      <c r="F15" s="89"/>
      <c r="G15" s="85"/>
      <c r="I15" s="87">
        <v>46235.0</v>
      </c>
      <c r="J15" s="84">
        <f>SUMIFS('Volunteer Log'!J:J,'Volunteer Log'!A:A,"&gt;="&amp;I15,'Volunteer Log'!A:A,"&lt;"&amp;EDATE(I15,1))</f>
        <v>288.050001</v>
      </c>
      <c r="K15" s="85">
        <f>SUMIFS('Volunteer Log'!M:M,'Volunteer Log'!A:A,"&gt;="&amp;I15,'Volunteer Log'!A:A,"&lt;"&amp;EDATE(I15,1))</f>
        <v>10217.13354</v>
      </c>
      <c r="M15" s="38" t="str">
        <f>IFERROR(__xludf.DUMMYFUNCTION("""COMPUTED_VALUE"""),"Jen Crabb")</f>
        <v>Jen Crabb</v>
      </c>
      <c r="N15" s="88">
        <f>IFERROR(__xludf.DUMMYFUNCTION("""COMPUTED_VALUE"""),42.666666)</f>
        <v>42.666666</v>
      </c>
      <c r="O15" s="85">
        <v>1513.38664302</v>
      </c>
      <c r="Q15" s="38" t="str">
        <f>IFERROR(__xludf.DUMMYFUNCTION("""COMPUTED_VALUE"""),"General - Literary Arts Society")</f>
        <v>General - Literary Arts Society</v>
      </c>
      <c r="R15" s="88">
        <f>IFERROR(__xludf.DUMMYFUNCTION("""COMPUTED_VALUE"""),8.166667)</f>
        <v>8.166667</v>
      </c>
      <c r="S15" s="85">
        <v>289.67167849</v>
      </c>
    </row>
    <row r="16">
      <c r="A16" s="1" t="s">
        <v>65</v>
      </c>
      <c r="B16" s="84">
        <f>SUMIF('Volunteer Log'!D:D,A16,'Volunteer Log'!J:J)</f>
        <v>11047.33333</v>
      </c>
      <c r="C16" s="85">
        <f>SUMIF('Volunteer Log'!D:D,A16,'Volunteer Log'!M:M)</f>
        <v>391813.4433</v>
      </c>
      <c r="F16" s="89"/>
      <c r="G16" s="85"/>
      <c r="I16" s="87">
        <v>46266.0</v>
      </c>
      <c r="J16" s="84">
        <f>SUMIFS('Volunteer Log'!J:J,'Volunteer Log'!A:A,"&gt;="&amp;I16,'Volunteer Log'!A:A,"&lt;"&amp;EDATE(I16,1))</f>
        <v>102.516665</v>
      </c>
      <c r="K16" s="85">
        <f>SUMIFS('Volunteer Log'!M:M,'Volunteer Log'!A:A,"&gt;="&amp;I16,'Volunteer Log'!A:A,"&lt;"&amp;EDATE(I16,1))</f>
        <v>3636.266108</v>
      </c>
      <c r="M16" s="38" t="str">
        <f>IFERROR(__xludf.DUMMYFUNCTION("""COMPUTED_VALUE"""),"Briana Thaxton")</f>
        <v>Briana Thaxton</v>
      </c>
      <c r="N16" s="88">
        <f>IFERROR(__xludf.DUMMYFUNCTION("""COMPUTED_VALUE"""),29.499999000000003)</f>
        <v>29.499999</v>
      </c>
      <c r="O16" s="85">
        <v>1046.36496453</v>
      </c>
      <c r="Q16" s="38" t="str">
        <f>IFERROR(__xludf.DUMMYFUNCTION("""COMPUTED_VALUE"""),"Art in the Park 2026")</f>
        <v>Art in the Park 2026</v>
      </c>
      <c r="R16" s="88">
        <f>IFERROR(__xludf.DUMMYFUNCTION("""COMPUTED_VALUE"""),5.066666)</f>
        <v>5.066666</v>
      </c>
      <c r="S16" s="85">
        <v>179.71464301999998</v>
      </c>
    </row>
    <row r="17">
      <c r="F17" s="89"/>
      <c r="G17" s="85"/>
      <c r="I17" s="87">
        <v>46296.0</v>
      </c>
      <c r="J17" s="84">
        <f>SUMIFS('Volunteer Log'!J:J,'Volunteer Log'!A:A,"&gt;="&amp;I17,'Volunteer Log'!A:A,"&lt;"&amp;EDATE(I17,1))</f>
        <v>0.216667</v>
      </c>
      <c r="K17" s="85">
        <f>SUMIFS('Volunteer Log'!M:M,'Volunteer Log'!A:A,"&gt;="&amp;I17,'Volunteer Log'!A:A,"&lt;"&amp;EDATE(I17,1))</f>
        <v>7.68517849</v>
      </c>
      <c r="M17" s="38" t="str">
        <f>IFERROR(__xludf.DUMMYFUNCTION("""COMPUTED_VALUE"""),"Lynette Owens")</f>
        <v>Lynette Owens</v>
      </c>
      <c r="N17" s="88">
        <f>IFERROR(__xludf.DUMMYFUNCTION("""COMPUTED_VALUE"""),6.683334)</f>
        <v>6.683334</v>
      </c>
      <c r="O17" s="85">
        <v>237.05785698</v>
      </c>
      <c r="R17" s="88"/>
      <c r="S17" s="85" t="s">
        <v>179</v>
      </c>
    </row>
    <row r="18">
      <c r="F18" s="89"/>
      <c r="G18" s="85"/>
      <c r="I18" s="87">
        <v>46327.0</v>
      </c>
      <c r="J18" s="84">
        <f>SUMIFS('Volunteer Log'!J:J,'Volunteer Log'!A:A,"&gt;="&amp;I18,'Volunteer Log'!A:A,"&lt;"&amp;EDATE(I18,1))</f>
        <v>0</v>
      </c>
      <c r="K18" s="85">
        <f>SUMIFS('Volunteer Log'!M:M,'Volunteer Log'!A:A,"&gt;="&amp;I18,'Volunteer Log'!A:A,"&lt;"&amp;EDATE(I18,1))</f>
        <v>0</v>
      </c>
      <c r="M18" s="38" t="str">
        <f>IFERROR(__xludf.DUMMYFUNCTION("""COMPUTED_VALUE"""),"Michael Goodman")</f>
        <v>Michael Goodman</v>
      </c>
      <c r="N18" s="88">
        <f>IFERROR(__xludf.DUMMYFUNCTION("""COMPUTED_VALUE"""),4.0)</f>
        <v>4</v>
      </c>
      <c r="O18" s="85">
        <v>141.88</v>
      </c>
      <c r="R18" s="88"/>
      <c r="S18" s="85" t="s">
        <v>179</v>
      </c>
    </row>
    <row r="19">
      <c r="F19" s="89"/>
      <c r="G19" s="85"/>
      <c r="I19" s="87">
        <v>46357.0</v>
      </c>
      <c r="J19" s="84">
        <f>SUMIFS('Volunteer Log'!J:J,'Volunteer Log'!A:A,"&gt;="&amp;I19,'Volunteer Log'!A:A,"&lt;"&amp;EDATE(I19,1))</f>
        <v>0</v>
      </c>
      <c r="K19" s="85">
        <f>SUMIFS('Volunteer Log'!M:M,'Volunteer Log'!A:A,"&gt;="&amp;I19,'Volunteer Log'!A:A,"&lt;"&amp;EDATE(I19,1))</f>
        <v>0</v>
      </c>
      <c r="M19" s="38" t="str">
        <f>IFERROR(__xludf.DUMMYFUNCTION("""COMPUTED_VALUE"""),"Brook Mann")</f>
        <v>Brook Mann</v>
      </c>
      <c r="N19" s="88">
        <f>IFERROR(__xludf.DUMMYFUNCTION("""COMPUTED_VALUE"""),1.333333)</f>
        <v>1.333333</v>
      </c>
      <c r="O19" s="85">
        <v>47.293321510000006</v>
      </c>
      <c r="R19" s="88"/>
      <c r="S19" s="85" t="s">
        <v>179</v>
      </c>
    </row>
    <row r="20">
      <c r="E20" s="1"/>
      <c r="F20" s="89"/>
      <c r="G20" s="85"/>
      <c r="I20" s="90"/>
      <c r="M20" s="38" t="str">
        <f>IFERROR(__xludf.DUMMYFUNCTION("""COMPUTED_VALUE"""),"Kirstin Hoyt")</f>
        <v>Kirstin Hoyt</v>
      </c>
      <c r="N20" s="88">
        <f>IFERROR(__xludf.DUMMYFUNCTION("""COMPUTED_VALUE"""),1.25)</f>
        <v>1.25</v>
      </c>
      <c r="O20" s="85">
        <v>44.3375</v>
      </c>
      <c r="R20" s="88"/>
      <c r="S20" s="85" t="s">
        <v>179</v>
      </c>
    </row>
    <row r="21">
      <c r="M21" s="38" t="str">
        <f>IFERROR(__xludf.DUMMYFUNCTION("""COMPUTED_VALUE"""),"Becca Henrie")</f>
        <v>Becca Henrie</v>
      </c>
      <c r="N21" s="88">
        <f>IFERROR(__xludf.DUMMYFUNCTION("""COMPUTED_VALUE"""),1.0)</f>
        <v>1</v>
      </c>
      <c r="O21" s="85">
        <v>0.0</v>
      </c>
      <c r="R21" s="88"/>
      <c r="S21" s="85" t="s">
        <v>179</v>
      </c>
    </row>
    <row r="22">
      <c r="M22" s="38" t="str">
        <f>IFERROR(__xludf.DUMMYFUNCTION("""COMPUTED_VALUE"""),"Janessa Kimball")</f>
        <v>Janessa Kimball</v>
      </c>
      <c r="N22" s="88">
        <f>IFERROR(__xludf.DUMMYFUNCTION("""COMPUTED_VALUE"""),1.0)</f>
        <v>1</v>
      </c>
      <c r="O22" s="85">
        <v>35.47</v>
      </c>
      <c r="R22" s="88"/>
      <c r="S22" s="85" t="s">
        <v>179</v>
      </c>
    </row>
    <row r="23">
      <c r="M23" s="38" t="str">
        <f>IFERROR(__xludf.DUMMYFUNCTION("""COMPUTED_VALUE"""),"Marche Weffer")</f>
        <v>Marche Weffer</v>
      </c>
      <c r="N23" s="88">
        <f>IFERROR(__xludf.DUMMYFUNCTION("""COMPUTED_VALUE"""),0.7166669999999999)</f>
        <v>0.716667</v>
      </c>
      <c r="O23" s="85">
        <v>25.420178489999998</v>
      </c>
      <c r="R23" s="88"/>
      <c r="S23" s="85" t="s">
        <v>179</v>
      </c>
    </row>
    <row r="24">
      <c r="N24" s="88"/>
      <c r="O24" s="85" t="s">
        <v>179</v>
      </c>
      <c r="R24" s="88"/>
      <c r="S24" s="85" t="s">
        <v>179</v>
      </c>
    </row>
    <row r="25">
      <c r="N25" s="88"/>
      <c r="O25" s="85" t="s">
        <v>179</v>
      </c>
      <c r="R25" s="88"/>
      <c r="S25" s="85" t="s">
        <v>179</v>
      </c>
    </row>
    <row r="26">
      <c r="N26" s="88"/>
      <c r="O26" s="85" t="s">
        <v>179</v>
      </c>
      <c r="R26" s="88"/>
      <c r="S26" s="85" t="s">
        <v>179</v>
      </c>
    </row>
    <row r="27">
      <c r="N27" s="88"/>
      <c r="O27" s="85" t="s">
        <v>179</v>
      </c>
      <c r="R27" s="88"/>
      <c r="S27" s="85" t="s">
        <v>179</v>
      </c>
    </row>
    <row r="28">
      <c r="N28" s="88"/>
      <c r="O28" s="85" t="s">
        <v>179</v>
      </c>
      <c r="R28" s="88"/>
      <c r="S28" s="85" t="s">
        <v>179</v>
      </c>
    </row>
    <row r="29">
      <c r="N29" s="88"/>
      <c r="O29" s="85" t="s">
        <v>179</v>
      </c>
      <c r="R29" s="88"/>
      <c r="S29" s="85" t="s">
        <v>179</v>
      </c>
    </row>
    <row r="30">
      <c r="N30" s="88"/>
      <c r="O30" s="85" t="s">
        <v>179</v>
      </c>
      <c r="R30" s="88"/>
      <c r="S30" s="85" t="s">
        <v>179</v>
      </c>
    </row>
    <row r="31">
      <c r="N31" s="88"/>
      <c r="O31" s="85" t="s">
        <v>179</v>
      </c>
      <c r="R31" s="88"/>
      <c r="S31" s="85" t="s">
        <v>179</v>
      </c>
    </row>
    <row r="32">
      <c r="N32" s="88"/>
      <c r="O32" s="85" t="s">
        <v>179</v>
      </c>
      <c r="R32" s="88"/>
      <c r="S32" s="85" t="s">
        <v>179</v>
      </c>
    </row>
    <row r="33">
      <c r="N33" s="88"/>
      <c r="O33" s="85" t="s">
        <v>179</v>
      </c>
      <c r="R33" s="88"/>
      <c r="S33" s="85" t="s">
        <v>179</v>
      </c>
    </row>
    <row r="34">
      <c r="N34" s="88"/>
      <c r="O34" s="85" t="s">
        <v>179</v>
      </c>
      <c r="R34" s="88"/>
      <c r="S34" s="85" t="s">
        <v>179</v>
      </c>
    </row>
    <row r="35">
      <c r="N35" s="88"/>
      <c r="O35" s="85" t="s">
        <v>179</v>
      </c>
      <c r="R35" s="88"/>
      <c r="S35" s="85" t="s">
        <v>179</v>
      </c>
    </row>
    <row r="36">
      <c r="N36" s="88"/>
      <c r="O36" s="85" t="s">
        <v>179</v>
      </c>
      <c r="R36" s="88"/>
      <c r="S36" s="85" t="s">
        <v>179</v>
      </c>
    </row>
    <row r="37">
      <c r="N37" s="88"/>
      <c r="O37" s="85" t="s">
        <v>179</v>
      </c>
      <c r="R37" s="88"/>
      <c r="S37" s="85" t="s">
        <v>179</v>
      </c>
    </row>
    <row r="38">
      <c r="N38" s="88"/>
      <c r="O38" s="85" t="s">
        <v>179</v>
      </c>
      <c r="R38" s="88"/>
      <c r="S38" s="85" t="s">
        <v>179</v>
      </c>
    </row>
    <row r="39">
      <c r="N39" s="88"/>
      <c r="O39" s="85" t="s">
        <v>179</v>
      </c>
      <c r="R39" s="88"/>
      <c r="S39" s="85" t="s">
        <v>179</v>
      </c>
    </row>
    <row r="40">
      <c r="N40" s="88"/>
      <c r="O40" s="85" t="s">
        <v>179</v>
      </c>
      <c r="R40" s="88"/>
      <c r="S40" s="85" t="s">
        <v>179</v>
      </c>
    </row>
    <row r="41">
      <c r="N41" s="88"/>
      <c r="O41" s="85" t="s">
        <v>179</v>
      </c>
      <c r="R41" s="88"/>
      <c r="S41" s="85" t="s">
        <v>179</v>
      </c>
    </row>
    <row r="42">
      <c r="N42" s="88"/>
      <c r="O42" s="85" t="s">
        <v>179</v>
      </c>
      <c r="R42" s="88"/>
      <c r="S42" s="85" t="s">
        <v>179</v>
      </c>
    </row>
    <row r="43">
      <c r="N43" s="88"/>
      <c r="O43" s="85" t="s">
        <v>179</v>
      </c>
      <c r="R43" s="88"/>
      <c r="S43" s="85" t="s">
        <v>179</v>
      </c>
    </row>
    <row r="44">
      <c r="N44" s="88"/>
      <c r="O44" s="85" t="s">
        <v>179</v>
      </c>
      <c r="R44" s="88"/>
      <c r="S44" s="85" t="s">
        <v>179</v>
      </c>
    </row>
    <row r="45">
      <c r="N45" s="88"/>
      <c r="O45" s="85" t="s">
        <v>179</v>
      </c>
      <c r="R45" s="88"/>
      <c r="S45" s="85" t="s">
        <v>179</v>
      </c>
    </row>
    <row r="46">
      <c r="N46" s="88"/>
      <c r="O46" s="85" t="s">
        <v>179</v>
      </c>
      <c r="R46" s="88"/>
      <c r="S46" s="85" t="s">
        <v>179</v>
      </c>
    </row>
    <row r="47">
      <c r="N47" s="88"/>
      <c r="O47" s="85" t="s">
        <v>179</v>
      </c>
      <c r="R47" s="88"/>
      <c r="S47" s="85" t="s">
        <v>179</v>
      </c>
    </row>
    <row r="48">
      <c r="N48" s="88"/>
      <c r="O48" s="85" t="s">
        <v>179</v>
      </c>
      <c r="R48" s="88"/>
      <c r="S48" s="85" t="s">
        <v>179</v>
      </c>
    </row>
    <row r="49">
      <c r="N49" s="88"/>
      <c r="O49" s="85" t="s">
        <v>179</v>
      </c>
      <c r="R49" s="88"/>
      <c r="S49" s="85" t="s">
        <v>179</v>
      </c>
    </row>
    <row r="50">
      <c r="N50" s="88"/>
      <c r="O50" s="85" t="s">
        <v>179</v>
      </c>
      <c r="R50" s="88"/>
      <c r="S50" s="85" t="s">
        <v>179</v>
      </c>
    </row>
    <row r="51">
      <c r="N51" s="88"/>
      <c r="O51" s="85" t="s">
        <v>179</v>
      </c>
      <c r="R51" s="88"/>
      <c r="S51" s="85" t="s">
        <v>179</v>
      </c>
    </row>
    <row r="52">
      <c r="N52" s="88"/>
      <c r="O52" s="85" t="s">
        <v>179</v>
      </c>
      <c r="R52" s="88"/>
      <c r="S52" s="85" t="s">
        <v>179</v>
      </c>
    </row>
    <row r="53">
      <c r="N53" s="88"/>
      <c r="O53" s="85" t="s">
        <v>179</v>
      </c>
      <c r="R53" s="88"/>
      <c r="S53" s="85" t="s">
        <v>179</v>
      </c>
    </row>
    <row r="54">
      <c r="N54" s="88"/>
      <c r="O54" s="85" t="s">
        <v>179</v>
      </c>
      <c r="R54" s="88"/>
      <c r="S54" s="85" t="s">
        <v>179</v>
      </c>
    </row>
    <row r="55">
      <c r="N55" s="88"/>
      <c r="O55" s="85" t="s">
        <v>179</v>
      </c>
      <c r="R55" s="88"/>
      <c r="S55" s="85" t="s">
        <v>179</v>
      </c>
    </row>
    <row r="56">
      <c r="N56" s="88"/>
      <c r="O56" s="85" t="s">
        <v>179</v>
      </c>
      <c r="R56" s="88"/>
      <c r="S56" s="85" t="s">
        <v>179</v>
      </c>
    </row>
    <row r="57">
      <c r="N57" s="88"/>
      <c r="O57" s="85" t="s">
        <v>179</v>
      </c>
      <c r="R57" s="88"/>
      <c r="S57" s="85" t="s">
        <v>179</v>
      </c>
    </row>
    <row r="58">
      <c r="N58" s="88"/>
      <c r="O58" s="85" t="s">
        <v>179</v>
      </c>
      <c r="R58" s="88"/>
      <c r="S58" s="85" t="s">
        <v>179</v>
      </c>
    </row>
    <row r="59">
      <c r="N59" s="88"/>
      <c r="O59" s="85" t="s">
        <v>179</v>
      </c>
      <c r="R59" s="88"/>
      <c r="S59" s="85" t="s">
        <v>179</v>
      </c>
    </row>
    <row r="60">
      <c r="N60" s="88"/>
      <c r="O60" s="85" t="s">
        <v>179</v>
      </c>
      <c r="R60" s="88"/>
      <c r="S60" s="85" t="s">
        <v>179</v>
      </c>
    </row>
    <row r="61">
      <c r="N61" s="88"/>
      <c r="O61" s="85" t="s">
        <v>179</v>
      </c>
      <c r="R61" s="88"/>
      <c r="S61" s="85" t="s">
        <v>179</v>
      </c>
    </row>
    <row r="62">
      <c r="N62" s="88"/>
      <c r="O62" s="85" t="s">
        <v>179</v>
      </c>
      <c r="R62" s="88"/>
      <c r="S62" s="85" t="s">
        <v>179</v>
      </c>
    </row>
    <row r="63">
      <c r="N63" s="88"/>
      <c r="O63" s="85" t="s">
        <v>179</v>
      </c>
      <c r="R63" s="88"/>
      <c r="S63" s="85" t="s">
        <v>179</v>
      </c>
    </row>
    <row r="64">
      <c r="N64" s="88"/>
      <c r="O64" s="85" t="s">
        <v>179</v>
      </c>
      <c r="R64" s="88"/>
      <c r="S64" s="85" t="s">
        <v>179</v>
      </c>
    </row>
    <row r="65">
      <c r="N65" s="88"/>
      <c r="O65" s="85" t="s">
        <v>179</v>
      </c>
      <c r="R65" s="88"/>
      <c r="S65" s="85" t="s">
        <v>179</v>
      </c>
    </row>
    <row r="66">
      <c r="N66" s="88"/>
      <c r="O66" s="85" t="s">
        <v>179</v>
      </c>
      <c r="R66" s="88"/>
      <c r="S66" s="85" t="s">
        <v>179</v>
      </c>
    </row>
    <row r="67">
      <c r="N67" s="88"/>
      <c r="O67" s="85" t="s">
        <v>179</v>
      </c>
      <c r="R67" s="88"/>
      <c r="S67" s="85" t="s">
        <v>179</v>
      </c>
    </row>
    <row r="68">
      <c r="N68" s="88"/>
      <c r="O68" s="85" t="s">
        <v>179</v>
      </c>
      <c r="R68" s="88"/>
      <c r="S68" s="85" t="s">
        <v>179</v>
      </c>
    </row>
    <row r="69">
      <c r="N69" s="88"/>
      <c r="O69" s="85" t="s">
        <v>179</v>
      </c>
      <c r="R69" s="88"/>
      <c r="S69" s="85" t="s">
        <v>179</v>
      </c>
    </row>
    <row r="70">
      <c r="N70" s="88"/>
      <c r="O70" s="85" t="s">
        <v>179</v>
      </c>
      <c r="R70" s="88"/>
      <c r="S70" s="85" t="s">
        <v>179</v>
      </c>
    </row>
    <row r="71">
      <c r="N71" s="88"/>
      <c r="O71" s="85" t="s">
        <v>179</v>
      </c>
      <c r="R71" s="88"/>
      <c r="S71" s="85" t="s">
        <v>179</v>
      </c>
    </row>
    <row r="72">
      <c r="N72" s="88"/>
      <c r="O72" s="85" t="s">
        <v>179</v>
      </c>
      <c r="R72" s="88"/>
      <c r="S72" s="85" t="s">
        <v>179</v>
      </c>
    </row>
    <row r="73">
      <c r="N73" s="88"/>
      <c r="O73" s="85" t="s">
        <v>179</v>
      </c>
      <c r="R73" s="88"/>
      <c r="S73" s="85" t="s">
        <v>179</v>
      </c>
    </row>
    <row r="74">
      <c r="N74" s="88"/>
      <c r="O74" s="85" t="s">
        <v>179</v>
      </c>
      <c r="R74" s="88"/>
      <c r="S74" s="85" t="s">
        <v>179</v>
      </c>
    </row>
    <row r="75">
      <c r="N75" s="88"/>
      <c r="O75" s="85" t="s">
        <v>179</v>
      </c>
      <c r="R75" s="88"/>
      <c r="S75" s="85" t="s">
        <v>179</v>
      </c>
    </row>
    <row r="76">
      <c r="N76" s="88"/>
      <c r="O76" s="85" t="s">
        <v>179</v>
      </c>
      <c r="R76" s="88"/>
      <c r="S76" s="85" t="s">
        <v>179</v>
      </c>
    </row>
    <row r="77">
      <c r="N77" s="88"/>
      <c r="O77" s="85" t="s">
        <v>179</v>
      </c>
      <c r="R77" s="88"/>
      <c r="S77" s="85" t="s">
        <v>179</v>
      </c>
    </row>
    <row r="78">
      <c r="N78" s="88"/>
      <c r="O78" s="85" t="s">
        <v>179</v>
      </c>
      <c r="R78" s="88"/>
      <c r="S78" s="85" t="s">
        <v>179</v>
      </c>
    </row>
    <row r="79">
      <c r="N79" s="88"/>
      <c r="O79" s="85" t="s">
        <v>179</v>
      </c>
      <c r="R79" s="88"/>
      <c r="S79" s="85" t="s">
        <v>179</v>
      </c>
    </row>
    <row r="80">
      <c r="N80" s="88"/>
      <c r="O80" s="85" t="s">
        <v>179</v>
      </c>
      <c r="R80" s="88"/>
      <c r="S80" s="85" t="s">
        <v>179</v>
      </c>
    </row>
    <row r="81">
      <c r="N81" s="88"/>
      <c r="O81" s="85" t="s">
        <v>179</v>
      </c>
      <c r="R81" s="88"/>
      <c r="S81" s="85" t="s">
        <v>179</v>
      </c>
    </row>
    <row r="82">
      <c r="N82" s="88"/>
      <c r="O82" s="85" t="s">
        <v>179</v>
      </c>
      <c r="R82" s="88"/>
      <c r="S82" s="85" t="s">
        <v>179</v>
      </c>
    </row>
    <row r="83">
      <c r="N83" s="88"/>
      <c r="O83" s="85" t="s">
        <v>179</v>
      </c>
      <c r="R83" s="88"/>
      <c r="S83" s="85" t="s">
        <v>179</v>
      </c>
    </row>
    <row r="84">
      <c r="N84" s="88"/>
      <c r="O84" s="85" t="s">
        <v>179</v>
      </c>
      <c r="R84" s="88"/>
      <c r="S84" s="85" t="s">
        <v>179</v>
      </c>
    </row>
    <row r="85">
      <c r="N85" s="88"/>
      <c r="O85" s="85" t="s">
        <v>179</v>
      </c>
      <c r="R85" s="88"/>
      <c r="S85" s="85" t="s">
        <v>179</v>
      </c>
    </row>
    <row r="86">
      <c r="N86" s="88"/>
      <c r="O86" s="85" t="s">
        <v>179</v>
      </c>
      <c r="R86" s="88"/>
      <c r="S86" s="85" t="s">
        <v>179</v>
      </c>
    </row>
    <row r="87">
      <c r="N87" s="88"/>
      <c r="O87" s="85" t="s">
        <v>179</v>
      </c>
      <c r="R87" s="88"/>
      <c r="S87" s="85" t="s">
        <v>179</v>
      </c>
    </row>
    <row r="88">
      <c r="N88" s="88"/>
      <c r="O88" s="85" t="s">
        <v>179</v>
      </c>
      <c r="R88" s="88"/>
      <c r="S88" s="85" t="s">
        <v>179</v>
      </c>
    </row>
    <row r="89">
      <c r="N89" s="88"/>
      <c r="O89" s="85" t="s">
        <v>179</v>
      </c>
      <c r="R89" s="88"/>
      <c r="S89" s="85" t="s">
        <v>179</v>
      </c>
    </row>
    <row r="90">
      <c r="N90" s="88"/>
      <c r="O90" s="85" t="s">
        <v>179</v>
      </c>
      <c r="R90" s="88"/>
      <c r="S90" s="85" t="s">
        <v>179</v>
      </c>
    </row>
    <row r="91">
      <c r="N91" s="88"/>
      <c r="O91" s="85" t="s">
        <v>179</v>
      </c>
      <c r="R91" s="88"/>
      <c r="S91" s="85" t="s">
        <v>179</v>
      </c>
    </row>
    <row r="92">
      <c r="N92" s="88"/>
      <c r="O92" s="85" t="s">
        <v>179</v>
      </c>
      <c r="R92" s="88"/>
      <c r="S92" s="85" t="s">
        <v>179</v>
      </c>
    </row>
    <row r="93">
      <c r="N93" s="88"/>
      <c r="O93" s="85" t="s">
        <v>179</v>
      </c>
      <c r="R93" s="88"/>
      <c r="S93" s="85" t="s">
        <v>179</v>
      </c>
    </row>
    <row r="94">
      <c r="N94" s="88"/>
      <c r="O94" s="85" t="s">
        <v>179</v>
      </c>
      <c r="R94" s="88"/>
      <c r="S94" s="85" t="s">
        <v>179</v>
      </c>
    </row>
    <row r="95">
      <c r="N95" s="88"/>
      <c r="O95" s="85" t="s">
        <v>179</v>
      </c>
      <c r="R95" s="88"/>
      <c r="S95" s="85" t="s">
        <v>179</v>
      </c>
    </row>
    <row r="96">
      <c r="N96" s="88"/>
      <c r="O96" s="85" t="s">
        <v>179</v>
      </c>
      <c r="R96" s="88"/>
      <c r="S96" s="85" t="s">
        <v>179</v>
      </c>
    </row>
    <row r="97">
      <c r="N97" s="88"/>
      <c r="O97" s="85" t="s">
        <v>179</v>
      </c>
      <c r="R97" s="88"/>
      <c r="S97" s="85" t="s">
        <v>179</v>
      </c>
    </row>
    <row r="98">
      <c r="N98" s="88"/>
      <c r="O98" s="85" t="s">
        <v>179</v>
      </c>
      <c r="R98" s="88"/>
      <c r="S98" s="85" t="s">
        <v>179</v>
      </c>
    </row>
    <row r="99">
      <c r="N99" s="88"/>
      <c r="O99" s="85" t="s">
        <v>179</v>
      </c>
      <c r="R99" s="88"/>
      <c r="S99" s="85" t="s">
        <v>179</v>
      </c>
    </row>
    <row r="100">
      <c r="N100" s="88"/>
      <c r="O100" s="85" t="s">
        <v>179</v>
      </c>
      <c r="R100" s="88"/>
      <c r="S100" s="85" t="s">
        <v>179</v>
      </c>
    </row>
    <row r="101">
      <c r="N101" s="88"/>
      <c r="O101" s="85" t="s">
        <v>179</v>
      </c>
      <c r="R101" s="88"/>
      <c r="S101" s="85" t="s">
        <v>179</v>
      </c>
    </row>
    <row r="102">
      <c r="N102" s="88"/>
      <c r="O102" s="85" t="s">
        <v>179</v>
      </c>
      <c r="R102" s="88"/>
      <c r="S102" s="85" t="s">
        <v>179</v>
      </c>
    </row>
    <row r="103">
      <c r="N103" s="88"/>
      <c r="O103" s="85" t="s">
        <v>179</v>
      </c>
      <c r="R103" s="88"/>
      <c r="S103" s="85" t="s">
        <v>179</v>
      </c>
    </row>
    <row r="104">
      <c r="N104" s="88"/>
      <c r="O104" s="85" t="s">
        <v>179</v>
      </c>
      <c r="R104" s="88"/>
      <c r="S104" s="85" t="s">
        <v>179</v>
      </c>
    </row>
    <row r="105">
      <c r="N105" s="88"/>
      <c r="O105" s="85" t="s">
        <v>179</v>
      </c>
      <c r="R105" s="88"/>
      <c r="S105" s="85" t="s">
        <v>179</v>
      </c>
    </row>
    <row r="106">
      <c r="N106" s="88"/>
      <c r="O106" s="85" t="s">
        <v>179</v>
      </c>
      <c r="R106" s="88"/>
      <c r="S106" s="85" t="s">
        <v>179</v>
      </c>
    </row>
    <row r="107">
      <c r="N107" s="88"/>
      <c r="O107" s="85" t="s">
        <v>179</v>
      </c>
      <c r="R107" s="88"/>
      <c r="S107" s="85" t="s">
        <v>179</v>
      </c>
    </row>
    <row r="108">
      <c r="N108" s="88"/>
      <c r="O108" s="85" t="s">
        <v>179</v>
      </c>
      <c r="R108" s="88"/>
      <c r="S108" s="85" t="s">
        <v>179</v>
      </c>
    </row>
    <row r="109">
      <c r="N109" s="88"/>
      <c r="O109" s="85" t="s">
        <v>179</v>
      </c>
      <c r="R109" s="88"/>
      <c r="S109" s="85" t="s">
        <v>179</v>
      </c>
    </row>
    <row r="110">
      <c r="N110" s="88"/>
      <c r="O110" s="85" t="s">
        <v>179</v>
      </c>
      <c r="R110" s="88"/>
      <c r="S110" s="85" t="s">
        <v>179</v>
      </c>
    </row>
    <row r="111">
      <c r="N111" s="88"/>
      <c r="O111" s="85" t="s">
        <v>179</v>
      </c>
      <c r="R111" s="88"/>
      <c r="S111" s="85" t="s">
        <v>179</v>
      </c>
    </row>
    <row r="112">
      <c r="N112" s="88"/>
      <c r="O112" s="85" t="s">
        <v>179</v>
      </c>
      <c r="R112" s="88"/>
      <c r="S112" s="85" t="s">
        <v>179</v>
      </c>
    </row>
    <row r="113">
      <c r="N113" s="88"/>
      <c r="O113" s="85" t="s">
        <v>179</v>
      </c>
      <c r="R113" s="88"/>
      <c r="S113" s="85" t="s">
        <v>179</v>
      </c>
    </row>
    <row r="114">
      <c r="N114" s="88"/>
      <c r="O114" s="85" t="s">
        <v>179</v>
      </c>
      <c r="R114" s="88"/>
      <c r="S114" s="85" t="s">
        <v>179</v>
      </c>
    </row>
    <row r="115">
      <c r="N115" s="88"/>
      <c r="O115" s="85" t="s">
        <v>179</v>
      </c>
      <c r="R115" s="88"/>
      <c r="S115" s="85" t="s">
        <v>179</v>
      </c>
    </row>
    <row r="116">
      <c r="N116" s="88"/>
      <c r="O116" s="85" t="s">
        <v>179</v>
      </c>
      <c r="R116" s="88"/>
      <c r="S116" s="85" t="s">
        <v>179</v>
      </c>
    </row>
    <row r="117">
      <c r="N117" s="88"/>
      <c r="O117" s="85" t="s">
        <v>179</v>
      </c>
      <c r="R117" s="88"/>
      <c r="S117" s="85" t="s">
        <v>179</v>
      </c>
    </row>
    <row r="118">
      <c r="N118" s="88"/>
      <c r="O118" s="85" t="s">
        <v>179</v>
      </c>
      <c r="R118" s="88"/>
      <c r="S118" s="85" t="s">
        <v>179</v>
      </c>
    </row>
    <row r="119">
      <c r="N119" s="88"/>
      <c r="O119" s="85" t="s">
        <v>179</v>
      </c>
      <c r="R119" s="88"/>
      <c r="S119" s="85" t="s">
        <v>179</v>
      </c>
    </row>
    <row r="120">
      <c r="N120" s="88"/>
      <c r="O120" s="85" t="s">
        <v>179</v>
      </c>
      <c r="R120" s="88"/>
      <c r="S120" s="85" t="s">
        <v>179</v>
      </c>
    </row>
    <row r="121">
      <c r="N121" s="88"/>
      <c r="O121" s="85" t="s">
        <v>179</v>
      </c>
      <c r="R121" s="88"/>
      <c r="S121" s="85" t="s">
        <v>179</v>
      </c>
    </row>
    <row r="122">
      <c r="N122" s="88"/>
      <c r="O122" s="85" t="s">
        <v>179</v>
      </c>
      <c r="R122" s="88"/>
      <c r="S122" s="85" t="s">
        <v>179</v>
      </c>
    </row>
    <row r="123">
      <c r="N123" s="88"/>
      <c r="O123" s="85" t="s">
        <v>179</v>
      </c>
      <c r="R123" s="88"/>
      <c r="S123" s="85" t="s">
        <v>179</v>
      </c>
    </row>
    <row r="124">
      <c r="N124" s="88"/>
      <c r="O124" s="85" t="s">
        <v>179</v>
      </c>
      <c r="R124" s="88"/>
      <c r="S124" s="85" t="s">
        <v>179</v>
      </c>
    </row>
    <row r="125">
      <c r="N125" s="88"/>
      <c r="O125" s="85" t="s">
        <v>179</v>
      </c>
      <c r="R125" s="88"/>
      <c r="S125" s="85" t="s">
        <v>179</v>
      </c>
    </row>
    <row r="126">
      <c r="N126" s="88"/>
      <c r="O126" s="85" t="s">
        <v>179</v>
      </c>
      <c r="R126" s="88"/>
      <c r="S126" s="85" t="s">
        <v>179</v>
      </c>
    </row>
    <row r="127">
      <c r="N127" s="88"/>
      <c r="O127" s="85" t="s">
        <v>179</v>
      </c>
      <c r="R127" s="88"/>
      <c r="S127" s="85" t="s">
        <v>179</v>
      </c>
    </row>
    <row r="128">
      <c r="N128" s="88"/>
      <c r="O128" s="85" t="s">
        <v>179</v>
      </c>
      <c r="R128" s="88"/>
      <c r="S128" s="85" t="s">
        <v>179</v>
      </c>
    </row>
    <row r="129">
      <c r="N129" s="88"/>
      <c r="O129" s="85" t="s">
        <v>179</v>
      </c>
      <c r="R129" s="88"/>
      <c r="S129" s="85" t="s">
        <v>179</v>
      </c>
    </row>
    <row r="130">
      <c r="N130" s="88"/>
      <c r="O130" s="85" t="s">
        <v>179</v>
      </c>
      <c r="R130" s="88"/>
      <c r="S130" s="85" t="s">
        <v>179</v>
      </c>
    </row>
    <row r="131">
      <c r="N131" s="88"/>
      <c r="O131" s="85" t="s">
        <v>179</v>
      </c>
      <c r="R131" s="88"/>
      <c r="S131" s="85" t="s">
        <v>179</v>
      </c>
    </row>
    <row r="132">
      <c r="N132" s="88"/>
      <c r="O132" s="85" t="s">
        <v>179</v>
      </c>
      <c r="R132" s="88"/>
      <c r="S132" s="85" t="s">
        <v>179</v>
      </c>
    </row>
    <row r="133">
      <c r="N133" s="88"/>
      <c r="O133" s="85" t="s">
        <v>179</v>
      </c>
      <c r="R133" s="88"/>
      <c r="S133" s="85" t="s">
        <v>179</v>
      </c>
    </row>
    <row r="134">
      <c r="N134" s="88"/>
      <c r="O134" s="85" t="s">
        <v>179</v>
      </c>
      <c r="R134" s="88"/>
      <c r="S134" s="85" t="s">
        <v>179</v>
      </c>
    </row>
    <row r="135">
      <c r="N135" s="88"/>
      <c r="O135" s="85" t="s">
        <v>179</v>
      </c>
      <c r="R135" s="88"/>
      <c r="S135" s="85" t="s">
        <v>179</v>
      </c>
    </row>
    <row r="136">
      <c r="N136" s="88"/>
      <c r="O136" s="85" t="s">
        <v>179</v>
      </c>
      <c r="R136" s="88"/>
      <c r="S136" s="85" t="s">
        <v>179</v>
      </c>
    </row>
    <row r="137">
      <c r="N137" s="88"/>
      <c r="O137" s="85" t="s">
        <v>179</v>
      </c>
      <c r="R137" s="88"/>
      <c r="S137" s="85" t="s">
        <v>179</v>
      </c>
    </row>
    <row r="138">
      <c r="N138" s="88"/>
      <c r="O138" s="85" t="s">
        <v>179</v>
      </c>
      <c r="R138" s="88"/>
      <c r="S138" s="85" t="s">
        <v>179</v>
      </c>
    </row>
    <row r="139">
      <c r="N139" s="88"/>
      <c r="O139" s="85" t="s">
        <v>179</v>
      </c>
      <c r="R139" s="88"/>
      <c r="S139" s="85" t="s">
        <v>179</v>
      </c>
    </row>
    <row r="140">
      <c r="N140" s="88"/>
      <c r="O140" s="85" t="s">
        <v>179</v>
      </c>
      <c r="R140" s="88"/>
      <c r="S140" s="85" t="s">
        <v>179</v>
      </c>
    </row>
    <row r="141">
      <c r="N141" s="88"/>
      <c r="O141" s="85" t="s">
        <v>179</v>
      </c>
      <c r="R141" s="88"/>
      <c r="S141" s="85" t="s">
        <v>179</v>
      </c>
    </row>
    <row r="142">
      <c r="N142" s="88"/>
      <c r="O142" s="85" t="s">
        <v>179</v>
      </c>
      <c r="R142" s="88"/>
      <c r="S142" s="85" t="s">
        <v>179</v>
      </c>
    </row>
    <row r="143">
      <c r="N143" s="88"/>
      <c r="O143" s="85" t="s">
        <v>179</v>
      </c>
      <c r="R143" s="88"/>
      <c r="S143" s="85" t="s">
        <v>179</v>
      </c>
    </row>
    <row r="144">
      <c r="N144" s="88"/>
      <c r="O144" s="85" t="s">
        <v>179</v>
      </c>
      <c r="R144" s="88"/>
      <c r="S144" s="85" t="s">
        <v>179</v>
      </c>
    </row>
    <row r="145">
      <c r="N145" s="88"/>
      <c r="O145" s="85" t="s">
        <v>179</v>
      </c>
      <c r="R145" s="88"/>
      <c r="S145" s="85" t="s">
        <v>179</v>
      </c>
    </row>
    <row r="146">
      <c r="N146" s="88"/>
      <c r="O146" s="85" t="s">
        <v>179</v>
      </c>
      <c r="R146" s="88"/>
      <c r="S146" s="85" t="s">
        <v>179</v>
      </c>
    </row>
    <row r="147">
      <c r="N147" s="88"/>
      <c r="O147" s="85" t="s">
        <v>179</v>
      </c>
      <c r="R147" s="88"/>
      <c r="S147" s="85" t="s">
        <v>179</v>
      </c>
    </row>
    <row r="148">
      <c r="N148" s="88"/>
      <c r="O148" s="85" t="s">
        <v>179</v>
      </c>
      <c r="R148" s="88"/>
      <c r="S148" s="85" t="s">
        <v>179</v>
      </c>
    </row>
    <row r="149">
      <c r="N149" s="88"/>
      <c r="O149" s="85" t="s">
        <v>179</v>
      </c>
      <c r="R149" s="88"/>
      <c r="S149" s="85" t="s">
        <v>179</v>
      </c>
    </row>
    <row r="150">
      <c r="N150" s="88"/>
      <c r="O150" s="85" t="s">
        <v>179</v>
      </c>
      <c r="R150" s="88"/>
      <c r="S150" s="85" t="s">
        <v>179</v>
      </c>
    </row>
    <row r="151">
      <c r="N151" s="88"/>
      <c r="O151" s="85" t="s">
        <v>179</v>
      </c>
      <c r="R151" s="88"/>
      <c r="S151" s="85" t="s">
        <v>179</v>
      </c>
    </row>
    <row r="152">
      <c r="N152" s="88"/>
      <c r="O152" s="85" t="s">
        <v>179</v>
      </c>
      <c r="R152" s="88"/>
      <c r="S152" s="85" t="s">
        <v>179</v>
      </c>
    </row>
    <row r="153">
      <c r="N153" s="88"/>
      <c r="O153" s="85" t="s">
        <v>179</v>
      </c>
      <c r="R153" s="88"/>
      <c r="S153" s="85" t="s">
        <v>179</v>
      </c>
    </row>
    <row r="154">
      <c r="N154" s="88"/>
      <c r="O154" s="85" t="s">
        <v>179</v>
      </c>
      <c r="R154" s="88"/>
      <c r="S154" s="85" t="s">
        <v>179</v>
      </c>
    </row>
    <row r="155">
      <c r="N155" s="88"/>
      <c r="O155" s="85" t="s">
        <v>179</v>
      </c>
      <c r="R155" s="88"/>
      <c r="S155" s="85" t="s">
        <v>179</v>
      </c>
    </row>
    <row r="156">
      <c r="N156" s="88"/>
      <c r="O156" s="85" t="s">
        <v>179</v>
      </c>
      <c r="R156" s="88"/>
      <c r="S156" s="85" t="s">
        <v>179</v>
      </c>
    </row>
    <row r="157">
      <c r="N157" s="88"/>
      <c r="O157" s="85" t="s">
        <v>179</v>
      </c>
      <c r="R157" s="88"/>
      <c r="S157" s="85" t="s">
        <v>179</v>
      </c>
    </row>
    <row r="158">
      <c r="N158" s="88"/>
      <c r="O158" s="85" t="s">
        <v>179</v>
      </c>
      <c r="R158" s="88"/>
      <c r="S158" s="85" t="s">
        <v>179</v>
      </c>
    </row>
    <row r="159">
      <c r="N159" s="88"/>
      <c r="O159" s="85" t="s">
        <v>179</v>
      </c>
      <c r="R159" s="88"/>
      <c r="S159" s="85" t="s">
        <v>179</v>
      </c>
    </row>
    <row r="160">
      <c r="N160" s="88"/>
      <c r="O160" s="85" t="s">
        <v>179</v>
      </c>
      <c r="R160" s="88"/>
      <c r="S160" s="85" t="s">
        <v>179</v>
      </c>
    </row>
    <row r="161">
      <c r="N161" s="88"/>
      <c r="O161" s="85" t="s">
        <v>179</v>
      </c>
      <c r="R161" s="88"/>
      <c r="S161" s="85" t="s">
        <v>179</v>
      </c>
    </row>
    <row r="162">
      <c r="N162" s="88"/>
      <c r="O162" s="85" t="s">
        <v>179</v>
      </c>
      <c r="R162" s="88"/>
      <c r="S162" s="85" t="s">
        <v>179</v>
      </c>
    </row>
    <row r="163">
      <c r="N163" s="88"/>
      <c r="O163" s="85" t="s">
        <v>179</v>
      </c>
      <c r="R163" s="88"/>
      <c r="S163" s="85" t="s">
        <v>179</v>
      </c>
    </row>
    <row r="164">
      <c r="N164" s="88"/>
      <c r="O164" s="85" t="s">
        <v>179</v>
      </c>
      <c r="R164" s="88"/>
      <c r="S164" s="85" t="s">
        <v>179</v>
      </c>
    </row>
    <row r="165">
      <c r="N165" s="88"/>
      <c r="O165" s="85" t="s">
        <v>179</v>
      </c>
      <c r="R165" s="88"/>
      <c r="S165" s="85" t="s">
        <v>179</v>
      </c>
    </row>
    <row r="166">
      <c r="N166" s="88"/>
      <c r="O166" s="85" t="s">
        <v>179</v>
      </c>
      <c r="R166" s="88"/>
      <c r="S166" s="85" t="s">
        <v>179</v>
      </c>
    </row>
    <row r="167">
      <c r="N167" s="88"/>
      <c r="O167" s="85" t="s">
        <v>179</v>
      </c>
      <c r="R167" s="88"/>
      <c r="S167" s="85" t="s">
        <v>179</v>
      </c>
    </row>
    <row r="168">
      <c r="N168" s="88"/>
      <c r="O168" s="85" t="s">
        <v>179</v>
      </c>
      <c r="R168" s="88"/>
      <c r="S168" s="85" t="s">
        <v>179</v>
      </c>
    </row>
    <row r="169">
      <c r="N169" s="88"/>
      <c r="O169" s="85" t="s">
        <v>179</v>
      </c>
      <c r="R169" s="88"/>
      <c r="S169" s="85" t="s">
        <v>179</v>
      </c>
    </row>
    <row r="170">
      <c r="N170" s="88"/>
      <c r="O170" s="85" t="s">
        <v>179</v>
      </c>
      <c r="R170" s="88"/>
      <c r="S170" s="85" t="s">
        <v>179</v>
      </c>
    </row>
    <row r="171">
      <c r="N171" s="88"/>
      <c r="O171" s="85" t="s">
        <v>179</v>
      </c>
      <c r="R171" s="88"/>
      <c r="S171" s="85" t="s">
        <v>179</v>
      </c>
    </row>
    <row r="172">
      <c r="N172" s="88"/>
      <c r="O172" s="85" t="s">
        <v>179</v>
      </c>
      <c r="R172" s="88"/>
      <c r="S172" s="85" t="s">
        <v>179</v>
      </c>
    </row>
    <row r="173">
      <c r="N173" s="88"/>
      <c r="O173" s="85" t="s">
        <v>179</v>
      </c>
      <c r="R173" s="88"/>
      <c r="S173" s="85" t="s">
        <v>179</v>
      </c>
    </row>
    <row r="174">
      <c r="N174" s="88"/>
      <c r="O174" s="85" t="s">
        <v>179</v>
      </c>
      <c r="R174" s="88"/>
      <c r="S174" s="85" t="s">
        <v>179</v>
      </c>
    </row>
    <row r="175">
      <c r="N175" s="88"/>
      <c r="O175" s="85" t="s">
        <v>179</v>
      </c>
      <c r="R175" s="88"/>
      <c r="S175" s="85" t="s">
        <v>179</v>
      </c>
    </row>
    <row r="176">
      <c r="N176" s="88"/>
      <c r="O176" s="85" t="s">
        <v>179</v>
      </c>
      <c r="R176" s="88"/>
      <c r="S176" s="85" t="s">
        <v>179</v>
      </c>
    </row>
    <row r="177">
      <c r="N177" s="88"/>
      <c r="O177" s="85" t="s">
        <v>179</v>
      </c>
      <c r="R177" s="88"/>
      <c r="S177" s="85" t="s">
        <v>179</v>
      </c>
    </row>
    <row r="178">
      <c r="N178" s="88"/>
      <c r="O178" s="85" t="s">
        <v>179</v>
      </c>
      <c r="R178" s="88"/>
      <c r="S178" s="85" t="s">
        <v>179</v>
      </c>
    </row>
    <row r="179">
      <c r="N179" s="88"/>
      <c r="O179" s="85" t="s">
        <v>179</v>
      </c>
      <c r="R179" s="88"/>
      <c r="S179" s="85" t="s">
        <v>179</v>
      </c>
    </row>
    <row r="180">
      <c r="N180" s="88"/>
      <c r="O180" s="85" t="s">
        <v>179</v>
      </c>
      <c r="R180" s="88"/>
      <c r="S180" s="85" t="s">
        <v>179</v>
      </c>
    </row>
    <row r="181">
      <c r="N181" s="88"/>
      <c r="O181" s="85" t="s">
        <v>179</v>
      </c>
      <c r="R181" s="88"/>
      <c r="S181" s="85" t="s">
        <v>179</v>
      </c>
    </row>
    <row r="182">
      <c r="N182" s="88"/>
      <c r="O182" s="85" t="s">
        <v>179</v>
      </c>
      <c r="R182" s="88"/>
      <c r="S182" s="85" t="s">
        <v>179</v>
      </c>
    </row>
    <row r="183">
      <c r="N183" s="88"/>
      <c r="O183" s="85" t="s">
        <v>179</v>
      </c>
      <c r="R183" s="88"/>
      <c r="S183" s="85" t="s">
        <v>179</v>
      </c>
    </row>
    <row r="184">
      <c r="N184" s="88"/>
      <c r="O184" s="85" t="s">
        <v>179</v>
      </c>
      <c r="R184" s="88"/>
      <c r="S184" s="85" t="s">
        <v>179</v>
      </c>
    </row>
    <row r="185">
      <c r="N185" s="88"/>
      <c r="O185" s="85" t="s">
        <v>179</v>
      </c>
      <c r="R185" s="88"/>
      <c r="S185" s="85" t="s">
        <v>179</v>
      </c>
    </row>
    <row r="186">
      <c r="N186" s="88"/>
      <c r="O186" s="85" t="s">
        <v>179</v>
      </c>
      <c r="R186" s="88"/>
      <c r="S186" s="85" t="s">
        <v>179</v>
      </c>
    </row>
    <row r="187">
      <c r="N187" s="88"/>
      <c r="O187" s="85" t="s">
        <v>179</v>
      </c>
      <c r="R187" s="88"/>
      <c r="S187" s="85" t="s">
        <v>179</v>
      </c>
    </row>
    <row r="188">
      <c r="N188" s="88"/>
      <c r="O188" s="85" t="s">
        <v>179</v>
      </c>
      <c r="R188" s="88"/>
      <c r="S188" s="85" t="s">
        <v>179</v>
      </c>
    </row>
    <row r="189">
      <c r="N189" s="88"/>
      <c r="O189" s="85" t="s">
        <v>179</v>
      </c>
      <c r="R189" s="88"/>
      <c r="S189" s="85" t="s">
        <v>179</v>
      </c>
    </row>
    <row r="190">
      <c r="N190" s="88"/>
      <c r="O190" s="85" t="s">
        <v>179</v>
      </c>
      <c r="R190" s="88"/>
      <c r="S190" s="85" t="s">
        <v>179</v>
      </c>
    </row>
    <row r="191">
      <c r="N191" s="88"/>
      <c r="O191" s="85" t="s">
        <v>179</v>
      </c>
      <c r="R191" s="88"/>
      <c r="S191" s="85" t="s">
        <v>179</v>
      </c>
    </row>
    <row r="192">
      <c r="N192" s="88"/>
      <c r="O192" s="85" t="s">
        <v>179</v>
      </c>
      <c r="R192" s="88"/>
      <c r="S192" s="85" t="s">
        <v>179</v>
      </c>
    </row>
    <row r="193">
      <c r="N193" s="88"/>
      <c r="O193" s="85" t="s">
        <v>179</v>
      </c>
      <c r="R193" s="88"/>
      <c r="S193" s="85" t="s">
        <v>179</v>
      </c>
    </row>
    <row r="194">
      <c r="N194" s="88"/>
      <c r="O194" s="85" t="s">
        <v>179</v>
      </c>
      <c r="R194" s="88"/>
      <c r="S194" s="85" t="s">
        <v>179</v>
      </c>
    </row>
    <row r="195">
      <c r="N195" s="88"/>
      <c r="O195" s="85" t="s">
        <v>179</v>
      </c>
      <c r="R195" s="88"/>
      <c r="S195" s="85" t="s">
        <v>179</v>
      </c>
    </row>
    <row r="196">
      <c r="N196" s="88"/>
      <c r="O196" s="85" t="s">
        <v>179</v>
      </c>
      <c r="R196" s="88"/>
      <c r="S196" s="85" t="s">
        <v>179</v>
      </c>
    </row>
    <row r="197">
      <c r="N197" s="88"/>
      <c r="O197" s="85" t="s">
        <v>179</v>
      </c>
      <c r="R197" s="88"/>
      <c r="S197" s="85" t="s">
        <v>179</v>
      </c>
    </row>
    <row r="198">
      <c r="N198" s="88"/>
      <c r="O198" s="85" t="s">
        <v>179</v>
      </c>
      <c r="R198" s="88"/>
      <c r="S198" s="85" t="s">
        <v>179</v>
      </c>
    </row>
    <row r="199">
      <c r="N199" s="88"/>
      <c r="O199" s="85" t="s">
        <v>179</v>
      </c>
      <c r="R199" s="88"/>
      <c r="S199" s="85" t="s">
        <v>179</v>
      </c>
    </row>
    <row r="200">
      <c r="N200" s="88"/>
      <c r="O200" s="85" t="s">
        <v>179</v>
      </c>
      <c r="R200" s="88"/>
      <c r="S200" s="85" t="s">
        <v>179</v>
      </c>
    </row>
    <row r="201">
      <c r="N201" s="88"/>
      <c r="O201" s="85" t="s">
        <v>179</v>
      </c>
      <c r="R201" s="88"/>
      <c r="S201" s="85" t="s">
        <v>179</v>
      </c>
    </row>
    <row r="202">
      <c r="N202" s="88"/>
      <c r="O202" s="85" t="s">
        <v>179</v>
      </c>
      <c r="R202" s="88"/>
      <c r="S202" s="85" t="s">
        <v>179</v>
      </c>
    </row>
    <row r="203">
      <c r="N203" s="88"/>
      <c r="O203" s="85" t="s">
        <v>179</v>
      </c>
      <c r="R203" s="88"/>
      <c r="S203" s="85" t="s">
        <v>179</v>
      </c>
    </row>
    <row r="204">
      <c r="N204" s="88"/>
      <c r="O204" s="85" t="s">
        <v>179</v>
      </c>
      <c r="R204" s="88"/>
      <c r="S204" s="85" t="s">
        <v>179</v>
      </c>
    </row>
    <row r="205">
      <c r="N205" s="88"/>
      <c r="O205" s="85" t="s">
        <v>179</v>
      </c>
      <c r="R205" s="88"/>
      <c r="S205" s="85" t="s">
        <v>179</v>
      </c>
    </row>
    <row r="206">
      <c r="N206" s="88"/>
      <c r="O206" s="85" t="s">
        <v>179</v>
      </c>
      <c r="R206" s="88"/>
      <c r="S206" s="85" t="s">
        <v>179</v>
      </c>
    </row>
    <row r="207">
      <c r="N207" s="88"/>
      <c r="O207" s="85" t="s">
        <v>179</v>
      </c>
      <c r="R207" s="88"/>
      <c r="S207" s="85" t="s">
        <v>179</v>
      </c>
    </row>
    <row r="208">
      <c r="N208" s="88"/>
      <c r="O208" s="85" t="s">
        <v>179</v>
      </c>
      <c r="R208" s="88"/>
      <c r="S208" s="85" t="s">
        <v>179</v>
      </c>
    </row>
    <row r="209">
      <c r="N209" s="88"/>
      <c r="O209" s="85" t="s">
        <v>179</v>
      </c>
      <c r="R209" s="88"/>
      <c r="S209" s="85" t="s">
        <v>179</v>
      </c>
    </row>
    <row r="210">
      <c r="N210" s="88"/>
      <c r="O210" s="85" t="s">
        <v>179</v>
      </c>
      <c r="R210" s="88"/>
      <c r="S210" s="85" t="s">
        <v>179</v>
      </c>
    </row>
    <row r="211">
      <c r="N211" s="88"/>
      <c r="O211" s="85" t="s">
        <v>179</v>
      </c>
      <c r="R211" s="88"/>
      <c r="S211" s="85" t="s">
        <v>179</v>
      </c>
    </row>
    <row r="212">
      <c r="N212" s="88"/>
      <c r="O212" s="85" t="s">
        <v>179</v>
      </c>
      <c r="R212" s="88"/>
      <c r="S212" s="85" t="s">
        <v>179</v>
      </c>
    </row>
    <row r="213">
      <c r="N213" s="88"/>
      <c r="O213" s="85" t="s">
        <v>179</v>
      </c>
      <c r="R213" s="88"/>
      <c r="S213" s="85" t="s">
        <v>179</v>
      </c>
    </row>
    <row r="214">
      <c r="N214" s="88"/>
      <c r="O214" s="85" t="s">
        <v>179</v>
      </c>
      <c r="R214" s="88"/>
      <c r="S214" s="85" t="s">
        <v>179</v>
      </c>
    </row>
    <row r="215">
      <c r="N215" s="88"/>
      <c r="O215" s="85" t="s">
        <v>179</v>
      </c>
      <c r="R215" s="88"/>
      <c r="S215" s="85" t="s">
        <v>179</v>
      </c>
    </row>
    <row r="216">
      <c r="N216" s="88"/>
      <c r="O216" s="85" t="s">
        <v>179</v>
      </c>
      <c r="R216" s="88"/>
      <c r="S216" s="85" t="s">
        <v>179</v>
      </c>
    </row>
    <row r="217">
      <c r="N217" s="88"/>
      <c r="O217" s="85" t="s">
        <v>179</v>
      </c>
      <c r="R217" s="88"/>
      <c r="S217" s="85" t="s">
        <v>179</v>
      </c>
    </row>
    <row r="218">
      <c r="N218" s="88"/>
      <c r="O218" s="85" t="s">
        <v>179</v>
      </c>
      <c r="R218" s="88"/>
      <c r="S218" s="85" t="s">
        <v>179</v>
      </c>
    </row>
    <row r="219">
      <c r="N219" s="88"/>
      <c r="O219" s="85" t="s">
        <v>179</v>
      </c>
      <c r="R219" s="88"/>
      <c r="S219" s="85" t="s">
        <v>179</v>
      </c>
    </row>
    <row r="220">
      <c r="N220" s="88"/>
      <c r="O220" s="85" t="s">
        <v>179</v>
      </c>
      <c r="R220" s="88"/>
      <c r="S220" s="85" t="s">
        <v>179</v>
      </c>
    </row>
    <row r="221">
      <c r="N221" s="88"/>
      <c r="O221" s="85" t="s">
        <v>179</v>
      </c>
      <c r="R221" s="88"/>
      <c r="S221" s="85" t="s">
        <v>179</v>
      </c>
    </row>
    <row r="222">
      <c r="N222" s="88"/>
      <c r="O222" s="85" t="s">
        <v>179</v>
      </c>
      <c r="R222" s="88"/>
      <c r="S222" s="85" t="s">
        <v>179</v>
      </c>
    </row>
    <row r="223">
      <c r="N223" s="88"/>
      <c r="O223" s="85" t="s">
        <v>179</v>
      </c>
      <c r="R223" s="88"/>
      <c r="S223" s="85" t="s">
        <v>179</v>
      </c>
    </row>
    <row r="224">
      <c r="N224" s="88"/>
      <c r="O224" s="85" t="s">
        <v>179</v>
      </c>
      <c r="R224" s="88"/>
      <c r="S224" s="85" t="s">
        <v>179</v>
      </c>
    </row>
    <row r="225">
      <c r="N225" s="88"/>
      <c r="O225" s="85" t="s">
        <v>179</v>
      </c>
      <c r="R225" s="88"/>
      <c r="S225" s="85" t="s">
        <v>179</v>
      </c>
    </row>
    <row r="226">
      <c r="N226" s="88"/>
      <c r="O226" s="85" t="s">
        <v>179</v>
      </c>
      <c r="R226" s="88"/>
      <c r="S226" s="85" t="s">
        <v>179</v>
      </c>
    </row>
    <row r="227">
      <c r="N227" s="88"/>
      <c r="O227" s="85" t="s">
        <v>179</v>
      </c>
      <c r="R227" s="88"/>
      <c r="S227" s="85" t="s">
        <v>179</v>
      </c>
    </row>
    <row r="228">
      <c r="N228" s="88"/>
      <c r="O228" s="85" t="s">
        <v>179</v>
      </c>
      <c r="R228" s="88"/>
      <c r="S228" s="85" t="s">
        <v>179</v>
      </c>
    </row>
    <row r="229">
      <c r="N229" s="88"/>
      <c r="O229" s="85" t="s">
        <v>179</v>
      </c>
      <c r="R229" s="88"/>
      <c r="S229" s="85" t="s">
        <v>179</v>
      </c>
    </row>
    <row r="230">
      <c r="N230" s="88"/>
      <c r="O230" s="85" t="s">
        <v>179</v>
      </c>
      <c r="R230" s="88"/>
      <c r="S230" s="85" t="s">
        <v>179</v>
      </c>
    </row>
    <row r="231">
      <c r="N231" s="88"/>
      <c r="O231" s="85" t="s">
        <v>179</v>
      </c>
      <c r="R231" s="88"/>
      <c r="S231" s="85" t="s">
        <v>179</v>
      </c>
    </row>
    <row r="232">
      <c r="N232" s="88"/>
      <c r="O232" s="85" t="s">
        <v>179</v>
      </c>
      <c r="R232" s="88"/>
      <c r="S232" s="85" t="s">
        <v>179</v>
      </c>
    </row>
    <row r="233">
      <c r="N233" s="88"/>
      <c r="O233" s="85" t="s">
        <v>179</v>
      </c>
      <c r="R233" s="88"/>
      <c r="S233" s="85" t="s">
        <v>179</v>
      </c>
    </row>
    <row r="234">
      <c r="N234" s="88"/>
      <c r="O234" s="85" t="s">
        <v>179</v>
      </c>
      <c r="R234" s="88"/>
      <c r="S234" s="85" t="s">
        <v>179</v>
      </c>
    </row>
    <row r="235">
      <c r="N235" s="88"/>
      <c r="O235" s="85" t="s">
        <v>179</v>
      </c>
      <c r="R235" s="88"/>
      <c r="S235" s="85" t="s">
        <v>179</v>
      </c>
    </row>
    <row r="236">
      <c r="N236" s="88"/>
      <c r="O236" s="85" t="s">
        <v>179</v>
      </c>
      <c r="R236" s="88"/>
      <c r="S236" s="85" t="s">
        <v>179</v>
      </c>
    </row>
    <row r="237">
      <c r="N237" s="88"/>
      <c r="O237" s="85" t="s">
        <v>179</v>
      </c>
      <c r="R237" s="88"/>
      <c r="S237" s="85" t="s">
        <v>179</v>
      </c>
    </row>
    <row r="238">
      <c r="N238" s="88"/>
      <c r="O238" s="85" t="s">
        <v>179</v>
      </c>
      <c r="R238" s="88"/>
      <c r="S238" s="85" t="s">
        <v>179</v>
      </c>
    </row>
    <row r="239">
      <c r="N239" s="88"/>
      <c r="O239" s="85" t="s">
        <v>179</v>
      </c>
      <c r="R239" s="88"/>
      <c r="S239" s="85" t="s">
        <v>179</v>
      </c>
    </row>
    <row r="240">
      <c r="N240" s="88"/>
      <c r="O240" s="85" t="s">
        <v>179</v>
      </c>
      <c r="R240" s="88"/>
      <c r="S240" s="85" t="s">
        <v>179</v>
      </c>
    </row>
    <row r="241">
      <c r="N241" s="88"/>
      <c r="O241" s="85" t="s">
        <v>179</v>
      </c>
      <c r="R241" s="88"/>
      <c r="S241" s="85" t="s">
        <v>179</v>
      </c>
    </row>
    <row r="242">
      <c r="N242" s="88"/>
      <c r="O242" s="85" t="s">
        <v>179</v>
      </c>
      <c r="R242" s="88"/>
      <c r="S242" s="85" t="s">
        <v>179</v>
      </c>
    </row>
    <row r="243">
      <c r="N243" s="88"/>
      <c r="O243" s="85" t="s">
        <v>179</v>
      </c>
      <c r="R243" s="88"/>
      <c r="S243" s="85" t="s">
        <v>179</v>
      </c>
    </row>
    <row r="244">
      <c r="N244" s="88"/>
      <c r="O244" s="85" t="s">
        <v>179</v>
      </c>
      <c r="R244" s="88"/>
      <c r="S244" s="85" t="s">
        <v>179</v>
      </c>
    </row>
    <row r="245">
      <c r="N245" s="88"/>
      <c r="O245" s="85" t="s">
        <v>179</v>
      </c>
      <c r="R245" s="88"/>
      <c r="S245" s="85" t="s">
        <v>179</v>
      </c>
    </row>
    <row r="246">
      <c r="N246" s="88"/>
      <c r="O246" s="85" t="s">
        <v>179</v>
      </c>
      <c r="R246" s="88"/>
      <c r="S246" s="85" t="s">
        <v>179</v>
      </c>
    </row>
    <row r="247">
      <c r="N247" s="88"/>
      <c r="O247" s="85" t="s">
        <v>179</v>
      </c>
      <c r="R247" s="88"/>
      <c r="S247" s="85" t="s">
        <v>179</v>
      </c>
    </row>
    <row r="248">
      <c r="N248" s="88"/>
      <c r="O248" s="85" t="s">
        <v>179</v>
      </c>
      <c r="R248" s="88"/>
      <c r="S248" s="85" t="s">
        <v>179</v>
      </c>
    </row>
    <row r="249">
      <c r="N249" s="88"/>
      <c r="O249" s="85" t="s">
        <v>179</v>
      </c>
      <c r="R249" s="88"/>
      <c r="S249" s="85" t="s">
        <v>179</v>
      </c>
    </row>
    <row r="250">
      <c r="N250" s="88"/>
      <c r="O250" s="85" t="s">
        <v>179</v>
      </c>
      <c r="R250" s="88"/>
      <c r="S250" s="85" t="s">
        <v>179</v>
      </c>
    </row>
    <row r="251">
      <c r="N251" s="88"/>
      <c r="O251" s="85" t="s">
        <v>179</v>
      </c>
      <c r="R251" s="88"/>
      <c r="S251" s="85" t="s">
        <v>179</v>
      </c>
    </row>
    <row r="252">
      <c r="N252" s="88"/>
      <c r="O252" s="85" t="s">
        <v>179</v>
      </c>
      <c r="R252" s="88"/>
      <c r="S252" s="85" t="s">
        <v>179</v>
      </c>
    </row>
    <row r="253">
      <c r="N253" s="88"/>
      <c r="O253" s="85" t="s">
        <v>179</v>
      </c>
      <c r="R253" s="88"/>
      <c r="S253" s="85" t="s">
        <v>179</v>
      </c>
    </row>
    <row r="254">
      <c r="N254" s="88"/>
      <c r="O254" s="85" t="s">
        <v>179</v>
      </c>
      <c r="R254" s="88"/>
      <c r="S254" s="85" t="s">
        <v>179</v>
      </c>
    </row>
    <row r="255">
      <c r="N255" s="88"/>
      <c r="O255" s="85" t="s">
        <v>179</v>
      </c>
      <c r="R255" s="88"/>
      <c r="S255" s="85" t="s">
        <v>179</v>
      </c>
    </row>
    <row r="256">
      <c r="N256" s="88"/>
      <c r="O256" s="85" t="s">
        <v>179</v>
      </c>
      <c r="R256" s="88"/>
      <c r="S256" s="85" t="s">
        <v>179</v>
      </c>
    </row>
    <row r="257">
      <c r="N257" s="88"/>
      <c r="O257" s="85" t="s">
        <v>179</v>
      </c>
      <c r="R257" s="88"/>
      <c r="S257" s="85" t="s">
        <v>179</v>
      </c>
    </row>
    <row r="258">
      <c r="N258" s="88"/>
      <c r="O258" s="85" t="s">
        <v>179</v>
      </c>
      <c r="R258" s="88"/>
      <c r="S258" s="85" t="s">
        <v>179</v>
      </c>
    </row>
    <row r="259">
      <c r="N259" s="88"/>
      <c r="O259" s="85" t="s">
        <v>179</v>
      </c>
      <c r="R259" s="88"/>
      <c r="S259" s="85" t="s">
        <v>179</v>
      </c>
    </row>
    <row r="260">
      <c r="N260" s="88"/>
      <c r="O260" s="85" t="s">
        <v>179</v>
      </c>
      <c r="R260" s="88"/>
      <c r="S260" s="85" t="s">
        <v>179</v>
      </c>
    </row>
    <row r="261">
      <c r="N261" s="88"/>
      <c r="O261" s="85" t="s">
        <v>179</v>
      </c>
      <c r="R261" s="88"/>
      <c r="S261" s="85" t="s">
        <v>179</v>
      </c>
    </row>
    <row r="262">
      <c r="N262" s="88"/>
      <c r="O262" s="85" t="s">
        <v>179</v>
      </c>
      <c r="R262" s="88"/>
      <c r="S262" s="85" t="s">
        <v>179</v>
      </c>
    </row>
    <row r="263">
      <c r="N263" s="88"/>
      <c r="O263" s="85" t="s">
        <v>179</v>
      </c>
      <c r="R263" s="88"/>
      <c r="S263" s="85" t="s">
        <v>179</v>
      </c>
    </row>
    <row r="264">
      <c r="N264" s="88"/>
      <c r="O264" s="85" t="s">
        <v>179</v>
      </c>
      <c r="R264" s="88"/>
      <c r="S264" s="85" t="s">
        <v>179</v>
      </c>
    </row>
    <row r="265">
      <c r="N265" s="88"/>
      <c r="O265" s="85" t="s">
        <v>179</v>
      </c>
      <c r="R265" s="88"/>
      <c r="S265" s="85" t="s">
        <v>179</v>
      </c>
    </row>
    <row r="266">
      <c r="N266" s="88"/>
      <c r="O266" s="85" t="s">
        <v>179</v>
      </c>
      <c r="R266" s="88"/>
      <c r="S266" s="85" t="s">
        <v>179</v>
      </c>
    </row>
    <row r="267">
      <c r="N267" s="88"/>
      <c r="O267" s="85" t="s">
        <v>179</v>
      </c>
      <c r="R267" s="88"/>
      <c r="S267" s="85" t="s">
        <v>179</v>
      </c>
    </row>
    <row r="268">
      <c r="N268" s="88"/>
      <c r="O268" s="85" t="s">
        <v>179</v>
      </c>
      <c r="R268" s="88"/>
      <c r="S268" s="85" t="s">
        <v>179</v>
      </c>
    </row>
    <row r="269">
      <c r="N269" s="88"/>
      <c r="O269" s="85" t="s">
        <v>179</v>
      </c>
      <c r="R269" s="88"/>
      <c r="S269" s="85" t="s">
        <v>179</v>
      </c>
    </row>
    <row r="270">
      <c r="N270" s="88"/>
      <c r="O270" s="85" t="s">
        <v>179</v>
      </c>
      <c r="R270" s="88"/>
      <c r="S270" s="85" t="s">
        <v>179</v>
      </c>
    </row>
    <row r="271">
      <c r="N271" s="88"/>
      <c r="O271" s="85" t="s">
        <v>179</v>
      </c>
      <c r="R271" s="88"/>
      <c r="S271" s="85" t="s">
        <v>179</v>
      </c>
    </row>
    <row r="272">
      <c r="N272" s="88"/>
      <c r="O272" s="85" t="s">
        <v>179</v>
      </c>
      <c r="R272" s="88"/>
      <c r="S272" s="85" t="s">
        <v>179</v>
      </c>
    </row>
    <row r="273">
      <c r="N273" s="88"/>
      <c r="O273" s="85" t="s">
        <v>179</v>
      </c>
      <c r="R273" s="88"/>
      <c r="S273" s="85" t="s">
        <v>179</v>
      </c>
    </row>
    <row r="274">
      <c r="N274" s="88"/>
      <c r="O274" s="85" t="s">
        <v>179</v>
      </c>
      <c r="R274" s="88"/>
      <c r="S274" s="85" t="s">
        <v>179</v>
      </c>
    </row>
    <row r="275">
      <c r="N275" s="88"/>
      <c r="O275" s="85" t="s">
        <v>179</v>
      </c>
      <c r="R275" s="88"/>
      <c r="S275" s="85" t="s">
        <v>179</v>
      </c>
    </row>
    <row r="276">
      <c r="N276" s="88"/>
      <c r="O276" s="85" t="s">
        <v>179</v>
      </c>
      <c r="R276" s="88"/>
      <c r="S276" s="85" t="s">
        <v>179</v>
      </c>
    </row>
    <row r="277">
      <c r="N277" s="88"/>
      <c r="O277" s="85" t="s">
        <v>179</v>
      </c>
      <c r="R277" s="88"/>
      <c r="S277" s="85" t="s">
        <v>179</v>
      </c>
    </row>
    <row r="278">
      <c r="N278" s="88"/>
      <c r="O278" s="85" t="s">
        <v>179</v>
      </c>
      <c r="R278" s="88"/>
      <c r="S278" s="85" t="s">
        <v>179</v>
      </c>
    </row>
    <row r="279">
      <c r="N279" s="88"/>
      <c r="O279" s="85" t="s">
        <v>179</v>
      </c>
      <c r="R279" s="88"/>
      <c r="S279" s="85" t="s">
        <v>179</v>
      </c>
    </row>
    <row r="280">
      <c r="N280" s="88"/>
      <c r="O280" s="85" t="s">
        <v>179</v>
      </c>
      <c r="R280" s="88"/>
      <c r="S280" s="85" t="s">
        <v>179</v>
      </c>
    </row>
    <row r="281">
      <c r="N281" s="88"/>
      <c r="O281" s="85" t="s">
        <v>179</v>
      </c>
      <c r="R281" s="88"/>
      <c r="S281" s="85" t="s">
        <v>179</v>
      </c>
    </row>
    <row r="282">
      <c r="N282" s="88"/>
      <c r="O282" s="85" t="s">
        <v>179</v>
      </c>
      <c r="R282" s="88"/>
      <c r="S282" s="85" t="s">
        <v>179</v>
      </c>
    </row>
    <row r="283">
      <c r="N283" s="88"/>
      <c r="O283" s="85" t="s">
        <v>179</v>
      </c>
      <c r="R283" s="88"/>
      <c r="S283" s="85" t="s">
        <v>179</v>
      </c>
    </row>
    <row r="284">
      <c r="N284" s="88"/>
      <c r="O284" s="85" t="s">
        <v>179</v>
      </c>
      <c r="R284" s="88"/>
      <c r="S284" s="85" t="s">
        <v>179</v>
      </c>
    </row>
    <row r="285">
      <c r="N285" s="88"/>
      <c r="O285" s="85" t="s">
        <v>179</v>
      </c>
      <c r="R285" s="88"/>
      <c r="S285" s="85" t="s">
        <v>179</v>
      </c>
    </row>
    <row r="286">
      <c r="N286" s="88"/>
      <c r="O286" s="85" t="s">
        <v>179</v>
      </c>
      <c r="R286" s="88"/>
      <c r="S286" s="85" t="s">
        <v>179</v>
      </c>
    </row>
    <row r="287">
      <c r="N287" s="88"/>
      <c r="O287" s="85" t="s">
        <v>179</v>
      </c>
      <c r="R287" s="88"/>
      <c r="S287" s="85" t="s">
        <v>179</v>
      </c>
    </row>
    <row r="288">
      <c r="N288" s="88"/>
      <c r="O288" s="85" t="s">
        <v>179</v>
      </c>
      <c r="R288" s="88"/>
      <c r="S288" s="85" t="s">
        <v>179</v>
      </c>
    </row>
    <row r="289">
      <c r="N289" s="88"/>
      <c r="O289" s="85" t="s">
        <v>179</v>
      </c>
      <c r="R289" s="88"/>
      <c r="S289" s="85" t="s">
        <v>179</v>
      </c>
    </row>
    <row r="290">
      <c r="N290" s="88"/>
      <c r="O290" s="85" t="s">
        <v>179</v>
      </c>
      <c r="R290" s="88"/>
      <c r="S290" s="85" t="s">
        <v>179</v>
      </c>
    </row>
    <row r="291">
      <c r="N291" s="88"/>
      <c r="O291" s="85" t="s">
        <v>179</v>
      </c>
      <c r="R291" s="88"/>
      <c r="S291" s="85" t="s">
        <v>179</v>
      </c>
    </row>
    <row r="292">
      <c r="N292" s="88"/>
      <c r="O292" s="85" t="s">
        <v>179</v>
      </c>
      <c r="R292" s="88"/>
      <c r="S292" s="85" t="s">
        <v>179</v>
      </c>
    </row>
    <row r="293">
      <c r="N293" s="88"/>
      <c r="O293" s="85" t="s">
        <v>179</v>
      </c>
      <c r="R293" s="88"/>
      <c r="S293" s="85" t="s">
        <v>179</v>
      </c>
    </row>
    <row r="294">
      <c r="N294" s="88"/>
      <c r="O294" s="85" t="s">
        <v>179</v>
      </c>
      <c r="R294" s="88"/>
      <c r="S294" s="85" t="s">
        <v>179</v>
      </c>
    </row>
    <row r="295">
      <c r="N295" s="88"/>
      <c r="O295" s="85" t="s">
        <v>179</v>
      </c>
      <c r="R295" s="88"/>
      <c r="S295" s="85" t="s">
        <v>179</v>
      </c>
    </row>
    <row r="296">
      <c r="N296" s="88"/>
      <c r="O296" s="85" t="s">
        <v>179</v>
      </c>
      <c r="R296" s="88"/>
      <c r="S296" s="85" t="s">
        <v>179</v>
      </c>
    </row>
    <row r="297">
      <c r="N297" s="88"/>
      <c r="O297" s="85" t="s">
        <v>179</v>
      </c>
      <c r="R297" s="88"/>
      <c r="S297" s="85" t="s">
        <v>179</v>
      </c>
    </row>
    <row r="298">
      <c r="N298" s="88"/>
      <c r="O298" s="85" t="s">
        <v>179</v>
      </c>
      <c r="R298" s="88"/>
      <c r="S298" s="85" t="s">
        <v>179</v>
      </c>
    </row>
    <row r="299">
      <c r="N299" s="88"/>
      <c r="O299" s="85" t="s">
        <v>179</v>
      </c>
      <c r="R299" s="88"/>
      <c r="S299" s="85" t="s">
        <v>179</v>
      </c>
    </row>
    <row r="300">
      <c r="N300" s="88"/>
      <c r="O300" s="85" t="s">
        <v>179</v>
      </c>
      <c r="R300" s="88"/>
      <c r="S300" s="85" t="s">
        <v>179</v>
      </c>
    </row>
    <row r="301">
      <c r="N301" s="88"/>
      <c r="O301" s="85" t="s">
        <v>179</v>
      </c>
      <c r="R301" s="88"/>
      <c r="S301" s="85" t="s">
        <v>179</v>
      </c>
    </row>
    <row r="302">
      <c r="N302" s="88"/>
      <c r="O302" s="85" t="s">
        <v>179</v>
      </c>
      <c r="R302" s="88"/>
      <c r="S302" s="85" t="s">
        <v>179</v>
      </c>
    </row>
    <row r="303">
      <c r="N303" s="88"/>
      <c r="O303" s="85" t="s">
        <v>179</v>
      </c>
      <c r="R303" s="88"/>
      <c r="S303" s="85" t="s">
        <v>179</v>
      </c>
    </row>
    <row r="304">
      <c r="N304" s="88"/>
      <c r="O304" s="85" t="s">
        <v>179</v>
      </c>
      <c r="R304" s="88"/>
      <c r="S304" s="85" t="s">
        <v>179</v>
      </c>
    </row>
    <row r="305">
      <c r="N305" s="88"/>
      <c r="O305" s="85" t="s">
        <v>179</v>
      </c>
      <c r="R305" s="88"/>
      <c r="S305" s="85" t="s">
        <v>179</v>
      </c>
    </row>
    <row r="306">
      <c r="N306" s="88"/>
      <c r="O306" s="85" t="s">
        <v>179</v>
      </c>
      <c r="R306" s="88"/>
      <c r="S306" s="85" t="s">
        <v>179</v>
      </c>
    </row>
    <row r="307">
      <c r="N307" s="88"/>
      <c r="O307" s="85" t="s">
        <v>179</v>
      </c>
      <c r="R307" s="88"/>
      <c r="S307" s="85" t="s">
        <v>179</v>
      </c>
    </row>
    <row r="308">
      <c r="N308" s="88"/>
      <c r="O308" s="85" t="s">
        <v>179</v>
      </c>
      <c r="R308" s="88"/>
      <c r="S308" s="85" t="s">
        <v>179</v>
      </c>
    </row>
    <row r="309">
      <c r="N309" s="88"/>
      <c r="O309" s="85" t="s">
        <v>179</v>
      </c>
      <c r="R309" s="88"/>
      <c r="S309" s="85" t="s">
        <v>179</v>
      </c>
    </row>
    <row r="310">
      <c r="N310" s="88"/>
      <c r="O310" s="85" t="s">
        <v>179</v>
      </c>
      <c r="R310" s="88"/>
      <c r="S310" s="85" t="s">
        <v>179</v>
      </c>
    </row>
    <row r="311">
      <c r="N311" s="88"/>
      <c r="O311" s="85" t="s">
        <v>179</v>
      </c>
      <c r="R311" s="88"/>
      <c r="S311" s="85" t="s">
        <v>179</v>
      </c>
    </row>
    <row r="312">
      <c r="N312" s="88"/>
      <c r="O312" s="85" t="s">
        <v>179</v>
      </c>
      <c r="R312" s="88"/>
      <c r="S312" s="85" t="s">
        <v>179</v>
      </c>
    </row>
    <row r="313">
      <c r="N313" s="88"/>
      <c r="O313" s="85" t="s">
        <v>179</v>
      </c>
      <c r="R313" s="88"/>
      <c r="S313" s="85" t="s">
        <v>179</v>
      </c>
    </row>
    <row r="314">
      <c r="N314" s="88"/>
      <c r="O314" s="85" t="s">
        <v>179</v>
      </c>
      <c r="R314" s="88"/>
      <c r="S314" s="85" t="s">
        <v>179</v>
      </c>
    </row>
    <row r="315">
      <c r="N315" s="88"/>
      <c r="O315" s="85" t="s">
        <v>179</v>
      </c>
      <c r="R315" s="88"/>
      <c r="S315" s="85" t="s">
        <v>179</v>
      </c>
    </row>
    <row r="316">
      <c r="N316" s="88"/>
      <c r="O316" s="85" t="s">
        <v>179</v>
      </c>
      <c r="R316" s="88"/>
      <c r="S316" s="85" t="s">
        <v>179</v>
      </c>
    </row>
    <row r="317">
      <c r="N317" s="88"/>
      <c r="O317" s="85" t="s">
        <v>179</v>
      </c>
      <c r="R317" s="88"/>
      <c r="S317" s="85" t="s">
        <v>179</v>
      </c>
    </row>
    <row r="318">
      <c r="N318" s="88"/>
      <c r="O318" s="85" t="s">
        <v>179</v>
      </c>
      <c r="R318" s="88"/>
      <c r="S318" s="85" t="s">
        <v>179</v>
      </c>
    </row>
    <row r="319">
      <c r="N319" s="88"/>
      <c r="O319" s="85" t="s">
        <v>179</v>
      </c>
      <c r="R319" s="88"/>
      <c r="S319" s="85" t="s">
        <v>179</v>
      </c>
    </row>
    <row r="320">
      <c r="N320" s="88"/>
      <c r="O320" s="85" t="s">
        <v>179</v>
      </c>
      <c r="R320" s="88"/>
      <c r="S320" s="85" t="s">
        <v>179</v>
      </c>
    </row>
    <row r="321">
      <c r="N321" s="88"/>
      <c r="O321" s="85" t="s">
        <v>179</v>
      </c>
      <c r="R321" s="88"/>
      <c r="S321" s="85" t="s">
        <v>179</v>
      </c>
    </row>
    <row r="322">
      <c r="N322" s="88"/>
      <c r="O322" s="85" t="s">
        <v>179</v>
      </c>
      <c r="R322" s="88"/>
      <c r="S322" s="85" t="s">
        <v>179</v>
      </c>
    </row>
    <row r="323">
      <c r="N323" s="88"/>
      <c r="O323" s="85" t="s">
        <v>179</v>
      </c>
      <c r="R323" s="88"/>
      <c r="S323" s="85" t="s">
        <v>179</v>
      </c>
    </row>
    <row r="324">
      <c r="N324" s="88"/>
      <c r="O324" s="85" t="s">
        <v>179</v>
      </c>
      <c r="R324" s="88"/>
      <c r="S324" s="85" t="s">
        <v>179</v>
      </c>
    </row>
    <row r="325">
      <c r="N325" s="88"/>
      <c r="O325" s="85" t="s">
        <v>179</v>
      </c>
      <c r="R325" s="88"/>
      <c r="S325" s="85" t="s">
        <v>179</v>
      </c>
    </row>
    <row r="326">
      <c r="N326" s="88"/>
      <c r="O326" s="85" t="s">
        <v>179</v>
      </c>
      <c r="R326" s="88"/>
      <c r="S326" s="85" t="s">
        <v>179</v>
      </c>
    </row>
    <row r="327">
      <c r="N327" s="88"/>
      <c r="O327" s="85" t="s">
        <v>179</v>
      </c>
      <c r="R327" s="88"/>
      <c r="S327" s="85" t="s">
        <v>179</v>
      </c>
    </row>
    <row r="328">
      <c r="N328" s="88"/>
      <c r="O328" s="85" t="s">
        <v>179</v>
      </c>
      <c r="R328" s="88"/>
      <c r="S328" s="85" t="s">
        <v>179</v>
      </c>
    </row>
    <row r="329">
      <c r="N329" s="88"/>
      <c r="O329" s="85" t="s">
        <v>179</v>
      </c>
      <c r="R329" s="88"/>
      <c r="S329" s="85" t="s">
        <v>179</v>
      </c>
    </row>
    <row r="330">
      <c r="N330" s="88"/>
      <c r="O330" s="85" t="s">
        <v>179</v>
      </c>
      <c r="R330" s="88"/>
      <c r="S330" s="85" t="s">
        <v>179</v>
      </c>
    </row>
    <row r="331">
      <c r="N331" s="88"/>
      <c r="O331" s="85" t="s">
        <v>179</v>
      </c>
      <c r="R331" s="88"/>
      <c r="S331" s="85" t="s">
        <v>179</v>
      </c>
    </row>
    <row r="332">
      <c r="N332" s="88"/>
      <c r="O332" s="85" t="s">
        <v>179</v>
      </c>
      <c r="R332" s="88"/>
      <c r="S332" s="85" t="s">
        <v>179</v>
      </c>
    </row>
    <row r="333">
      <c r="N333" s="88"/>
      <c r="O333" s="85" t="s">
        <v>179</v>
      </c>
      <c r="R333" s="88"/>
      <c r="S333" s="85" t="s">
        <v>179</v>
      </c>
    </row>
    <row r="334">
      <c r="N334" s="88"/>
      <c r="O334" s="85" t="s">
        <v>179</v>
      </c>
      <c r="R334" s="88"/>
      <c r="S334" s="85" t="s">
        <v>179</v>
      </c>
    </row>
    <row r="335">
      <c r="N335" s="88"/>
      <c r="O335" s="85" t="s">
        <v>179</v>
      </c>
      <c r="R335" s="88"/>
      <c r="S335" s="85" t="s">
        <v>179</v>
      </c>
    </row>
    <row r="336">
      <c r="N336" s="88"/>
      <c r="O336" s="85" t="s">
        <v>179</v>
      </c>
      <c r="R336" s="88"/>
      <c r="S336" s="85" t="s">
        <v>179</v>
      </c>
    </row>
    <row r="337">
      <c r="N337" s="88"/>
      <c r="O337" s="85" t="s">
        <v>179</v>
      </c>
      <c r="R337" s="88"/>
      <c r="S337" s="85" t="s">
        <v>179</v>
      </c>
    </row>
    <row r="338">
      <c r="N338" s="88"/>
      <c r="O338" s="85" t="s">
        <v>179</v>
      </c>
      <c r="R338" s="88"/>
      <c r="S338" s="85" t="s">
        <v>179</v>
      </c>
    </row>
    <row r="339">
      <c r="N339" s="88"/>
      <c r="O339" s="85" t="s">
        <v>179</v>
      </c>
      <c r="R339" s="88"/>
      <c r="S339" s="85" t="s">
        <v>179</v>
      </c>
    </row>
    <row r="340">
      <c r="N340" s="88"/>
      <c r="O340" s="85" t="s">
        <v>179</v>
      </c>
      <c r="R340" s="88"/>
      <c r="S340" s="85" t="s">
        <v>179</v>
      </c>
    </row>
    <row r="341">
      <c r="N341" s="88"/>
      <c r="O341" s="85" t="s">
        <v>179</v>
      </c>
      <c r="R341" s="88"/>
      <c r="S341" s="85" t="s">
        <v>179</v>
      </c>
    </row>
    <row r="342">
      <c r="N342" s="88"/>
      <c r="O342" s="85" t="s">
        <v>179</v>
      </c>
      <c r="R342" s="88"/>
      <c r="S342" s="85" t="s">
        <v>179</v>
      </c>
    </row>
    <row r="343">
      <c r="N343" s="88"/>
      <c r="O343" s="85" t="s">
        <v>179</v>
      </c>
      <c r="R343" s="88"/>
      <c r="S343" s="85" t="s">
        <v>179</v>
      </c>
    </row>
    <row r="344">
      <c r="N344" s="88"/>
      <c r="O344" s="85" t="s">
        <v>179</v>
      </c>
      <c r="R344" s="88"/>
      <c r="S344" s="85" t="s">
        <v>179</v>
      </c>
    </row>
    <row r="345">
      <c r="N345" s="88"/>
      <c r="O345" s="85" t="s">
        <v>179</v>
      </c>
      <c r="R345" s="88"/>
      <c r="S345" s="85" t="s">
        <v>179</v>
      </c>
    </row>
    <row r="346">
      <c r="N346" s="88"/>
      <c r="O346" s="85" t="s">
        <v>179</v>
      </c>
      <c r="R346" s="88"/>
      <c r="S346" s="85" t="s">
        <v>179</v>
      </c>
    </row>
    <row r="347">
      <c r="N347" s="88"/>
      <c r="O347" s="85" t="s">
        <v>179</v>
      </c>
      <c r="R347" s="88"/>
      <c r="S347" s="85" t="s">
        <v>179</v>
      </c>
    </row>
    <row r="348">
      <c r="N348" s="88"/>
      <c r="O348" s="85" t="s">
        <v>179</v>
      </c>
      <c r="R348" s="88"/>
      <c r="S348" s="85" t="s">
        <v>179</v>
      </c>
    </row>
    <row r="349">
      <c r="N349" s="88"/>
      <c r="O349" s="85" t="s">
        <v>179</v>
      </c>
      <c r="R349" s="88"/>
      <c r="S349" s="85" t="s">
        <v>179</v>
      </c>
    </row>
    <row r="350">
      <c r="N350" s="88"/>
      <c r="O350" s="85" t="s">
        <v>179</v>
      </c>
      <c r="R350" s="88"/>
      <c r="S350" s="85" t="s">
        <v>179</v>
      </c>
    </row>
    <row r="351">
      <c r="N351" s="88"/>
      <c r="O351" s="85" t="s">
        <v>179</v>
      </c>
      <c r="R351" s="88"/>
      <c r="S351" s="85" t="s">
        <v>179</v>
      </c>
    </row>
    <row r="352">
      <c r="N352" s="88"/>
      <c r="O352" s="85" t="s">
        <v>179</v>
      </c>
      <c r="R352" s="88"/>
      <c r="S352" s="85" t="s">
        <v>179</v>
      </c>
    </row>
    <row r="353">
      <c r="N353" s="88"/>
      <c r="O353" s="85" t="s">
        <v>179</v>
      </c>
      <c r="R353" s="88"/>
      <c r="S353" s="85" t="s">
        <v>179</v>
      </c>
    </row>
    <row r="354">
      <c r="N354" s="88"/>
      <c r="O354" s="85" t="s">
        <v>179</v>
      </c>
      <c r="R354" s="88"/>
      <c r="S354" s="85" t="s">
        <v>179</v>
      </c>
    </row>
    <row r="355">
      <c r="N355" s="88"/>
      <c r="O355" s="85" t="s">
        <v>179</v>
      </c>
      <c r="R355" s="88"/>
      <c r="S355" s="85" t="s">
        <v>179</v>
      </c>
    </row>
    <row r="356">
      <c r="N356" s="88"/>
      <c r="O356" s="85" t="s">
        <v>179</v>
      </c>
      <c r="R356" s="88"/>
      <c r="S356" s="85" t="s">
        <v>179</v>
      </c>
    </row>
    <row r="357">
      <c r="N357" s="88"/>
      <c r="O357" s="85" t="s">
        <v>179</v>
      </c>
      <c r="R357" s="88"/>
      <c r="S357" s="85" t="s">
        <v>179</v>
      </c>
    </row>
    <row r="358">
      <c r="N358" s="88"/>
      <c r="O358" s="85" t="s">
        <v>179</v>
      </c>
      <c r="R358" s="88"/>
      <c r="S358" s="85" t="s">
        <v>179</v>
      </c>
    </row>
    <row r="359">
      <c r="N359" s="88"/>
      <c r="O359" s="85" t="s">
        <v>179</v>
      </c>
      <c r="R359" s="88"/>
      <c r="S359" s="85" t="s">
        <v>179</v>
      </c>
    </row>
    <row r="360">
      <c r="N360" s="88"/>
      <c r="O360" s="85" t="s">
        <v>179</v>
      </c>
      <c r="R360" s="88"/>
      <c r="S360" s="85" t="s">
        <v>179</v>
      </c>
    </row>
    <row r="361">
      <c r="N361" s="88"/>
      <c r="O361" s="85" t="s">
        <v>179</v>
      </c>
      <c r="R361" s="88"/>
      <c r="S361" s="85" t="s">
        <v>179</v>
      </c>
    </row>
    <row r="362">
      <c r="N362" s="88"/>
      <c r="O362" s="85" t="s">
        <v>179</v>
      </c>
      <c r="R362" s="88"/>
      <c r="S362" s="85" t="s">
        <v>179</v>
      </c>
    </row>
    <row r="363">
      <c r="N363" s="88"/>
      <c r="O363" s="85" t="s">
        <v>179</v>
      </c>
      <c r="R363" s="88"/>
      <c r="S363" s="85" t="s">
        <v>179</v>
      </c>
    </row>
    <row r="364">
      <c r="N364" s="88"/>
      <c r="O364" s="85" t="s">
        <v>179</v>
      </c>
      <c r="R364" s="88"/>
      <c r="S364" s="85" t="s">
        <v>179</v>
      </c>
    </row>
    <row r="365">
      <c r="N365" s="88"/>
      <c r="O365" s="85" t="s">
        <v>179</v>
      </c>
      <c r="R365" s="88"/>
      <c r="S365" s="85" t="s">
        <v>179</v>
      </c>
    </row>
    <row r="366">
      <c r="N366" s="88"/>
      <c r="O366" s="85" t="s">
        <v>179</v>
      </c>
      <c r="R366" s="88"/>
      <c r="S366" s="85" t="s">
        <v>179</v>
      </c>
    </row>
    <row r="367">
      <c r="N367" s="88"/>
      <c r="O367" s="85" t="s">
        <v>179</v>
      </c>
      <c r="R367" s="88"/>
      <c r="S367" s="85" t="s">
        <v>179</v>
      </c>
    </row>
    <row r="368">
      <c r="N368" s="88"/>
      <c r="O368" s="85" t="s">
        <v>179</v>
      </c>
      <c r="R368" s="88"/>
      <c r="S368" s="85" t="s">
        <v>179</v>
      </c>
    </row>
    <row r="369">
      <c r="N369" s="88"/>
      <c r="O369" s="85" t="s">
        <v>179</v>
      </c>
      <c r="R369" s="88"/>
      <c r="S369" s="85" t="s">
        <v>179</v>
      </c>
    </row>
    <row r="370">
      <c r="N370" s="88"/>
      <c r="O370" s="85" t="s">
        <v>179</v>
      </c>
      <c r="R370" s="88"/>
      <c r="S370" s="85" t="s">
        <v>179</v>
      </c>
    </row>
    <row r="371">
      <c r="N371" s="88"/>
      <c r="O371" s="85" t="s">
        <v>179</v>
      </c>
      <c r="R371" s="88"/>
      <c r="S371" s="85" t="s">
        <v>179</v>
      </c>
    </row>
    <row r="372">
      <c r="N372" s="88"/>
      <c r="O372" s="85" t="s">
        <v>179</v>
      </c>
      <c r="R372" s="88"/>
      <c r="S372" s="85" t="s">
        <v>179</v>
      </c>
    </row>
    <row r="373">
      <c r="N373" s="88"/>
      <c r="O373" s="85" t="s">
        <v>179</v>
      </c>
      <c r="R373" s="88"/>
      <c r="S373" s="85" t="s">
        <v>179</v>
      </c>
    </row>
    <row r="374">
      <c r="N374" s="88"/>
      <c r="O374" s="85" t="s">
        <v>179</v>
      </c>
      <c r="R374" s="88"/>
      <c r="S374" s="85" t="s">
        <v>179</v>
      </c>
    </row>
    <row r="375">
      <c r="N375" s="88"/>
      <c r="O375" s="85" t="s">
        <v>179</v>
      </c>
      <c r="R375" s="88"/>
      <c r="S375" s="85" t="s">
        <v>179</v>
      </c>
    </row>
    <row r="376">
      <c r="N376" s="88"/>
      <c r="O376" s="85" t="s">
        <v>179</v>
      </c>
      <c r="R376" s="88"/>
      <c r="S376" s="85" t="s">
        <v>179</v>
      </c>
    </row>
    <row r="377">
      <c r="N377" s="88"/>
      <c r="O377" s="85" t="s">
        <v>179</v>
      </c>
      <c r="R377" s="88"/>
      <c r="S377" s="85" t="s">
        <v>179</v>
      </c>
    </row>
    <row r="378">
      <c r="N378" s="88"/>
      <c r="O378" s="85" t="s">
        <v>179</v>
      </c>
      <c r="R378" s="88"/>
      <c r="S378" s="85" t="s">
        <v>179</v>
      </c>
    </row>
    <row r="379">
      <c r="N379" s="88"/>
      <c r="O379" s="85" t="s">
        <v>179</v>
      </c>
      <c r="R379" s="88"/>
      <c r="S379" s="85" t="s">
        <v>179</v>
      </c>
    </row>
    <row r="380">
      <c r="N380" s="88"/>
      <c r="O380" s="85" t="s">
        <v>179</v>
      </c>
      <c r="R380" s="88"/>
      <c r="S380" s="85" t="s">
        <v>179</v>
      </c>
    </row>
    <row r="381">
      <c r="N381" s="88"/>
      <c r="O381" s="85" t="s">
        <v>179</v>
      </c>
      <c r="R381" s="88"/>
      <c r="S381" s="85" t="s">
        <v>179</v>
      </c>
    </row>
    <row r="382">
      <c r="N382" s="88"/>
      <c r="O382" s="85" t="s">
        <v>179</v>
      </c>
      <c r="R382" s="88"/>
      <c r="S382" s="85" t="s">
        <v>179</v>
      </c>
    </row>
    <row r="383">
      <c r="N383" s="88"/>
      <c r="O383" s="85" t="s">
        <v>179</v>
      </c>
      <c r="R383" s="88"/>
      <c r="S383" s="85" t="s">
        <v>179</v>
      </c>
    </row>
    <row r="384">
      <c r="N384" s="88"/>
      <c r="O384" s="85" t="s">
        <v>179</v>
      </c>
      <c r="R384" s="88"/>
      <c r="S384" s="85" t="s">
        <v>179</v>
      </c>
    </row>
    <row r="385">
      <c r="N385" s="88"/>
      <c r="O385" s="85" t="s">
        <v>179</v>
      </c>
      <c r="R385" s="88"/>
      <c r="S385" s="85" t="s">
        <v>179</v>
      </c>
    </row>
    <row r="386">
      <c r="N386" s="88"/>
      <c r="O386" s="85" t="s">
        <v>179</v>
      </c>
      <c r="R386" s="88"/>
      <c r="S386" s="85" t="s">
        <v>179</v>
      </c>
    </row>
    <row r="387">
      <c r="N387" s="88"/>
      <c r="O387" s="85" t="s">
        <v>179</v>
      </c>
      <c r="R387" s="88"/>
      <c r="S387" s="85" t="s">
        <v>179</v>
      </c>
    </row>
    <row r="388">
      <c r="N388" s="88"/>
      <c r="O388" s="85" t="s">
        <v>179</v>
      </c>
      <c r="R388" s="88"/>
      <c r="S388" s="85" t="s">
        <v>179</v>
      </c>
    </row>
    <row r="389">
      <c r="N389" s="88"/>
      <c r="O389" s="85" t="s">
        <v>179</v>
      </c>
      <c r="R389" s="88"/>
      <c r="S389" s="85" t="s">
        <v>179</v>
      </c>
    </row>
    <row r="390">
      <c r="N390" s="88"/>
      <c r="O390" s="85" t="s">
        <v>179</v>
      </c>
      <c r="R390" s="88"/>
      <c r="S390" s="85" t="s">
        <v>179</v>
      </c>
    </row>
    <row r="391">
      <c r="N391" s="88"/>
      <c r="O391" s="85" t="s">
        <v>179</v>
      </c>
      <c r="R391" s="88"/>
      <c r="S391" s="85" t="s">
        <v>179</v>
      </c>
    </row>
    <row r="392">
      <c r="N392" s="88"/>
      <c r="O392" s="85" t="s">
        <v>179</v>
      </c>
      <c r="R392" s="88"/>
      <c r="S392" s="85" t="s">
        <v>179</v>
      </c>
    </row>
    <row r="393">
      <c r="N393" s="88"/>
      <c r="O393" s="85" t="s">
        <v>179</v>
      </c>
      <c r="R393" s="88"/>
      <c r="S393" s="85" t="s">
        <v>179</v>
      </c>
    </row>
    <row r="394">
      <c r="N394" s="88"/>
      <c r="O394" s="85" t="s">
        <v>179</v>
      </c>
      <c r="R394" s="88"/>
      <c r="S394" s="85" t="s">
        <v>179</v>
      </c>
    </row>
    <row r="395">
      <c r="N395" s="88"/>
      <c r="O395" s="85" t="s">
        <v>179</v>
      </c>
      <c r="R395" s="88"/>
      <c r="S395" s="85" t="s">
        <v>179</v>
      </c>
    </row>
    <row r="396">
      <c r="N396" s="88"/>
      <c r="O396" s="85" t="s">
        <v>179</v>
      </c>
      <c r="R396" s="88"/>
      <c r="S396" s="85" t="s">
        <v>179</v>
      </c>
    </row>
    <row r="397">
      <c r="N397" s="88"/>
      <c r="O397" s="85" t="s">
        <v>179</v>
      </c>
      <c r="R397" s="88"/>
      <c r="S397" s="85" t="s">
        <v>179</v>
      </c>
    </row>
    <row r="398">
      <c r="N398" s="88"/>
      <c r="O398" s="85" t="s">
        <v>179</v>
      </c>
      <c r="R398" s="88"/>
      <c r="S398" s="85" t="s">
        <v>179</v>
      </c>
    </row>
    <row r="399">
      <c r="N399" s="88"/>
      <c r="O399" s="85" t="s">
        <v>179</v>
      </c>
      <c r="R399" s="88"/>
      <c r="S399" s="85" t="s">
        <v>179</v>
      </c>
    </row>
    <row r="400">
      <c r="N400" s="88"/>
      <c r="O400" s="85" t="s">
        <v>179</v>
      </c>
      <c r="R400" s="88"/>
      <c r="S400" s="85" t="s">
        <v>179</v>
      </c>
    </row>
    <row r="401">
      <c r="N401" s="88"/>
      <c r="O401" s="85" t="s">
        <v>179</v>
      </c>
      <c r="R401" s="88"/>
      <c r="S401" s="85" t="s">
        <v>179</v>
      </c>
    </row>
    <row r="402">
      <c r="N402" s="88"/>
      <c r="O402" s="85" t="s">
        <v>179</v>
      </c>
      <c r="R402" s="88"/>
      <c r="S402" s="85" t="s">
        <v>179</v>
      </c>
    </row>
    <row r="403">
      <c r="N403" s="88"/>
      <c r="O403" s="85" t="s">
        <v>179</v>
      </c>
      <c r="R403" s="88"/>
      <c r="S403" s="85" t="s">
        <v>179</v>
      </c>
    </row>
    <row r="404">
      <c r="N404" s="88"/>
      <c r="O404" s="85" t="s">
        <v>179</v>
      </c>
      <c r="R404" s="88"/>
      <c r="S404" s="85" t="s">
        <v>179</v>
      </c>
    </row>
    <row r="405">
      <c r="N405" s="88"/>
      <c r="O405" s="85" t="s">
        <v>179</v>
      </c>
      <c r="R405" s="88"/>
      <c r="S405" s="85" t="s">
        <v>179</v>
      </c>
    </row>
    <row r="406">
      <c r="N406" s="88"/>
      <c r="O406" s="85" t="s">
        <v>179</v>
      </c>
      <c r="R406" s="88"/>
      <c r="S406" s="85" t="s">
        <v>179</v>
      </c>
    </row>
    <row r="407">
      <c r="N407" s="88"/>
      <c r="O407" s="85" t="s">
        <v>179</v>
      </c>
      <c r="R407" s="88"/>
      <c r="S407" s="85" t="s">
        <v>179</v>
      </c>
    </row>
    <row r="408">
      <c r="N408" s="88"/>
      <c r="O408" s="85" t="s">
        <v>179</v>
      </c>
      <c r="R408" s="88"/>
      <c r="S408" s="85" t="s">
        <v>179</v>
      </c>
    </row>
    <row r="409">
      <c r="N409" s="88"/>
      <c r="O409" s="85" t="s">
        <v>179</v>
      </c>
      <c r="R409" s="88"/>
      <c r="S409" s="85" t="s">
        <v>179</v>
      </c>
    </row>
    <row r="410">
      <c r="N410" s="88"/>
      <c r="O410" s="85" t="s">
        <v>179</v>
      </c>
      <c r="R410" s="88"/>
      <c r="S410" s="85" t="s">
        <v>179</v>
      </c>
    </row>
    <row r="411">
      <c r="N411" s="88"/>
      <c r="O411" s="85" t="s">
        <v>179</v>
      </c>
      <c r="R411" s="88"/>
      <c r="S411" s="85" t="s">
        <v>179</v>
      </c>
    </row>
    <row r="412">
      <c r="N412" s="88"/>
      <c r="O412" s="85" t="s">
        <v>179</v>
      </c>
      <c r="R412" s="88"/>
      <c r="S412" s="85" t="s">
        <v>179</v>
      </c>
    </row>
    <row r="413">
      <c r="N413" s="88"/>
      <c r="O413" s="85" t="s">
        <v>179</v>
      </c>
      <c r="R413" s="88"/>
      <c r="S413" s="85" t="s">
        <v>179</v>
      </c>
    </row>
    <row r="414">
      <c r="N414" s="88"/>
      <c r="O414" s="85" t="s">
        <v>179</v>
      </c>
      <c r="R414" s="88"/>
      <c r="S414" s="85" t="s">
        <v>179</v>
      </c>
    </row>
    <row r="415">
      <c r="N415" s="88"/>
      <c r="O415" s="85" t="s">
        <v>179</v>
      </c>
      <c r="R415" s="88"/>
      <c r="S415" s="85" t="s">
        <v>179</v>
      </c>
    </row>
    <row r="416">
      <c r="N416" s="88"/>
      <c r="O416" s="85" t="s">
        <v>179</v>
      </c>
      <c r="R416" s="88"/>
      <c r="S416" s="85" t="s">
        <v>179</v>
      </c>
    </row>
    <row r="417">
      <c r="N417" s="88"/>
      <c r="O417" s="85" t="s">
        <v>179</v>
      </c>
      <c r="R417" s="88"/>
      <c r="S417" s="85" t="s">
        <v>179</v>
      </c>
    </row>
    <row r="418">
      <c r="N418" s="88"/>
      <c r="O418" s="85" t="s">
        <v>179</v>
      </c>
      <c r="R418" s="88"/>
      <c r="S418" s="85" t="s">
        <v>179</v>
      </c>
    </row>
    <row r="419">
      <c r="N419" s="88"/>
      <c r="O419" s="85" t="s">
        <v>179</v>
      </c>
      <c r="R419" s="88"/>
      <c r="S419" s="85" t="s">
        <v>179</v>
      </c>
    </row>
    <row r="420">
      <c r="N420" s="88"/>
      <c r="O420" s="85" t="s">
        <v>179</v>
      </c>
      <c r="R420" s="88"/>
      <c r="S420" s="85" t="s">
        <v>179</v>
      </c>
    </row>
    <row r="421">
      <c r="N421" s="88"/>
      <c r="O421" s="85" t="s">
        <v>179</v>
      </c>
      <c r="R421" s="88"/>
      <c r="S421" s="85" t="s">
        <v>179</v>
      </c>
    </row>
    <row r="422">
      <c r="N422" s="88"/>
      <c r="O422" s="85" t="s">
        <v>179</v>
      </c>
      <c r="R422" s="88"/>
      <c r="S422" s="85" t="s">
        <v>179</v>
      </c>
    </row>
    <row r="423">
      <c r="N423" s="88"/>
      <c r="O423" s="85" t="s">
        <v>179</v>
      </c>
      <c r="R423" s="88"/>
      <c r="S423" s="85" t="s">
        <v>179</v>
      </c>
    </row>
    <row r="424">
      <c r="N424" s="88"/>
      <c r="O424" s="85" t="s">
        <v>179</v>
      </c>
      <c r="R424" s="88"/>
      <c r="S424" s="85" t="s">
        <v>179</v>
      </c>
    </row>
    <row r="425">
      <c r="N425" s="88"/>
      <c r="O425" s="85" t="s">
        <v>179</v>
      </c>
      <c r="R425" s="88"/>
      <c r="S425" s="85" t="s">
        <v>179</v>
      </c>
    </row>
    <row r="426">
      <c r="N426" s="88"/>
      <c r="O426" s="85" t="s">
        <v>179</v>
      </c>
      <c r="R426" s="88"/>
      <c r="S426" s="85" t="s">
        <v>179</v>
      </c>
    </row>
    <row r="427">
      <c r="N427" s="88"/>
      <c r="O427" s="85" t="s">
        <v>179</v>
      </c>
      <c r="R427" s="88"/>
      <c r="S427" s="85" t="s">
        <v>179</v>
      </c>
    </row>
    <row r="428">
      <c r="N428" s="88"/>
      <c r="O428" s="85" t="s">
        <v>179</v>
      </c>
      <c r="R428" s="88"/>
      <c r="S428" s="85" t="s">
        <v>179</v>
      </c>
    </row>
    <row r="429">
      <c r="N429" s="88"/>
      <c r="O429" s="85" t="s">
        <v>179</v>
      </c>
      <c r="R429" s="88"/>
      <c r="S429" s="85" t="s">
        <v>179</v>
      </c>
    </row>
    <row r="430">
      <c r="N430" s="88"/>
      <c r="O430" s="85" t="s">
        <v>179</v>
      </c>
      <c r="R430" s="88"/>
      <c r="S430" s="85" t="s">
        <v>179</v>
      </c>
    </row>
    <row r="431">
      <c r="N431" s="88"/>
      <c r="O431" s="85" t="s">
        <v>179</v>
      </c>
      <c r="R431" s="88"/>
      <c r="S431" s="85" t="s">
        <v>179</v>
      </c>
    </row>
    <row r="432">
      <c r="N432" s="88"/>
      <c r="O432" s="85" t="s">
        <v>179</v>
      </c>
      <c r="R432" s="88"/>
      <c r="S432" s="85" t="s">
        <v>179</v>
      </c>
    </row>
    <row r="433">
      <c r="N433" s="88"/>
      <c r="O433" s="85" t="s">
        <v>179</v>
      </c>
      <c r="R433" s="88"/>
      <c r="S433" s="85" t="s">
        <v>179</v>
      </c>
    </row>
    <row r="434">
      <c r="N434" s="88"/>
      <c r="O434" s="85" t="s">
        <v>179</v>
      </c>
      <c r="R434" s="88"/>
      <c r="S434" s="85" t="s">
        <v>179</v>
      </c>
    </row>
    <row r="435">
      <c r="N435" s="88"/>
      <c r="O435" s="85" t="s">
        <v>179</v>
      </c>
      <c r="R435" s="88"/>
      <c r="S435" s="85" t="s">
        <v>179</v>
      </c>
    </row>
    <row r="436">
      <c r="N436" s="88"/>
      <c r="O436" s="85" t="s">
        <v>179</v>
      </c>
      <c r="R436" s="88"/>
      <c r="S436" s="85" t="s">
        <v>179</v>
      </c>
    </row>
    <row r="437">
      <c r="N437" s="88"/>
      <c r="O437" s="85" t="s">
        <v>179</v>
      </c>
      <c r="R437" s="88"/>
      <c r="S437" s="85" t="s">
        <v>179</v>
      </c>
    </row>
    <row r="438">
      <c r="N438" s="88"/>
      <c r="O438" s="85" t="s">
        <v>179</v>
      </c>
      <c r="R438" s="88"/>
      <c r="S438" s="85" t="s">
        <v>179</v>
      </c>
    </row>
    <row r="439">
      <c r="N439" s="88"/>
      <c r="O439" s="85" t="s">
        <v>179</v>
      </c>
      <c r="R439" s="88"/>
      <c r="S439" s="85" t="s">
        <v>179</v>
      </c>
    </row>
    <row r="440">
      <c r="N440" s="88"/>
      <c r="O440" s="85" t="s">
        <v>179</v>
      </c>
      <c r="R440" s="88"/>
      <c r="S440" s="85" t="s">
        <v>179</v>
      </c>
    </row>
    <row r="441">
      <c r="N441" s="88"/>
      <c r="O441" s="85" t="s">
        <v>179</v>
      </c>
      <c r="R441" s="88"/>
      <c r="S441" s="85" t="s">
        <v>179</v>
      </c>
    </row>
    <row r="442">
      <c r="N442" s="88"/>
      <c r="O442" s="85" t="s">
        <v>179</v>
      </c>
      <c r="R442" s="88"/>
      <c r="S442" s="85" t="s">
        <v>179</v>
      </c>
    </row>
    <row r="443">
      <c r="N443" s="88"/>
      <c r="O443" s="85" t="s">
        <v>179</v>
      </c>
      <c r="R443" s="88"/>
      <c r="S443" s="85" t="s">
        <v>179</v>
      </c>
    </row>
    <row r="444">
      <c r="N444" s="88"/>
      <c r="O444" s="85" t="s">
        <v>179</v>
      </c>
      <c r="R444" s="88"/>
      <c r="S444" s="85" t="s">
        <v>179</v>
      </c>
    </row>
    <row r="445">
      <c r="N445" s="88"/>
      <c r="O445" s="85" t="s">
        <v>179</v>
      </c>
      <c r="R445" s="88"/>
      <c r="S445" s="85" t="s">
        <v>179</v>
      </c>
    </row>
    <row r="446">
      <c r="N446" s="88"/>
      <c r="O446" s="85" t="s">
        <v>179</v>
      </c>
      <c r="R446" s="88"/>
      <c r="S446" s="85" t="s">
        <v>179</v>
      </c>
    </row>
    <row r="447">
      <c r="N447" s="88"/>
      <c r="O447" s="85" t="s">
        <v>179</v>
      </c>
      <c r="R447" s="88"/>
      <c r="S447" s="85" t="s">
        <v>179</v>
      </c>
    </row>
    <row r="448">
      <c r="N448" s="88"/>
      <c r="O448" s="85" t="s">
        <v>179</v>
      </c>
      <c r="R448" s="88"/>
      <c r="S448" s="85" t="s">
        <v>179</v>
      </c>
    </row>
    <row r="449">
      <c r="N449" s="88"/>
      <c r="O449" s="85" t="s">
        <v>179</v>
      </c>
      <c r="R449" s="88"/>
      <c r="S449" s="85" t="s">
        <v>179</v>
      </c>
    </row>
    <row r="450">
      <c r="N450" s="88"/>
      <c r="O450" s="85" t="s">
        <v>179</v>
      </c>
      <c r="R450" s="88"/>
      <c r="S450" s="85" t="s">
        <v>179</v>
      </c>
    </row>
    <row r="451">
      <c r="N451" s="88"/>
      <c r="O451" s="85" t="s">
        <v>179</v>
      </c>
      <c r="R451" s="88"/>
      <c r="S451" s="85" t="s">
        <v>179</v>
      </c>
    </row>
    <row r="452">
      <c r="N452" s="88"/>
      <c r="O452" s="85" t="s">
        <v>179</v>
      </c>
      <c r="R452" s="88"/>
      <c r="S452" s="85" t="s">
        <v>179</v>
      </c>
    </row>
    <row r="453">
      <c r="N453" s="88"/>
      <c r="O453" s="85" t="s">
        <v>179</v>
      </c>
      <c r="R453" s="88"/>
      <c r="S453" s="85" t="s">
        <v>179</v>
      </c>
    </row>
    <row r="454">
      <c r="N454" s="88"/>
      <c r="O454" s="85" t="s">
        <v>179</v>
      </c>
      <c r="R454" s="88"/>
      <c r="S454" s="85" t="s">
        <v>179</v>
      </c>
    </row>
    <row r="455">
      <c r="N455" s="88"/>
      <c r="O455" s="85" t="s">
        <v>179</v>
      </c>
      <c r="R455" s="88"/>
      <c r="S455" s="85" t="s">
        <v>179</v>
      </c>
    </row>
    <row r="456">
      <c r="N456" s="88"/>
      <c r="O456" s="85" t="s">
        <v>179</v>
      </c>
      <c r="R456" s="88"/>
      <c r="S456" s="85" t="s">
        <v>179</v>
      </c>
    </row>
    <row r="457">
      <c r="N457" s="88"/>
      <c r="O457" s="85" t="s">
        <v>179</v>
      </c>
      <c r="R457" s="88"/>
      <c r="S457" s="85" t="s">
        <v>179</v>
      </c>
    </row>
    <row r="458">
      <c r="N458" s="88"/>
      <c r="O458" s="85" t="s">
        <v>179</v>
      </c>
      <c r="R458" s="88"/>
      <c r="S458" s="85" t="s">
        <v>179</v>
      </c>
    </row>
    <row r="459">
      <c r="N459" s="88"/>
      <c r="O459" s="85" t="s">
        <v>179</v>
      </c>
      <c r="R459" s="88"/>
      <c r="S459" s="85" t="s">
        <v>179</v>
      </c>
    </row>
    <row r="460">
      <c r="N460" s="88"/>
      <c r="O460" s="85" t="s">
        <v>179</v>
      </c>
      <c r="R460" s="88"/>
      <c r="S460" s="85" t="s">
        <v>179</v>
      </c>
    </row>
    <row r="461">
      <c r="N461" s="88"/>
      <c r="O461" s="85" t="s">
        <v>179</v>
      </c>
      <c r="R461" s="88"/>
      <c r="S461" s="85" t="s">
        <v>179</v>
      </c>
    </row>
    <row r="462">
      <c r="N462" s="88"/>
      <c r="O462" s="85" t="s">
        <v>179</v>
      </c>
      <c r="R462" s="88"/>
      <c r="S462" s="85" t="s">
        <v>179</v>
      </c>
    </row>
    <row r="463">
      <c r="N463" s="88"/>
      <c r="O463" s="85" t="s">
        <v>179</v>
      </c>
      <c r="R463" s="88"/>
      <c r="S463" s="85" t="s">
        <v>179</v>
      </c>
    </row>
    <row r="464">
      <c r="N464" s="88"/>
      <c r="O464" s="85" t="s">
        <v>179</v>
      </c>
      <c r="R464" s="88"/>
      <c r="S464" s="85" t="s">
        <v>179</v>
      </c>
    </row>
    <row r="465">
      <c r="N465" s="88"/>
      <c r="O465" s="85" t="s">
        <v>179</v>
      </c>
      <c r="R465" s="88"/>
      <c r="S465" s="85" t="s">
        <v>179</v>
      </c>
    </row>
    <row r="466">
      <c r="N466" s="88"/>
      <c r="O466" s="85" t="s">
        <v>179</v>
      </c>
      <c r="R466" s="88"/>
      <c r="S466" s="85" t="s">
        <v>179</v>
      </c>
    </row>
    <row r="467">
      <c r="N467" s="88"/>
      <c r="O467" s="85" t="s">
        <v>179</v>
      </c>
      <c r="R467" s="88"/>
      <c r="S467" s="85" t="s">
        <v>179</v>
      </c>
    </row>
    <row r="468">
      <c r="N468" s="88"/>
      <c r="O468" s="85" t="s">
        <v>179</v>
      </c>
      <c r="R468" s="88"/>
      <c r="S468" s="85" t="s">
        <v>179</v>
      </c>
    </row>
    <row r="469">
      <c r="N469" s="88"/>
      <c r="O469" s="85" t="s">
        <v>179</v>
      </c>
      <c r="R469" s="88"/>
      <c r="S469" s="85" t="s">
        <v>179</v>
      </c>
    </row>
    <row r="470">
      <c r="N470" s="88"/>
      <c r="O470" s="85" t="s">
        <v>179</v>
      </c>
      <c r="R470" s="88"/>
      <c r="S470" s="85" t="s">
        <v>179</v>
      </c>
    </row>
    <row r="471">
      <c r="N471" s="88"/>
      <c r="O471" s="85" t="s">
        <v>179</v>
      </c>
      <c r="R471" s="88"/>
      <c r="S471" s="85" t="s">
        <v>179</v>
      </c>
    </row>
    <row r="472">
      <c r="N472" s="88"/>
      <c r="O472" s="85" t="s">
        <v>179</v>
      </c>
      <c r="R472" s="88"/>
      <c r="S472" s="85" t="s">
        <v>179</v>
      </c>
    </row>
    <row r="473">
      <c r="N473" s="88"/>
      <c r="O473" s="85" t="s">
        <v>179</v>
      </c>
      <c r="R473" s="88"/>
      <c r="S473" s="85" t="s">
        <v>179</v>
      </c>
    </row>
    <row r="474">
      <c r="N474" s="88"/>
      <c r="O474" s="85" t="s">
        <v>179</v>
      </c>
      <c r="R474" s="88"/>
      <c r="S474" s="85" t="s">
        <v>179</v>
      </c>
    </row>
    <row r="475">
      <c r="N475" s="88"/>
      <c r="O475" s="85" t="s">
        <v>179</v>
      </c>
      <c r="R475" s="88"/>
      <c r="S475" s="85" t="s">
        <v>179</v>
      </c>
    </row>
    <row r="476">
      <c r="N476" s="88"/>
      <c r="O476" s="85" t="s">
        <v>179</v>
      </c>
      <c r="R476" s="88"/>
      <c r="S476" s="85" t="s">
        <v>179</v>
      </c>
    </row>
    <row r="477">
      <c r="N477" s="88"/>
      <c r="O477" s="85" t="s">
        <v>179</v>
      </c>
      <c r="R477" s="88"/>
      <c r="S477" s="85" t="s">
        <v>179</v>
      </c>
    </row>
    <row r="478">
      <c r="N478" s="88"/>
      <c r="O478" s="85" t="s">
        <v>179</v>
      </c>
      <c r="R478" s="88"/>
      <c r="S478" s="85" t="s">
        <v>179</v>
      </c>
    </row>
    <row r="479">
      <c r="N479" s="88"/>
      <c r="O479" s="85" t="s">
        <v>179</v>
      </c>
      <c r="R479" s="88"/>
      <c r="S479" s="85" t="s">
        <v>179</v>
      </c>
    </row>
    <row r="480">
      <c r="N480" s="88"/>
      <c r="O480" s="85" t="s">
        <v>179</v>
      </c>
      <c r="R480" s="88"/>
      <c r="S480" s="85" t="s">
        <v>179</v>
      </c>
    </row>
    <row r="481">
      <c r="N481" s="88"/>
      <c r="O481" s="85" t="s">
        <v>179</v>
      </c>
      <c r="R481" s="88"/>
      <c r="S481" s="85" t="s">
        <v>179</v>
      </c>
    </row>
    <row r="482">
      <c r="N482" s="88"/>
      <c r="O482" s="85" t="s">
        <v>179</v>
      </c>
      <c r="R482" s="88"/>
      <c r="S482" s="85" t="s">
        <v>179</v>
      </c>
    </row>
    <row r="483">
      <c r="N483" s="88"/>
      <c r="O483" s="85" t="s">
        <v>179</v>
      </c>
      <c r="R483" s="88"/>
      <c r="S483" s="85" t="s">
        <v>179</v>
      </c>
    </row>
    <row r="484">
      <c r="N484" s="88"/>
      <c r="O484" s="85" t="s">
        <v>179</v>
      </c>
      <c r="R484" s="88"/>
      <c r="S484" s="85" t="s">
        <v>179</v>
      </c>
    </row>
    <row r="485">
      <c r="N485" s="88"/>
      <c r="O485" s="85" t="s">
        <v>179</v>
      </c>
      <c r="R485" s="88"/>
      <c r="S485" s="85" t="s">
        <v>179</v>
      </c>
    </row>
    <row r="486">
      <c r="N486" s="88"/>
      <c r="O486" s="85" t="s">
        <v>179</v>
      </c>
      <c r="R486" s="88"/>
      <c r="S486" s="85" t="s">
        <v>179</v>
      </c>
    </row>
    <row r="487">
      <c r="N487" s="88"/>
      <c r="O487" s="85" t="s">
        <v>179</v>
      </c>
      <c r="R487" s="88"/>
      <c r="S487" s="85" t="s">
        <v>179</v>
      </c>
    </row>
    <row r="488">
      <c r="N488" s="88"/>
      <c r="O488" s="85" t="s">
        <v>179</v>
      </c>
      <c r="R488" s="88"/>
      <c r="S488" s="85" t="s">
        <v>179</v>
      </c>
    </row>
    <row r="489">
      <c r="N489" s="88"/>
      <c r="O489" s="85" t="s">
        <v>179</v>
      </c>
      <c r="R489" s="88"/>
      <c r="S489" s="85" t="s">
        <v>179</v>
      </c>
    </row>
    <row r="490">
      <c r="N490" s="88"/>
      <c r="O490" s="85" t="s">
        <v>179</v>
      </c>
      <c r="R490" s="88"/>
      <c r="S490" s="85" t="s">
        <v>179</v>
      </c>
    </row>
    <row r="491">
      <c r="N491" s="88"/>
      <c r="O491" s="85" t="s">
        <v>179</v>
      </c>
      <c r="R491" s="88"/>
      <c r="S491" s="85" t="s">
        <v>179</v>
      </c>
    </row>
    <row r="492">
      <c r="N492" s="88"/>
      <c r="O492" s="85" t="s">
        <v>179</v>
      </c>
      <c r="R492" s="88"/>
      <c r="S492" s="85" t="s">
        <v>179</v>
      </c>
    </row>
    <row r="493">
      <c r="N493" s="88"/>
      <c r="O493" s="85" t="s">
        <v>179</v>
      </c>
      <c r="R493" s="88"/>
      <c r="S493" s="85" t="s">
        <v>179</v>
      </c>
    </row>
    <row r="494">
      <c r="N494" s="88"/>
      <c r="O494" s="85" t="s">
        <v>179</v>
      </c>
      <c r="R494" s="88"/>
      <c r="S494" s="85" t="s">
        <v>179</v>
      </c>
    </row>
    <row r="495">
      <c r="N495" s="88"/>
      <c r="O495" s="85" t="s">
        <v>179</v>
      </c>
      <c r="R495" s="88"/>
      <c r="S495" s="85" t="s">
        <v>179</v>
      </c>
    </row>
    <row r="496">
      <c r="N496" s="88"/>
      <c r="O496" s="85" t="s">
        <v>179</v>
      </c>
      <c r="R496" s="88"/>
      <c r="S496" s="85" t="s">
        <v>179</v>
      </c>
    </row>
    <row r="497">
      <c r="N497" s="88"/>
      <c r="O497" s="85" t="s">
        <v>179</v>
      </c>
      <c r="R497" s="88"/>
      <c r="S497" s="85" t="s">
        <v>179</v>
      </c>
    </row>
    <row r="498">
      <c r="N498" s="88"/>
      <c r="O498" s="85" t="s">
        <v>179</v>
      </c>
      <c r="R498" s="88"/>
      <c r="S498" s="85" t="s">
        <v>179</v>
      </c>
    </row>
    <row r="499">
      <c r="N499" s="88"/>
      <c r="O499" s="85" t="s">
        <v>179</v>
      </c>
      <c r="R499" s="88"/>
      <c r="S499" s="85" t="s">
        <v>179</v>
      </c>
    </row>
    <row r="500">
      <c r="N500" s="88"/>
      <c r="O500" s="85" t="s">
        <v>179</v>
      </c>
      <c r="R500" s="88"/>
      <c r="S500" s="85" t="s">
        <v>179</v>
      </c>
    </row>
    <row r="501">
      <c r="N501" s="88"/>
      <c r="O501" s="85" t="s">
        <v>179</v>
      </c>
      <c r="R501" s="88"/>
      <c r="S501" s="85" t="s">
        <v>179</v>
      </c>
    </row>
    <row r="502">
      <c r="N502" s="88"/>
      <c r="O502" s="85" t="s">
        <v>179</v>
      </c>
      <c r="R502" s="88"/>
      <c r="S502" s="85" t="s">
        <v>179</v>
      </c>
    </row>
    <row r="503">
      <c r="N503" s="88"/>
      <c r="O503" s="85" t="s">
        <v>179</v>
      </c>
      <c r="R503" s="88"/>
      <c r="S503" s="85" t="s">
        <v>179</v>
      </c>
    </row>
    <row r="504">
      <c r="N504" s="88"/>
      <c r="O504" s="85" t="s">
        <v>179</v>
      </c>
      <c r="R504" s="88"/>
      <c r="S504" s="85" t="s">
        <v>179</v>
      </c>
    </row>
    <row r="505">
      <c r="N505" s="88"/>
      <c r="O505" s="85" t="s">
        <v>179</v>
      </c>
      <c r="R505" s="88"/>
      <c r="S505" s="85" t="s">
        <v>179</v>
      </c>
    </row>
    <row r="506">
      <c r="N506" s="88"/>
      <c r="O506" s="85" t="s">
        <v>179</v>
      </c>
      <c r="R506" s="88"/>
      <c r="S506" s="85" t="s">
        <v>179</v>
      </c>
    </row>
    <row r="507">
      <c r="N507" s="88"/>
      <c r="O507" s="85" t="s">
        <v>179</v>
      </c>
      <c r="R507" s="88"/>
      <c r="S507" s="85" t="s">
        <v>179</v>
      </c>
    </row>
    <row r="508">
      <c r="N508" s="88"/>
      <c r="O508" s="85" t="s">
        <v>179</v>
      </c>
      <c r="R508" s="88"/>
      <c r="S508" s="85" t="s">
        <v>179</v>
      </c>
    </row>
    <row r="509">
      <c r="N509" s="88"/>
      <c r="O509" s="85" t="s">
        <v>179</v>
      </c>
      <c r="R509" s="88"/>
      <c r="S509" s="85" t="s">
        <v>179</v>
      </c>
    </row>
    <row r="510">
      <c r="N510" s="88"/>
      <c r="O510" s="85" t="s">
        <v>179</v>
      </c>
      <c r="R510" s="88"/>
      <c r="S510" s="85" t="s">
        <v>179</v>
      </c>
    </row>
    <row r="511">
      <c r="N511" s="88"/>
      <c r="O511" s="85" t="s">
        <v>179</v>
      </c>
      <c r="R511" s="88"/>
      <c r="S511" s="85" t="s">
        <v>179</v>
      </c>
    </row>
    <row r="512">
      <c r="N512" s="88"/>
      <c r="O512" s="85" t="s">
        <v>179</v>
      </c>
      <c r="R512" s="88"/>
      <c r="S512" s="85" t="s">
        <v>179</v>
      </c>
    </row>
    <row r="513">
      <c r="N513" s="88"/>
      <c r="O513" s="85" t="s">
        <v>179</v>
      </c>
      <c r="R513" s="88"/>
      <c r="S513" s="85" t="s">
        <v>179</v>
      </c>
    </row>
    <row r="514">
      <c r="N514" s="88"/>
      <c r="O514" s="85" t="s">
        <v>179</v>
      </c>
      <c r="R514" s="88"/>
      <c r="S514" s="85" t="s">
        <v>179</v>
      </c>
    </row>
    <row r="515">
      <c r="N515" s="88"/>
      <c r="O515" s="85" t="s">
        <v>179</v>
      </c>
      <c r="R515" s="88"/>
      <c r="S515" s="85" t="s">
        <v>179</v>
      </c>
    </row>
    <row r="516">
      <c r="N516" s="88"/>
      <c r="O516" s="85" t="s">
        <v>179</v>
      </c>
      <c r="R516" s="88"/>
      <c r="S516" s="85" t="s">
        <v>179</v>
      </c>
    </row>
    <row r="517">
      <c r="N517" s="88"/>
      <c r="O517" s="85" t="s">
        <v>179</v>
      </c>
      <c r="R517" s="88"/>
      <c r="S517" s="85" t="s">
        <v>179</v>
      </c>
    </row>
    <row r="518">
      <c r="N518" s="88"/>
      <c r="O518" s="85" t="s">
        <v>179</v>
      </c>
      <c r="R518" s="88"/>
      <c r="S518" s="85" t="s">
        <v>179</v>
      </c>
    </row>
    <row r="519">
      <c r="N519" s="88"/>
      <c r="O519" s="85" t="s">
        <v>179</v>
      </c>
      <c r="R519" s="88"/>
      <c r="S519" s="85" t="s">
        <v>179</v>
      </c>
    </row>
    <row r="520">
      <c r="N520" s="88"/>
      <c r="O520" s="85" t="s">
        <v>179</v>
      </c>
      <c r="R520" s="88"/>
      <c r="S520" s="85" t="s">
        <v>179</v>
      </c>
    </row>
    <row r="521">
      <c r="N521" s="88"/>
      <c r="O521" s="85" t="s">
        <v>179</v>
      </c>
      <c r="R521" s="88"/>
      <c r="S521" s="85" t="s">
        <v>179</v>
      </c>
    </row>
    <row r="522">
      <c r="N522" s="88"/>
      <c r="O522" s="85" t="s">
        <v>179</v>
      </c>
      <c r="R522" s="88"/>
      <c r="S522" s="85" t="s">
        <v>179</v>
      </c>
    </row>
    <row r="523">
      <c r="N523" s="88"/>
      <c r="O523" s="85" t="s">
        <v>179</v>
      </c>
      <c r="R523" s="88"/>
      <c r="S523" s="85" t="s">
        <v>179</v>
      </c>
    </row>
    <row r="524">
      <c r="N524" s="88"/>
      <c r="O524" s="85" t="s">
        <v>179</v>
      </c>
      <c r="R524" s="88"/>
      <c r="S524" s="85" t="s">
        <v>179</v>
      </c>
    </row>
    <row r="525">
      <c r="N525" s="88"/>
      <c r="O525" s="85" t="s">
        <v>179</v>
      </c>
      <c r="R525" s="88"/>
      <c r="S525" s="85" t="s">
        <v>179</v>
      </c>
    </row>
    <row r="526">
      <c r="N526" s="88"/>
      <c r="O526" s="85" t="s">
        <v>179</v>
      </c>
      <c r="R526" s="88"/>
      <c r="S526" s="85" t="s">
        <v>179</v>
      </c>
    </row>
    <row r="527">
      <c r="N527" s="88"/>
      <c r="O527" s="85" t="s">
        <v>179</v>
      </c>
      <c r="R527" s="88"/>
      <c r="S527" s="85" t="s">
        <v>179</v>
      </c>
    </row>
    <row r="528">
      <c r="N528" s="88"/>
      <c r="O528" s="85" t="s">
        <v>179</v>
      </c>
      <c r="R528" s="88"/>
      <c r="S528" s="85" t="s">
        <v>179</v>
      </c>
    </row>
    <row r="529">
      <c r="N529" s="88"/>
      <c r="O529" s="85" t="s">
        <v>179</v>
      </c>
      <c r="R529" s="88"/>
      <c r="S529" s="85" t="s">
        <v>179</v>
      </c>
    </row>
    <row r="530">
      <c r="N530" s="88"/>
      <c r="O530" s="85" t="s">
        <v>179</v>
      </c>
      <c r="R530" s="88"/>
      <c r="S530" s="85" t="s">
        <v>179</v>
      </c>
    </row>
    <row r="531">
      <c r="N531" s="88"/>
      <c r="O531" s="85" t="s">
        <v>179</v>
      </c>
      <c r="R531" s="88"/>
      <c r="S531" s="85" t="s">
        <v>179</v>
      </c>
    </row>
    <row r="532">
      <c r="N532" s="88"/>
      <c r="O532" s="85" t="s">
        <v>179</v>
      </c>
      <c r="R532" s="88"/>
      <c r="S532" s="85" t="s">
        <v>179</v>
      </c>
    </row>
    <row r="533">
      <c r="N533" s="88"/>
      <c r="O533" s="85" t="s">
        <v>179</v>
      </c>
      <c r="R533" s="88"/>
      <c r="S533" s="85" t="s">
        <v>179</v>
      </c>
    </row>
    <row r="534">
      <c r="N534" s="88"/>
      <c r="O534" s="85" t="s">
        <v>179</v>
      </c>
      <c r="R534" s="88"/>
      <c r="S534" s="85" t="s">
        <v>179</v>
      </c>
    </row>
    <row r="535">
      <c r="N535" s="88"/>
      <c r="O535" s="85" t="s">
        <v>179</v>
      </c>
      <c r="R535" s="88"/>
      <c r="S535" s="85" t="s">
        <v>179</v>
      </c>
    </row>
    <row r="536">
      <c r="N536" s="88"/>
      <c r="O536" s="85" t="s">
        <v>179</v>
      </c>
      <c r="R536" s="88"/>
      <c r="S536" s="85" t="s">
        <v>179</v>
      </c>
    </row>
    <row r="537">
      <c r="N537" s="88"/>
      <c r="O537" s="85" t="s">
        <v>179</v>
      </c>
      <c r="R537" s="88"/>
      <c r="S537" s="85" t="s">
        <v>179</v>
      </c>
    </row>
    <row r="538">
      <c r="N538" s="88"/>
      <c r="O538" s="85" t="s">
        <v>179</v>
      </c>
      <c r="R538" s="88"/>
      <c r="S538" s="85" t="s">
        <v>179</v>
      </c>
    </row>
    <row r="539">
      <c r="N539" s="88"/>
      <c r="O539" s="85" t="s">
        <v>179</v>
      </c>
      <c r="R539" s="88"/>
      <c r="S539" s="85" t="s">
        <v>179</v>
      </c>
    </row>
    <row r="540">
      <c r="N540" s="88"/>
      <c r="O540" s="85" t="s">
        <v>179</v>
      </c>
      <c r="R540" s="88"/>
      <c r="S540" s="85" t="s">
        <v>179</v>
      </c>
    </row>
    <row r="541">
      <c r="N541" s="88"/>
      <c r="O541" s="85" t="s">
        <v>179</v>
      </c>
      <c r="R541" s="88"/>
      <c r="S541" s="85" t="s">
        <v>179</v>
      </c>
    </row>
    <row r="542">
      <c r="N542" s="88"/>
      <c r="O542" s="85" t="s">
        <v>179</v>
      </c>
      <c r="R542" s="88"/>
      <c r="S542" s="85" t="s">
        <v>179</v>
      </c>
    </row>
    <row r="543">
      <c r="N543" s="88"/>
      <c r="O543" s="85" t="s">
        <v>179</v>
      </c>
      <c r="R543" s="88"/>
      <c r="S543" s="85" t="s">
        <v>179</v>
      </c>
    </row>
    <row r="544">
      <c r="N544" s="88"/>
      <c r="O544" s="85" t="s">
        <v>179</v>
      </c>
      <c r="R544" s="88"/>
      <c r="S544" s="85" t="s">
        <v>179</v>
      </c>
    </row>
    <row r="545">
      <c r="N545" s="88"/>
      <c r="O545" s="85" t="s">
        <v>179</v>
      </c>
      <c r="R545" s="88"/>
      <c r="S545" s="85" t="s">
        <v>179</v>
      </c>
    </row>
    <row r="546">
      <c r="N546" s="88"/>
      <c r="O546" s="85" t="s">
        <v>179</v>
      </c>
      <c r="R546" s="88"/>
      <c r="S546" s="85" t="s">
        <v>179</v>
      </c>
    </row>
    <row r="547">
      <c r="N547" s="88"/>
      <c r="O547" s="85" t="s">
        <v>179</v>
      </c>
      <c r="R547" s="88"/>
      <c r="S547" s="85" t="s">
        <v>179</v>
      </c>
    </row>
    <row r="548">
      <c r="N548" s="88"/>
      <c r="O548" s="85" t="s">
        <v>179</v>
      </c>
      <c r="R548" s="88"/>
      <c r="S548" s="85" t="s">
        <v>179</v>
      </c>
    </row>
    <row r="549">
      <c r="N549" s="88"/>
      <c r="O549" s="85" t="s">
        <v>179</v>
      </c>
      <c r="R549" s="88"/>
      <c r="S549" s="85" t="s">
        <v>179</v>
      </c>
    </row>
    <row r="550">
      <c r="N550" s="88"/>
      <c r="O550" s="85" t="s">
        <v>179</v>
      </c>
      <c r="R550" s="88"/>
      <c r="S550" s="85" t="s">
        <v>179</v>
      </c>
    </row>
    <row r="551">
      <c r="N551" s="88"/>
      <c r="O551" s="85" t="s">
        <v>179</v>
      </c>
      <c r="R551" s="88"/>
      <c r="S551" s="85" t="s">
        <v>179</v>
      </c>
    </row>
    <row r="552">
      <c r="N552" s="88"/>
      <c r="O552" s="85" t="s">
        <v>179</v>
      </c>
      <c r="R552" s="88"/>
      <c r="S552" s="85" t="s">
        <v>179</v>
      </c>
    </row>
    <row r="553">
      <c r="N553" s="88"/>
      <c r="O553" s="85" t="s">
        <v>179</v>
      </c>
      <c r="R553" s="88"/>
      <c r="S553" s="85" t="s">
        <v>179</v>
      </c>
    </row>
    <row r="554">
      <c r="N554" s="88"/>
      <c r="O554" s="85" t="s">
        <v>179</v>
      </c>
      <c r="R554" s="88"/>
      <c r="S554" s="85" t="s">
        <v>179</v>
      </c>
    </row>
    <row r="555">
      <c r="N555" s="88"/>
      <c r="O555" s="85" t="s">
        <v>179</v>
      </c>
      <c r="R555" s="88"/>
      <c r="S555" s="85" t="s">
        <v>179</v>
      </c>
    </row>
    <row r="556">
      <c r="N556" s="88"/>
      <c r="O556" s="85" t="s">
        <v>179</v>
      </c>
      <c r="R556" s="88"/>
      <c r="S556" s="85" t="s">
        <v>179</v>
      </c>
    </row>
    <row r="557">
      <c r="N557" s="88"/>
      <c r="O557" s="85" t="s">
        <v>179</v>
      </c>
      <c r="R557" s="88"/>
      <c r="S557" s="85" t="s">
        <v>179</v>
      </c>
    </row>
    <row r="558">
      <c r="N558" s="88"/>
      <c r="O558" s="85" t="s">
        <v>179</v>
      </c>
      <c r="R558" s="88"/>
      <c r="S558" s="85" t="s">
        <v>179</v>
      </c>
    </row>
    <row r="559">
      <c r="N559" s="88"/>
      <c r="O559" s="85" t="s">
        <v>179</v>
      </c>
      <c r="R559" s="88"/>
      <c r="S559" s="85" t="s">
        <v>179</v>
      </c>
    </row>
    <row r="560">
      <c r="N560" s="88"/>
      <c r="O560" s="85" t="s">
        <v>179</v>
      </c>
      <c r="R560" s="88"/>
      <c r="S560" s="85" t="s">
        <v>179</v>
      </c>
    </row>
    <row r="561">
      <c r="N561" s="88"/>
      <c r="O561" s="85" t="s">
        <v>179</v>
      </c>
      <c r="R561" s="88"/>
      <c r="S561" s="85" t="s">
        <v>179</v>
      </c>
    </row>
    <row r="562">
      <c r="N562" s="88"/>
      <c r="O562" s="85" t="s">
        <v>179</v>
      </c>
      <c r="R562" s="88"/>
      <c r="S562" s="85" t="s">
        <v>179</v>
      </c>
    </row>
    <row r="563">
      <c r="N563" s="88"/>
      <c r="O563" s="85" t="s">
        <v>179</v>
      </c>
      <c r="R563" s="88"/>
      <c r="S563" s="85" t="s">
        <v>179</v>
      </c>
    </row>
    <row r="564">
      <c r="N564" s="88"/>
      <c r="O564" s="85" t="s">
        <v>179</v>
      </c>
      <c r="R564" s="88"/>
      <c r="S564" s="85" t="s">
        <v>179</v>
      </c>
    </row>
    <row r="565">
      <c r="N565" s="88"/>
      <c r="O565" s="85" t="s">
        <v>179</v>
      </c>
      <c r="R565" s="88"/>
      <c r="S565" s="85" t="s">
        <v>179</v>
      </c>
    </row>
    <row r="566">
      <c r="N566" s="88"/>
      <c r="O566" s="85" t="s">
        <v>179</v>
      </c>
      <c r="R566" s="88"/>
      <c r="S566" s="85" t="s">
        <v>179</v>
      </c>
    </row>
    <row r="567">
      <c r="N567" s="88"/>
      <c r="O567" s="85" t="s">
        <v>179</v>
      </c>
      <c r="R567" s="88"/>
      <c r="S567" s="85" t="s">
        <v>179</v>
      </c>
    </row>
    <row r="568">
      <c r="N568" s="88"/>
      <c r="O568" s="85" t="s">
        <v>179</v>
      </c>
      <c r="R568" s="88"/>
      <c r="S568" s="85" t="s">
        <v>179</v>
      </c>
    </row>
    <row r="569">
      <c r="N569" s="88"/>
      <c r="O569" s="85" t="s">
        <v>179</v>
      </c>
      <c r="R569" s="88"/>
      <c r="S569" s="85" t="s">
        <v>179</v>
      </c>
    </row>
    <row r="570">
      <c r="N570" s="88"/>
      <c r="O570" s="85" t="s">
        <v>179</v>
      </c>
      <c r="R570" s="88"/>
      <c r="S570" s="85" t="s">
        <v>179</v>
      </c>
    </row>
    <row r="571">
      <c r="N571" s="88"/>
      <c r="O571" s="85" t="s">
        <v>179</v>
      </c>
      <c r="R571" s="88"/>
      <c r="S571" s="85" t="s">
        <v>179</v>
      </c>
    </row>
    <row r="572">
      <c r="N572" s="88"/>
      <c r="O572" s="85" t="s">
        <v>179</v>
      </c>
      <c r="R572" s="88"/>
      <c r="S572" s="85" t="s">
        <v>179</v>
      </c>
    </row>
    <row r="573">
      <c r="N573" s="88"/>
      <c r="O573" s="85" t="s">
        <v>179</v>
      </c>
      <c r="R573" s="88"/>
      <c r="S573" s="85" t="s">
        <v>179</v>
      </c>
    </row>
    <row r="574">
      <c r="N574" s="88"/>
      <c r="O574" s="85" t="s">
        <v>179</v>
      </c>
      <c r="R574" s="88"/>
      <c r="S574" s="85" t="s">
        <v>179</v>
      </c>
    </row>
    <row r="575">
      <c r="N575" s="88"/>
      <c r="O575" s="85" t="s">
        <v>179</v>
      </c>
      <c r="R575" s="88"/>
      <c r="S575" s="85" t="s">
        <v>179</v>
      </c>
    </row>
    <row r="576">
      <c r="N576" s="88"/>
      <c r="O576" s="85" t="s">
        <v>179</v>
      </c>
      <c r="R576" s="88"/>
      <c r="S576" s="85" t="s">
        <v>179</v>
      </c>
    </row>
    <row r="577">
      <c r="N577" s="88"/>
      <c r="O577" s="85" t="s">
        <v>179</v>
      </c>
      <c r="R577" s="88"/>
      <c r="S577" s="85" t="s">
        <v>179</v>
      </c>
    </row>
    <row r="578">
      <c r="N578" s="88"/>
      <c r="O578" s="85" t="s">
        <v>179</v>
      </c>
      <c r="R578" s="88"/>
      <c r="S578" s="85" t="s">
        <v>179</v>
      </c>
    </row>
    <row r="579">
      <c r="N579" s="88"/>
      <c r="O579" s="85" t="s">
        <v>179</v>
      </c>
      <c r="R579" s="88"/>
      <c r="S579" s="85" t="s">
        <v>179</v>
      </c>
    </row>
    <row r="580">
      <c r="N580" s="88"/>
      <c r="O580" s="85" t="s">
        <v>179</v>
      </c>
      <c r="R580" s="88"/>
      <c r="S580" s="85" t="s">
        <v>179</v>
      </c>
    </row>
    <row r="581">
      <c r="N581" s="88"/>
      <c r="O581" s="85" t="s">
        <v>179</v>
      </c>
      <c r="R581" s="88"/>
      <c r="S581" s="85" t="s">
        <v>179</v>
      </c>
    </row>
    <row r="582">
      <c r="N582" s="88"/>
      <c r="O582" s="85" t="s">
        <v>179</v>
      </c>
      <c r="R582" s="88"/>
      <c r="S582" s="85" t="s">
        <v>179</v>
      </c>
    </row>
    <row r="583">
      <c r="N583" s="88"/>
      <c r="O583" s="85" t="s">
        <v>179</v>
      </c>
      <c r="R583" s="88"/>
      <c r="S583" s="85" t="s">
        <v>179</v>
      </c>
    </row>
    <row r="584">
      <c r="N584" s="88"/>
      <c r="O584" s="85" t="s">
        <v>179</v>
      </c>
      <c r="R584" s="88"/>
      <c r="S584" s="85" t="s">
        <v>179</v>
      </c>
    </row>
    <row r="585">
      <c r="N585" s="88"/>
      <c r="O585" s="85" t="s">
        <v>179</v>
      </c>
      <c r="R585" s="88"/>
      <c r="S585" s="85" t="s">
        <v>179</v>
      </c>
    </row>
    <row r="586">
      <c r="N586" s="88"/>
      <c r="O586" s="85" t="s">
        <v>179</v>
      </c>
      <c r="R586" s="88"/>
      <c r="S586" s="85" t="s">
        <v>179</v>
      </c>
    </row>
    <row r="587">
      <c r="N587" s="88"/>
      <c r="O587" s="85" t="s">
        <v>179</v>
      </c>
      <c r="R587" s="88"/>
      <c r="S587" s="85" t="s">
        <v>179</v>
      </c>
    </row>
    <row r="588">
      <c r="N588" s="88"/>
      <c r="O588" s="85" t="s">
        <v>179</v>
      </c>
      <c r="R588" s="88"/>
      <c r="S588" s="85" t="s">
        <v>179</v>
      </c>
    </row>
    <row r="589">
      <c r="N589" s="88"/>
      <c r="O589" s="85" t="s">
        <v>179</v>
      </c>
      <c r="R589" s="88"/>
      <c r="S589" s="85" t="s">
        <v>179</v>
      </c>
    </row>
    <row r="590">
      <c r="N590" s="88"/>
      <c r="O590" s="85" t="s">
        <v>179</v>
      </c>
      <c r="R590" s="88"/>
      <c r="S590" s="85" t="s">
        <v>179</v>
      </c>
    </row>
    <row r="591">
      <c r="N591" s="88"/>
      <c r="O591" s="85" t="s">
        <v>179</v>
      </c>
      <c r="R591" s="88"/>
      <c r="S591" s="85" t="s">
        <v>179</v>
      </c>
    </row>
    <row r="592">
      <c r="N592" s="88"/>
      <c r="O592" s="85" t="s">
        <v>179</v>
      </c>
      <c r="R592" s="88"/>
      <c r="S592" s="85" t="s">
        <v>179</v>
      </c>
    </row>
    <row r="593">
      <c r="N593" s="88"/>
      <c r="O593" s="85" t="s">
        <v>179</v>
      </c>
      <c r="R593" s="88"/>
      <c r="S593" s="85" t="s">
        <v>179</v>
      </c>
    </row>
    <row r="594">
      <c r="N594" s="88"/>
      <c r="O594" s="85" t="s">
        <v>179</v>
      </c>
      <c r="R594" s="88"/>
      <c r="S594" s="85" t="s">
        <v>179</v>
      </c>
    </row>
    <row r="595">
      <c r="N595" s="88"/>
      <c r="O595" s="85" t="s">
        <v>179</v>
      </c>
      <c r="R595" s="88"/>
      <c r="S595" s="85" t="s">
        <v>179</v>
      </c>
    </row>
    <row r="596">
      <c r="N596" s="88"/>
      <c r="O596" s="85" t="s">
        <v>179</v>
      </c>
      <c r="R596" s="88"/>
      <c r="S596" s="85" t="s">
        <v>179</v>
      </c>
    </row>
    <row r="597">
      <c r="N597" s="88"/>
      <c r="O597" s="85" t="s">
        <v>179</v>
      </c>
      <c r="R597" s="88"/>
      <c r="S597" s="85" t="s">
        <v>179</v>
      </c>
    </row>
    <row r="598">
      <c r="N598" s="88"/>
      <c r="O598" s="85" t="s">
        <v>179</v>
      </c>
      <c r="R598" s="88"/>
      <c r="S598" s="85" t="s">
        <v>179</v>
      </c>
    </row>
    <row r="599">
      <c r="N599" s="88"/>
      <c r="O599" s="85" t="s">
        <v>179</v>
      </c>
      <c r="R599" s="88"/>
      <c r="S599" s="85" t="s">
        <v>179</v>
      </c>
    </row>
    <row r="600">
      <c r="N600" s="88"/>
      <c r="O600" s="85" t="s">
        <v>179</v>
      </c>
      <c r="R600" s="88"/>
      <c r="S600" s="85" t="s">
        <v>179</v>
      </c>
    </row>
    <row r="601">
      <c r="N601" s="88"/>
      <c r="O601" s="85" t="s">
        <v>179</v>
      </c>
      <c r="R601" s="88"/>
      <c r="S601" s="85" t="s">
        <v>179</v>
      </c>
    </row>
    <row r="602">
      <c r="N602" s="88"/>
      <c r="O602" s="85" t="s">
        <v>179</v>
      </c>
      <c r="R602" s="88"/>
      <c r="S602" s="85" t="s">
        <v>179</v>
      </c>
    </row>
    <row r="603">
      <c r="N603" s="88"/>
      <c r="O603" s="85" t="s">
        <v>179</v>
      </c>
      <c r="R603" s="88"/>
      <c r="S603" s="85" t="s">
        <v>179</v>
      </c>
    </row>
    <row r="604">
      <c r="N604" s="88"/>
      <c r="O604" s="85" t="s">
        <v>179</v>
      </c>
      <c r="R604" s="88"/>
      <c r="S604" s="85" t="s">
        <v>179</v>
      </c>
    </row>
    <row r="605">
      <c r="N605" s="88"/>
      <c r="O605" s="85" t="s">
        <v>179</v>
      </c>
      <c r="R605" s="88"/>
      <c r="S605" s="85" t="s">
        <v>179</v>
      </c>
    </row>
    <row r="606">
      <c r="N606" s="88"/>
      <c r="O606" s="85" t="s">
        <v>179</v>
      </c>
      <c r="R606" s="88"/>
      <c r="S606" s="85" t="s">
        <v>179</v>
      </c>
    </row>
    <row r="607">
      <c r="N607" s="88"/>
      <c r="O607" s="85" t="s">
        <v>179</v>
      </c>
      <c r="R607" s="88"/>
      <c r="S607" s="85" t="s">
        <v>179</v>
      </c>
    </row>
    <row r="608">
      <c r="N608" s="88"/>
      <c r="O608" s="85" t="s">
        <v>179</v>
      </c>
      <c r="R608" s="88"/>
      <c r="S608" s="85" t="s">
        <v>179</v>
      </c>
    </row>
    <row r="609">
      <c r="N609" s="88"/>
      <c r="O609" s="85" t="s">
        <v>179</v>
      </c>
      <c r="R609" s="88"/>
      <c r="S609" s="85" t="s">
        <v>179</v>
      </c>
    </row>
    <row r="610">
      <c r="N610" s="88"/>
      <c r="O610" s="85" t="s">
        <v>179</v>
      </c>
      <c r="R610" s="88"/>
      <c r="S610" s="85" t="s">
        <v>179</v>
      </c>
    </row>
    <row r="611">
      <c r="N611" s="88"/>
      <c r="O611" s="85" t="s">
        <v>179</v>
      </c>
      <c r="R611" s="88"/>
      <c r="S611" s="85" t="s">
        <v>179</v>
      </c>
    </row>
    <row r="612">
      <c r="N612" s="88"/>
      <c r="O612" s="85" t="s">
        <v>179</v>
      </c>
      <c r="R612" s="88"/>
      <c r="S612" s="85" t="s">
        <v>179</v>
      </c>
    </row>
    <row r="613">
      <c r="N613" s="88"/>
      <c r="O613" s="85" t="s">
        <v>179</v>
      </c>
      <c r="R613" s="88"/>
      <c r="S613" s="85" t="s">
        <v>179</v>
      </c>
    </row>
    <row r="614">
      <c r="N614" s="88"/>
      <c r="O614" s="85" t="s">
        <v>179</v>
      </c>
      <c r="R614" s="88"/>
      <c r="S614" s="85" t="s">
        <v>179</v>
      </c>
    </row>
    <row r="615">
      <c r="N615" s="88"/>
      <c r="O615" s="85" t="s">
        <v>179</v>
      </c>
      <c r="R615" s="88"/>
      <c r="S615" s="85" t="s">
        <v>179</v>
      </c>
    </row>
    <row r="616">
      <c r="N616" s="88"/>
      <c r="O616" s="85" t="s">
        <v>179</v>
      </c>
      <c r="R616" s="88"/>
      <c r="S616" s="85" t="s">
        <v>179</v>
      </c>
    </row>
    <row r="617">
      <c r="N617" s="88"/>
      <c r="O617" s="85" t="s">
        <v>179</v>
      </c>
      <c r="R617" s="88"/>
      <c r="S617" s="85" t="s">
        <v>179</v>
      </c>
    </row>
    <row r="618">
      <c r="N618" s="88"/>
      <c r="O618" s="85" t="s">
        <v>179</v>
      </c>
      <c r="R618" s="88"/>
      <c r="S618" s="85" t="s">
        <v>179</v>
      </c>
    </row>
    <row r="619">
      <c r="N619" s="88"/>
      <c r="O619" s="85" t="s">
        <v>179</v>
      </c>
      <c r="R619" s="88"/>
      <c r="S619" s="85" t="s">
        <v>179</v>
      </c>
    </row>
    <row r="620">
      <c r="N620" s="88"/>
      <c r="O620" s="85" t="s">
        <v>179</v>
      </c>
      <c r="R620" s="88"/>
      <c r="S620" s="85" t="s">
        <v>179</v>
      </c>
    </row>
    <row r="621">
      <c r="N621" s="88"/>
      <c r="O621" s="85" t="s">
        <v>179</v>
      </c>
      <c r="R621" s="88"/>
      <c r="S621" s="85" t="s">
        <v>179</v>
      </c>
    </row>
    <row r="622">
      <c r="N622" s="88"/>
      <c r="O622" s="85" t="s">
        <v>179</v>
      </c>
      <c r="R622" s="88"/>
      <c r="S622" s="85" t="s">
        <v>179</v>
      </c>
    </row>
    <row r="623">
      <c r="N623" s="88"/>
      <c r="O623" s="85" t="s">
        <v>179</v>
      </c>
      <c r="R623" s="88"/>
      <c r="S623" s="85" t="s">
        <v>179</v>
      </c>
    </row>
    <row r="624">
      <c r="N624" s="88"/>
      <c r="O624" s="85" t="s">
        <v>179</v>
      </c>
      <c r="R624" s="88"/>
      <c r="S624" s="85" t="s">
        <v>179</v>
      </c>
    </row>
    <row r="625">
      <c r="N625" s="88"/>
      <c r="O625" s="85" t="s">
        <v>179</v>
      </c>
      <c r="R625" s="88"/>
      <c r="S625" s="85" t="s">
        <v>179</v>
      </c>
    </row>
    <row r="626">
      <c r="N626" s="88"/>
      <c r="O626" s="85" t="s">
        <v>179</v>
      </c>
      <c r="R626" s="88"/>
      <c r="S626" s="85" t="s">
        <v>179</v>
      </c>
    </row>
    <row r="627">
      <c r="N627" s="88"/>
      <c r="O627" s="85" t="s">
        <v>179</v>
      </c>
      <c r="R627" s="88"/>
      <c r="S627" s="85" t="s">
        <v>179</v>
      </c>
    </row>
    <row r="628">
      <c r="N628" s="88"/>
      <c r="O628" s="85" t="s">
        <v>179</v>
      </c>
      <c r="R628" s="88"/>
      <c r="S628" s="85" t="s">
        <v>179</v>
      </c>
    </row>
    <row r="629">
      <c r="N629" s="88"/>
      <c r="O629" s="85" t="s">
        <v>179</v>
      </c>
      <c r="R629" s="88"/>
      <c r="S629" s="85" t="s">
        <v>179</v>
      </c>
    </row>
    <row r="630">
      <c r="N630" s="88"/>
      <c r="O630" s="85" t="s">
        <v>179</v>
      </c>
      <c r="R630" s="88"/>
      <c r="S630" s="85" t="s">
        <v>179</v>
      </c>
    </row>
    <row r="631">
      <c r="N631" s="88"/>
      <c r="O631" s="85" t="s">
        <v>179</v>
      </c>
      <c r="R631" s="88"/>
      <c r="S631" s="85" t="s">
        <v>179</v>
      </c>
    </row>
    <row r="632">
      <c r="N632" s="88"/>
      <c r="O632" s="85" t="s">
        <v>179</v>
      </c>
      <c r="R632" s="88"/>
      <c r="S632" s="85" t="s">
        <v>179</v>
      </c>
    </row>
    <row r="633">
      <c r="N633" s="88"/>
      <c r="O633" s="85" t="s">
        <v>179</v>
      </c>
      <c r="R633" s="88"/>
      <c r="S633" s="85" t="s">
        <v>179</v>
      </c>
    </row>
    <row r="634">
      <c r="N634" s="88"/>
      <c r="O634" s="85" t="s">
        <v>179</v>
      </c>
      <c r="R634" s="88"/>
      <c r="S634" s="85" t="s">
        <v>179</v>
      </c>
    </row>
    <row r="635">
      <c r="N635" s="88"/>
      <c r="O635" s="85" t="s">
        <v>179</v>
      </c>
      <c r="R635" s="88"/>
      <c r="S635" s="85" t="s">
        <v>179</v>
      </c>
    </row>
    <row r="636">
      <c r="N636" s="88"/>
      <c r="O636" s="85" t="s">
        <v>179</v>
      </c>
      <c r="R636" s="88"/>
      <c r="S636" s="85" t="s">
        <v>179</v>
      </c>
    </row>
    <row r="637">
      <c r="N637" s="88"/>
      <c r="O637" s="85" t="s">
        <v>179</v>
      </c>
      <c r="R637" s="88"/>
      <c r="S637" s="85" t="s">
        <v>179</v>
      </c>
    </row>
    <row r="638">
      <c r="N638" s="88"/>
      <c r="O638" s="85" t="s">
        <v>179</v>
      </c>
      <c r="R638" s="88"/>
      <c r="S638" s="85" t="s">
        <v>179</v>
      </c>
    </row>
    <row r="639">
      <c r="N639" s="88"/>
      <c r="O639" s="85" t="s">
        <v>179</v>
      </c>
      <c r="R639" s="88"/>
      <c r="S639" s="85" t="s">
        <v>179</v>
      </c>
    </row>
    <row r="640">
      <c r="N640" s="88"/>
      <c r="O640" s="85" t="s">
        <v>179</v>
      </c>
      <c r="R640" s="88"/>
      <c r="S640" s="85" t="s">
        <v>179</v>
      </c>
    </row>
    <row r="641">
      <c r="N641" s="88"/>
      <c r="O641" s="85" t="s">
        <v>179</v>
      </c>
      <c r="R641" s="88"/>
      <c r="S641" s="85" t="s">
        <v>179</v>
      </c>
    </row>
    <row r="642">
      <c r="N642" s="88"/>
      <c r="O642" s="85" t="s">
        <v>179</v>
      </c>
      <c r="R642" s="88"/>
      <c r="S642" s="85" t="s">
        <v>179</v>
      </c>
    </row>
    <row r="643">
      <c r="N643" s="88"/>
      <c r="O643" s="85" t="s">
        <v>179</v>
      </c>
      <c r="R643" s="88"/>
      <c r="S643" s="85" t="s">
        <v>179</v>
      </c>
    </row>
    <row r="644">
      <c r="N644" s="88"/>
      <c r="O644" s="85" t="s">
        <v>179</v>
      </c>
      <c r="R644" s="88"/>
      <c r="S644" s="85" t="s">
        <v>179</v>
      </c>
    </row>
    <row r="645">
      <c r="N645" s="88"/>
      <c r="O645" s="85" t="s">
        <v>179</v>
      </c>
      <c r="R645" s="88"/>
      <c r="S645" s="85" t="s">
        <v>179</v>
      </c>
    </row>
    <row r="646">
      <c r="N646" s="88"/>
      <c r="O646" s="85" t="s">
        <v>179</v>
      </c>
      <c r="R646" s="88"/>
      <c r="S646" s="85" t="s">
        <v>179</v>
      </c>
    </row>
    <row r="647">
      <c r="N647" s="88"/>
      <c r="O647" s="85" t="s">
        <v>179</v>
      </c>
      <c r="R647" s="88"/>
      <c r="S647" s="85" t="s">
        <v>179</v>
      </c>
    </row>
    <row r="648">
      <c r="N648" s="88"/>
      <c r="O648" s="85" t="s">
        <v>179</v>
      </c>
      <c r="R648" s="88"/>
      <c r="S648" s="85" t="s">
        <v>179</v>
      </c>
    </row>
    <row r="649">
      <c r="N649" s="88"/>
      <c r="O649" s="85" t="s">
        <v>179</v>
      </c>
      <c r="R649" s="88"/>
      <c r="S649" s="85" t="s">
        <v>179</v>
      </c>
    </row>
    <row r="650">
      <c r="N650" s="88"/>
      <c r="O650" s="85" t="s">
        <v>179</v>
      </c>
      <c r="R650" s="88"/>
      <c r="S650" s="85" t="s">
        <v>179</v>
      </c>
    </row>
    <row r="651">
      <c r="N651" s="88"/>
      <c r="O651" s="85" t="s">
        <v>179</v>
      </c>
      <c r="R651" s="88"/>
      <c r="S651" s="85" t="s">
        <v>179</v>
      </c>
    </row>
    <row r="652">
      <c r="N652" s="88"/>
      <c r="O652" s="85" t="s">
        <v>179</v>
      </c>
      <c r="R652" s="88"/>
      <c r="S652" s="85" t="s">
        <v>179</v>
      </c>
    </row>
    <row r="653">
      <c r="N653" s="88"/>
      <c r="O653" s="85" t="s">
        <v>179</v>
      </c>
      <c r="R653" s="88"/>
      <c r="S653" s="85" t="s">
        <v>179</v>
      </c>
    </row>
    <row r="654">
      <c r="N654" s="88"/>
      <c r="O654" s="85" t="s">
        <v>179</v>
      </c>
      <c r="R654" s="88"/>
      <c r="S654" s="85" t="s">
        <v>179</v>
      </c>
    </row>
    <row r="655">
      <c r="N655" s="88"/>
      <c r="O655" s="85" t="s">
        <v>179</v>
      </c>
      <c r="R655" s="88"/>
      <c r="S655" s="85" t="s">
        <v>179</v>
      </c>
    </row>
    <row r="656">
      <c r="N656" s="88"/>
      <c r="O656" s="85" t="s">
        <v>179</v>
      </c>
      <c r="R656" s="88"/>
      <c r="S656" s="85" t="s">
        <v>179</v>
      </c>
    </row>
    <row r="657">
      <c r="N657" s="88"/>
      <c r="O657" s="85" t="s">
        <v>179</v>
      </c>
      <c r="R657" s="88"/>
      <c r="S657" s="85" t="s">
        <v>179</v>
      </c>
    </row>
    <row r="658">
      <c r="N658" s="88"/>
      <c r="O658" s="85" t="s">
        <v>179</v>
      </c>
      <c r="R658" s="88"/>
      <c r="S658" s="85" t="s">
        <v>179</v>
      </c>
    </row>
    <row r="659">
      <c r="N659" s="88"/>
      <c r="O659" s="85" t="s">
        <v>179</v>
      </c>
      <c r="R659" s="88"/>
      <c r="S659" s="85" t="s">
        <v>179</v>
      </c>
    </row>
    <row r="660">
      <c r="N660" s="88"/>
      <c r="O660" s="85" t="s">
        <v>179</v>
      </c>
      <c r="R660" s="88"/>
      <c r="S660" s="85" t="s">
        <v>179</v>
      </c>
    </row>
    <row r="661">
      <c r="N661" s="88"/>
      <c r="O661" s="85" t="s">
        <v>179</v>
      </c>
      <c r="R661" s="88"/>
      <c r="S661" s="85" t="s">
        <v>179</v>
      </c>
    </row>
    <row r="662">
      <c r="N662" s="88"/>
      <c r="O662" s="85" t="s">
        <v>179</v>
      </c>
      <c r="R662" s="88"/>
      <c r="S662" s="85" t="s">
        <v>179</v>
      </c>
    </row>
    <row r="663">
      <c r="N663" s="88"/>
      <c r="O663" s="85" t="s">
        <v>179</v>
      </c>
      <c r="R663" s="88"/>
      <c r="S663" s="85" t="s">
        <v>179</v>
      </c>
    </row>
    <row r="664">
      <c r="N664" s="88"/>
      <c r="O664" s="85" t="s">
        <v>179</v>
      </c>
      <c r="R664" s="88"/>
      <c r="S664" s="85" t="s">
        <v>179</v>
      </c>
    </row>
    <row r="665">
      <c r="N665" s="88"/>
      <c r="O665" s="85" t="s">
        <v>179</v>
      </c>
      <c r="R665" s="88"/>
      <c r="S665" s="85" t="s">
        <v>179</v>
      </c>
    </row>
    <row r="666">
      <c r="N666" s="88"/>
      <c r="O666" s="85" t="s">
        <v>179</v>
      </c>
      <c r="R666" s="88"/>
      <c r="S666" s="85" t="s">
        <v>179</v>
      </c>
    </row>
    <row r="667">
      <c r="N667" s="88"/>
      <c r="O667" s="85" t="s">
        <v>179</v>
      </c>
      <c r="R667" s="88"/>
      <c r="S667" s="85" t="s">
        <v>179</v>
      </c>
    </row>
    <row r="668">
      <c r="N668" s="88"/>
      <c r="O668" s="85" t="s">
        <v>179</v>
      </c>
      <c r="R668" s="88"/>
      <c r="S668" s="85" t="s">
        <v>179</v>
      </c>
    </row>
    <row r="669">
      <c r="N669" s="88"/>
      <c r="O669" s="85" t="s">
        <v>179</v>
      </c>
      <c r="R669" s="88"/>
      <c r="S669" s="85" t="s">
        <v>179</v>
      </c>
    </row>
    <row r="670">
      <c r="N670" s="88"/>
      <c r="O670" s="85" t="s">
        <v>179</v>
      </c>
      <c r="R670" s="88"/>
      <c r="S670" s="85" t="s">
        <v>179</v>
      </c>
    </row>
    <row r="671">
      <c r="N671" s="88"/>
      <c r="O671" s="85" t="s">
        <v>179</v>
      </c>
      <c r="R671" s="88"/>
      <c r="S671" s="85" t="s">
        <v>179</v>
      </c>
    </row>
    <row r="672">
      <c r="N672" s="88"/>
      <c r="O672" s="85" t="s">
        <v>179</v>
      </c>
      <c r="R672" s="88"/>
      <c r="S672" s="85" t="s">
        <v>179</v>
      </c>
    </row>
    <row r="673">
      <c r="N673" s="88"/>
      <c r="O673" s="85" t="s">
        <v>179</v>
      </c>
      <c r="R673" s="88"/>
      <c r="S673" s="85" t="s">
        <v>179</v>
      </c>
    </row>
    <row r="674">
      <c r="N674" s="88"/>
      <c r="O674" s="85" t="s">
        <v>179</v>
      </c>
      <c r="R674" s="88"/>
      <c r="S674" s="85" t="s">
        <v>179</v>
      </c>
    </row>
    <row r="675">
      <c r="N675" s="88"/>
      <c r="O675" s="85" t="s">
        <v>179</v>
      </c>
      <c r="R675" s="88"/>
      <c r="S675" s="85" t="s">
        <v>179</v>
      </c>
    </row>
    <row r="676">
      <c r="N676" s="88"/>
      <c r="O676" s="85" t="s">
        <v>179</v>
      </c>
      <c r="R676" s="88"/>
      <c r="S676" s="85" t="s">
        <v>179</v>
      </c>
    </row>
    <row r="677">
      <c r="N677" s="88"/>
      <c r="O677" s="85" t="s">
        <v>179</v>
      </c>
      <c r="R677" s="88"/>
      <c r="S677" s="85" t="s">
        <v>179</v>
      </c>
    </row>
    <row r="678">
      <c r="N678" s="88"/>
      <c r="O678" s="85" t="s">
        <v>179</v>
      </c>
      <c r="R678" s="88"/>
      <c r="S678" s="85" t="s">
        <v>179</v>
      </c>
    </row>
    <row r="679">
      <c r="N679" s="88"/>
      <c r="O679" s="85" t="s">
        <v>179</v>
      </c>
      <c r="R679" s="88"/>
      <c r="S679" s="85" t="s">
        <v>179</v>
      </c>
    </row>
    <row r="680">
      <c r="N680" s="88"/>
      <c r="O680" s="85" t="s">
        <v>179</v>
      </c>
      <c r="R680" s="88"/>
      <c r="S680" s="85" t="s">
        <v>179</v>
      </c>
    </row>
    <row r="681">
      <c r="N681" s="88"/>
      <c r="O681" s="85" t="s">
        <v>179</v>
      </c>
      <c r="R681" s="88"/>
      <c r="S681" s="85" t="s">
        <v>179</v>
      </c>
    </row>
    <row r="682">
      <c r="N682" s="88"/>
      <c r="O682" s="85" t="s">
        <v>179</v>
      </c>
      <c r="R682" s="88"/>
      <c r="S682" s="85" t="s">
        <v>179</v>
      </c>
    </row>
    <row r="683">
      <c r="N683" s="88"/>
      <c r="O683" s="85" t="s">
        <v>179</v>
      </c>
      <c r="R683" s="88"/>
      <c r="S683" s="85" t="s">
        <v>179</v>
      </c>
    </row>
    <row r="684">
      <c r="N684" s="88"/>
      <c r="O684" s="85" t="s">
        <v>179</v>
      </c>
      <c r="R684" s="88"/>
      <c r="S684" s="85" t="s">
        <v>179</v>
      </c>
    </row>
    <row r="685">
      <c r="N685" s="88"/>
      <c r="O685" s="85" t="s">
        <v>179</v>
      </c>
      <c r="R685" s="88"/>
      <c r="S685" s="85" t="s">
        <v>179</v>
      </c>
    </row>
    <row r="686">
      <c r="N686" s="88"/>
      <c r="O686" s="85" t="s">
        <v>179</v>
      </c>
      <c r="R686" s="88"/>
      <c r="S686" s="85" t="s">
        <v>179</v>
      </c>
    </row>
    <row r="687">
      <c r="N687" s="88"/>
      <c r="O687" s="85" t="s">
        <v>179</v>
      </c>
      <c r="R687" s="88"/>
      <c r="S687" s="85" t="s">
        <v>179</v>
      </c>
    </row>
    <row r="688">
      <c r="N688" s="88"/>
      <c r="O688" s="85" t="s">
        <v>179</v>
      </c>
      <c r="R688" s="88"/>
      <c r="S688" s="85" t="s">
        <v>179</v>
      </c>
    </row>
    <row r="689">
      <c r="N689" s="88"/>
      <c r="O689" s="85" t="s">
        <v>179</v>
      </c>
      <c r="R689" s="88"/>
      <c r="S689" s="85" t="s">
        <v>179</v>
      </c>
    </row>
    <row r="690">
      <c r="N690" s="88"/>
      <c r="O690" s="85" t="s">
        <v>179</v>
      </c>
      <c r="R690" s="88"/>
      <c r="S690" s="85" t="s">
        <v>179</v>
      </c>
    </row>
    <row r="691">
      <c r="N691" s="88"/>
      <c r="O691" s="85" t="s">
        <v>179</v>
      </c>
      <c r="R691" s="88"/>
      <c r="S691" s="85" t="s">
        <v>179</v>
      </c>
    </row>
    <row r="692">
      <c r="N692" s="88"/>
      <c r="O692" s="85" t="s">
        <v>179</v>
      </c>
      <c r="R692" s="88"/>
      <c r="S692" s="85" t="s">
        <v>179</v>
      </c>
    </row>
    <row r="693">
      <c r="N693" s="88"/>
      <c r="O693" s="85" t="s">
        <v>179</v>
      </c>
      <c r="R693" s="88"/>
      <c r="S693" s="85" t="s">
        <v>179</v>
      </c>
    </row>
    <row r="694">
      <c r="N694" s="88"/>
      <c r="O694" s="85" t="s">
        <v>179</v>
      </c>
      <c r="R694" s="88"/>
      <c r="S694" s="85" t="s">
        <v>179</v>
      </c>
    </row>
    <row r="695">
      <c r="N695" s="88"/>
      <c r="O695" s="85" t="s">
        <v>179</v>
      </c>
      <c r="R695" s="88"/>
      <c r="S695" s="85" t="s">
        <v>179</v>
      </c>
    </row>
    <row r="696">
      <c r="N696" s="88"/>
      <c r="O696" s="85" t="s">
        <v>179</v>
      </c>
      <c r="R696" s="88"/>
      <c r="S696" s="85" t="s">
        <v>179</v>
      </c>
    </row>
    <row r="697">
      <c r="N697" s="88"/>
      <c r="O697" s="85" t="s">
        <v>179</v>
      </c>
      <c r="R697" s="88"/>
      <c r="S697" s="85" t="s">
        <v>179</v>
      </c>
    </row>
    <row r="698">
      <c r="N698" s="88"/>
      <c r="O698" s="85" t="s">
        <v>179</v>
      </c>
      <c r="R698" s="88"/>
      <c r="S698" s="85" t="s">
        <v>179</v>
      </c>
    </row>
    <row r="699">
      <c r="N699" s="88"/>
      <c r="O699" s="85" t="s">
        <v>179</v>
      </c>
      <c r="R699" s="88"/>
      <c r="S699" s="85" t="s">
        <v>179</v>
      </c>
    </row>
    <row r="700">
      <c r="N700" s="88"/>
      <c r="O700" s="85" t="s">
        <v>179</v>
      </c>
      <c r="R700" s="88"/>
      <c r="S700" s="85" t="s">
        <v>179</v>
      </c>
    </row>
    <row r="701">
      <c r="N701" s="88"/>
      <c r="O701" s="85" t="s">
        <v>179</v>
      </c>
      <c r="R701" s="88"/>
      <c r="S701" s="85" t="s">
        <v>179</v>
      </c>
    </row>
    <row r="702">
      <c r="N702" s="88"/>
      <c r="O702" s="85" t="s">
        <v>179</v>
      </c>
      <c r="R702" s="88"/>
      <c r="S702" s="85" t="s">
        <v>179</v>
      </c>
    </row>
    <row r="703">
      <c r="N703" s="88"/>
      <c r="O703" s="85" t="s">
        <v>179</v>
      </c>
      <c r="R703" s="88"/>
      <c r="S703" s="85" t="s">
        <v>179</v>
      </c>
    </row>
    <row r="704">
      <c r="N704" s="88"/>
      <c r="O704" s="85" t="s">
        <v>179</v>
      </c>
      <c r="R704" s="88"/>
      <c r="S704" s="85" t="s">
        <v>179</v>
      </c>
    </row>
    <row r="705">
      <c r="N705" s="88"/>
      <c r="O705" s="85" t="s">
        <v>179</v>
      </c>
      <c r="R705" s="88"/>
      <c r="S705" s="85" t="s">
        <v>179</v>
      </c>
    </row>
    <row r="706">
      <c r="N706" s="88"/>
      <c r="O706" s="85" t="s">
        <v>179</v>
      </c>
      <c r="R706" s="88"/>
      <c r="S706" s="85" t="s">
        <v>179</v>
      </c>
    </row>
    <row r="707">
      <c r="N707" s="88"/>
      <c r="O707" s="85" t="s">
        <v>179</v>
      </c>
      <c r="R707" s="88"/>
      <c r="S707" s="85" t="s">
        <v>179</v>
      </c>
    </row>
    <row r="708">
      <c r="N708" s="88"/>
      <c r="O708" s="85" t="s">
        <v>179</v>
      </c>
      <c r="R708" s="88"/>
      <c r="S708" s="85" t="s">
        <v>179</v>
      </c>
    </row>
    <row r="709">
      <c r="N709" s="88"/>
      <c r="O709" s="85" t="s">
        <v>179</v>
      </c>
      <c r="R709" s="88"/>
      <c r="S709" s="85" t="s">
        <v>179</v>
      </c>
    </row>
    <row r="710">
      <c r="N710" s="88"/>
      <c r="O710" s="85" t="s">
        <v>179</v>
      </c>
      <c r="R710" s="88"/>
      <c r="S710" s="85" t="s">
        <v>179</v>
      </c>
    </row>
    <row r="711">
      <c r="N711" s="88"/>
      <c r="O711" s="85" t="s">
        <v>179</v>
      </c>
      <c r="R711" s="88"/>
      <c r="S711" s="85" t="s">
        <v>179</v>
      </c>
    </row>
    <row r="712">
      <c r="N712" s="88"/>
      <c r="O712" s="85" t="s">
        <v>179</v>
      </c>
      <c r="R712" s="88"/>
      <c r="S712" s="85" t="s">
        <v>179</v>
      </c>
    </row>
    <row r="713">
      <c r="N713" s="88"/>
      <c r="O713" s="85" t="s">
        <v>179</v>
      </c>
      <c r="R713" s="88"/>
      <c r="S713" s="85" t="s">
        <v>179</v>
      </c>
    </row>
    <row r="714">
      <c r="N714" s="88"/>
      <c r="O714" s="85" t="s">
        <v>179</v>
      </c>
      <c r="R714" s="88"/>
      <c r="S714" s="85" t="s">
        <v>179</v>
      </c>
    </row>
    <row r="715">
      <c r="N715" s="88"/>
      <c r="O715" s="85" t="s">
        <v>179</v>
      </c>
      <c r="R715" s="88"/>
      <c r="S715" s="85" t="s">
        <v>179</v>
      </c>
    </row>
    <row r="716">
      <c r="N716" s="88"/>
      <c r="O716" s="85" t="s">
        <v>179</v>
      </c>
      <c r="R716" s="88"/>
      <c r="S716" s="85" t="s">
        <v>179</v>
      </c>
    </row>
    <row r="717">
      <c r="N717" s="88"/>
      <c r="O717" s="85" t="s">
        <v>179</v>
      </c>
      <c r="R717" s="88"/>
      <c r="S717" s="85" t="s">
        <v>179</v>
      </c>
    </row>
    <row r="718">
      <c r="N718" s="88"/>
      <c r="O718" s="85" t="s">
        <v>179</v>
      </c>
      <c r="R718" s="88"/>
      <c r="S718" s="85" t="s">
        <v>179</v>
      </c>
    </row>
    <row r="719">
      <c r="N719" s="88"/>
      <c r="O719" s="85" t="s">
        <v>179</v>
      </c>
      <c r="R719" s="88"/>
      <c r="S719" s="85" t="s">
        <v>179</v>
      </c>
    </row>
    <row r="720">
      <c r="N720" s="88"/>
      <c r="O720" s="85" t="s">
        <v>179</v>
      </c>
      <c r="R720" s="88"/>
      <c r="S720" s="85" t="s">
        <v>179</v>
      </c>
    </row>
    <row r="721">
      <c r="N721" s="88"/>
      <c r="O721" s="85" t="s">
        <v>179</v>
      </c>
      <c r="R721" s="88"/>
      <c r="S721" s="85" t="s">
        <v>179</v>
      </c>
    </row>
    <row r="722">
      <c r="N722" s="88"/>
      <c r="O722" s="85" t="s">
        <v>179</v>
      </c>
      <c r="R722" s="88"/>
      <c r="S722" s="85" t="s">
        <v>179</v>
      </c>
    </row>
    <row r="723">
      <c r="N723" s="88"/>
      <c r="O723" s="85" t="s">
        <v>179</v>
      </c>
      <c r="R723" s="88"/>
      <c r="S723" s="85" t="s">
        <v>179</v>
      </c>
    </row>
    <row r="724">
      <c r="N724" s="88"/>
      <c r="O724" s="85" t="s">
        <v>179</v>
      </c>
      <c r="R724" s="88"/>
      <c r="S724" s="85" t="s">
        <v>179</v>
      </c>
    </row>
    <row r="725">
      <c r="N725" s="88"/>
      <c r="O725" s="85" t="s">
        <v>179</v>
      </c>
      <c r="R725" s="88"/>
      <c r="S725" s="85" t="s">
        <v>179</v>
      </c>
    </row>
    <row r="726">
      <c r="N726" s="88"/>
      <c r="O726" s="85" t="s">
        <v>179</v>
      </c>
      <c r="R726" s="88"/>
      <c r="S726" s="85" t="s">
        <v>179</v>
      </c>
    </row>
    <row r="727">
      <c r="N727" s="88"/>
      <c r="O727" s="85" t="s">
        <v>179</v>
      </c>
      <c r="R727" s="88"/>
      <c r="S727" s="85" t="s">
        <v>179</v>
      </c>
    </row>
    <row r="728">
      <c r="N728" s="88"/>
      <c r="O728" s="85" t="s">
        <v>179</v>
      </c>
      <c r="R728" s="88"/>
      <c r="S728" s="85" t="s">
        <v>179</v>
      </c>
    </row>
    <row r="729">
      <c r="N729" s="88"/>
      <c r="O729" s="85" t="s">
        <v>179</v>
      </c>
      <c r="R729" s="88"/>
      <c r="S729" s="85" t="s">
        <v>179</v>
      </c>
    </row>
    <row r="730">
      <c r="N730" s="88"/>
      <c r="O730" s="85" t="s">
        <v>179</v>
      </c>
      <c r="R730" s="88"/>
      <c r="S730" s="85" t="s">
        <v>179</v>
      </c>
    </row>
    <row r="731">
      <c r="N731" s="88"/>
      <c r="O731" s="85" t="s">
        <v>179</v>
      </c>
      <c r="R731" s="88"/>
      <c r="S731" s="85" t="s">
        <v>179</v>
      </c>
    </row>
    <row r="732">
      <c r="N732" s="88"/>
      <c r="O732" s="85" t="s">
        <v>179</v>
      </c>
      <c r="R732" s="88"/>
      <c r="S732" s="85" t="s">
        <v>179</v>
      </c>
    </row>
    <row r="733">
      <c r="N733" s="88"/>
      <c r="O733" s="85" t="s">
        <v>179</v>
      </c>
      <c r="R733" s="88"/>
      <c r="S733" s="85" t="s">
        <v>179</v>
      </c>
    </row>
    <row r="734">
      <c r="N734" s="88"/>
      <c r="O734" s="85" t="s">
        <v>179</v>
      </c>
      <c r="R734" s="88"/>
      <c r="S734" s="85" t="s">
        <v>179</v>
      </c>
    </row>
    <row r="735">
      <c r="N735" s="88"/>
      <c r="O735" s="85" t="s">
        <v>179</v>
      </c>
      <c r="R735" s="88"/>
      <c r="S735" s="85" t="s">
        <v>179</v>
      </c>
    </row>
    <row r="736">
      <c r="N736" s="88"/>
      <c r="O736" s="85" t="s">
        <v>179</v>
      </c>
      <c r="R736" s="88"/>
      <c r="S736" s="85" t="s">
        <v>179</v>
      </c>
    </row>
    <row r="737">
      <c r="N737" s="88"/>
      <c r="O737" s="85" t="s">
        <v>179</v>
      </c>
      <c r="R737" s="88"/>
      <c r="S737" s="85" t="s">
        <v>179</v>
      </c>
    </row>
    <row r="738">
      <c r="N738" s="88"/>
      <c r="O738" s="85" t="s">
        <v>179</v>
      </c>
      <c r="R738" s="88"/>
      <c r="S738" s="85" t="s">
        <v>179</v>
      </c>
    </row>
    <row r="739">
      <c r="N739" s="88"/>
      <c r="O739" s="85" t="s">
        <v>179</v>
      </c>
      <c r="R739" s="88"/>
      <c r="S739" s="85" t="s">
        <v>179</v>
      </c>
    </row>
    <row r="740">
      <c r="N740" s="88"/>
      <c r="O740" s="85" t="s">
        <v>179</v>
      </c>
      <c r="R740" s="88"/>
      <c r="S740" s="85" t="s">
        <v>179</v>
      </c>
    </row>
    <row r="741">
      <c r="N741" s="88"/>
      <c r="O741" s="85" t="s">
        <v>179</v>
      </c>
      <c r="R741" s="88"/>
      <c r="S741" s="85" t="s">
        <v>179</v>
      </c>
    </row>
    <row r="742">
      <c r="N742" s="88"/>
      <c r="O742" s="85" t="s">
        <v>179</v>
      </c>
      <c r="R742" s="88"/>
      <c r="S742" s="85" t="s">
        <v>179</v>
      </c>
    </row>
    <row r="743">
      <c r="N743" s="88"/>
      <c r="O743" s="85" t="s">
        <v>179</v>
      </c>
      <c r="R743" s="88"/>
      <c r="S743" s="85" t="s">
        <v>179</v>
      </c>
    </row>
    <row r="744">
      <c r="N744" s="88"/>
      <c r="O744" s="85" t="s">
        <v>179</v>
      </c>
      <c r="R744" s="88"/>
      <c r="S744" s="85" t="s">
        <v>179</v>
      </c>
    </row>
    <row r="745">
      <c r="N745" s="88"/>
      <c r="O745" s="85" t="s">
        <v>179</v>
      </c>
      <c r="R745" s="88"/>
      <c r="S745" s="85" t="s">
        <v>179</v>
      </c>
    </row>
    <row r="746">
      <c r="N746" s="88"/>
      <c r="O746" s="85" t="s">
        <v>179</v>
      </c>
      <c r="R746" s="88"/>
      <c r="S746" s="85" t="s">
        <v>179</v>
      </c>
    </row>
    <row r="747">
      <c r="N747" s="88"/>
      <c r="O747" s="85" t="s">
        <v>179</v>
      </c>
      <c r="R747" s="88"/>
      <c r="S747" s="85" t="s">
        <v>179</v>
      </c>
    </row>
    <row r="748">
      <c r="N748" s="88"/>
      <c r="O748" s="85" t="s">
        <v>179</v>
      </c>
      <c r="R748" s="88"/>
      <c r="S748" s="85" t="s">
        <v>179</v>
      </c>
    </row>
    <row r="749">
      <c r="N749" s="88"/>
      <c r="O749" s="85" t="s">
        <v>179</v>
      </c>
      <c r="R749" s="88"/>
      <c r="S749" s="85" t="s">
        <v>179</v>
      </c>
    </row>
    <row r="750">
      <c r="N750" s="88"/>
      <c r="O750" s="85" t="s">
        <v>179</v>
      </c>
      <c r="R750" s="88"/>
      <c r="S750" s="85" t="s">
        <v>179</v>
      </c>
    </row>
    <row r="751">
      <c r="N751" s="88"/>
      <c r="O751" s="85" t="s">
        <v>179</v>
      </c>
      <c r="R751" s="88"/>
      <c r="S751" s="85" t="s">
        <v>179</v>
      </c>
    </row>
    <row r="752">
      <c r="N752" s="88"/>
      <c r="O752" s="85" t="s">
        <v>179</v>
      </c>
      <c r="R752" s="88"/>
      <c r="S752" s="85" t="s">
        <v>179</v>
      </c>
    </row>
    <row r="753">
      <c r="N753" s="88"/>
      <c r="O753" s="85" t="s">
        <v>179</v>
      </c>
      <c r="R753" s="88"/>
      <c r="S753" s="85" t="s">
        <v>179</v>
      </c>
    </row>
    <row r="754">
      <c r="N754" s="88"/>
      <c r="O754" s="85" t="s">
        <v>179</v>
      </c>
      <c r="R754" s="88"/>
      <c r="S754" s="85" t="s">
        <v>179</v>
      </c>
    </row>
    <row r="755">
      <c r="N755" s="88"/>
      <c r="O755" s="85" t="s">
        <v>179</v>
      </c>
      <c r="R755" s="88"/>
      <c r="S755" s="85" t="s">
        <v>179</v>
      </c>
    </row>
    <row r="756">
      <c r="N756" s="88"/>
      <c r="O756" s="85" t="s">
        <v>179</v>
      </c>
      <c r="R756" s="88"/>
      <c r="S756" s="85" t="s">
        <v>179</v>
      </c>
    </row>
    <row r="757">
      <c r="N757" s="88"/>
      <c r="O757" s="85" t="s">
        <v>179</v>
      </c>
      <c r="R757" s="88"/>
      <c r="S757" s="85" t="s">
        <v>179</v>
      </c>
    </row>
    <row r="758">
      <c r="N758" s="88"/>
      <c r="O758" s="85" t="s">
        <v>179</v>
      </c>
      <c r="R758" s="88"/>
      <c r="S758" s="85" t="s">
        <v>179</v>
      </c>
    </row>
    <row r="759">
      <c r="N759" s="88"/>
      <c r="O759" s="85" t="s">
        <v>179</v>
      </c>
      <c r="R759" s="88"/>
      <c r="S759" s="85" t="s">
        <v>179</v>
      </c>
    </row>
    <row r="760">
      <c r="N760" s="88"/>
      <c r="O760" s="85" t="s">
        <v>179</v>
      </c>
      <c r="R760" s="88"/>
      <c r="S760" s="85" t="s">
        <v>179</v>
      </c>
    </row>
    <row r="761">
      <c r="N761" s="88"/>
      <c r="O761" s="85" t="s">
        <v>179</v>
      </c>
      <c r="R761" s="88"/>
      <c r="S761" s="85" t="s">
        <v>179</v>
      </c>
    </row>
    <row r="762">
      <c r="N762" s="88"/>
      <c r="O762" s="85" t="s">
        <v>179</v>
      </c>
      <c r="R762" s="88"/>
      <c r="S762" s="85" t="s">
        <v>179</v>
      </c>
    </row>
    <row r="763">
      <c r="N763" s="88"/>
      <c r="O763" s="85" t="s">
        <v>179</v>
      </c>
      <c r="R763" s="88"/>
      <c r="S763" s="85" t="s">
        <v>179</v>
      </c>
    </row>
    <row r="764">
      <c r="N764" s="88"/>
      <c r="O764" s="85" t="s">
        <v>179</v>
      </c>
      <c r="R764" s="88"/>
      <c r="S764" s="85" t="s">
        <v>179</v>
      </c>
    </row>
    <row r="765">
      <c r="N765" s="88"/>
      <c r="O765" s="85" t="s">
        <v>179</v>
      </c>
      <c r="R765" s="88"/>
      <c r="S765" s="85" t="s">
        <v>179</v>
      </c>
    </row>
    <row r="766">
      <c r="N766" s="88"/>
      <c r="O766" s="85" t="s">
        <v>179</v>
      </c>
      <c r="R766" s="88"/>
      <c r="S766" s="85" t="s">
        <v>179</v>
      </c>
    </row>
    <row r="767">
      <c r="N767" s="88"/>
      <c r="O767" s="85" t="s">
        <v>179</v>
      </c>
      <c r="R767" s="88"/>
      <c r="S767" s="85" t="s">
        <v>179</v>
      </c>
    </row>
    <row r="768">
      <c r="N768" s="88"/>
      <c r="O768" s="85" t="s">
        <v>179</v>
      </c>
      <c r="R768" s="88"/>
      <c r="S768" s="85" t="s">
        <v>179</v>
      </c>
    </row>
    <row r="769">
      <c r="N769" s="88"/>
      <c r="O769" s="85" t="s">
        <v>179</v>
      </c>
      <c r="R769" s="88"/>
      <c r="S769" s="85" t="s">
        <v>179</v>
      </c>
    </row>
    <row r="770">
      <c r="N770" s="88"/>
      <c r="O770" s="85" t="s">
        <v>179</v>
      </c>
      <c r="R770" s="88"/>
      <c r="S770" s="85" t="s">
        <v>179</v>
      </c>
    </row>
    <row r="771">
      <c r="N771" s="88"/>
      <c r="O771" s="85" t="s">
        <v>179</v>
      </c>
      <c r="R771" s="88"/>
      <c r="S771" s="85" t="s">
        <v>179</v>
      </c>
    </row>
    <row r="772">
      <c r="N772" s="88"/>
      <c r="O772" s="85" t="s">
        <v>179</v>
      </c>
      <c r="R772" s="88"/>
      <c r="S772" s="85" t="s">
        <v>179</v>
      </c>
    </row>
    <row r="773">
      <c r="N773" s="88"/>
      <c r="O773" s="85" t="s">
        <v>179</v>
      </c>
      <c r="R773" s="88"/>
      <c r="S773" s="85" t="s">
        <v>179</v>
      </c>
    </row>
    <row r="774">
      <c r="N774" s="88"/>
      <c r="O774" s="85" t="s">
        <v>179</v>
      </c>
      <c r="R774" s="88"/>
      <c r="S774" s="85" t="s">
        <v>179</v>
      </c>
    </row>
    <row r="775">
      <c r="N775" s="88"/>
      <c r="O775" s="85" t="s">
        <v>179</v>
      </c>
      <c r="R775" s="88"/>
      <c r="S775" s="85" t="s">
        <v>179</v>
      </c>
    </row>
    <row r="776">
      <c r="N776" s="88"/>
      <c r="O776" s="85" t="s">
        <v>179</v>
      </c>
      <c r="R776" s="88"/>
      <c r="S776" s="85" t="s">
        <v>179</v>
      </c>
    </row>
    <row r="777">
      <c r="N777" s="88"/>
      <c r="O777" s="85" t="s">
        <v>179</v>
      </c>
      <c r="R777" s="88"/>
      <c r="S777" s="85" t="s">
        <v>179</v>
      </c>
    </row>
    <row r="778">
      <c r="N778" s="88"/>
      <c r="O778" s="85" t="s">
        <v>179</v>
      </c>
      <c r="R778" s="88"/>
      <c r="S778" s="85" t="s">
        <v>179</v>
      </c>
    </row>
    <row r="779">
      <c r="N779" s="88"/>
      <c r="O779" s="85" t="s">
        <v>179</v>
      </c>
      <c r="R779" s="88"/>
      <c r="S779" s="85" t="s">
        <v>179</v>
      </c>
    </row>
    <row r="780">
      <c r="N780" s="88"/>
      <c r="O780" s="85" t="s">
        <v>179</v>
      </c>
      <c r="R780" s="88"/>
      <c r="S780" s="85" t="s">
        <v>179</v>
      </c>
    </row>
    <row r="781">
      <c r="N781" s="88"/>
      <c r="O781" s="85" t="s">
        <v>179</v>
      </c>
      <c r="R781" s="88"/>
      <c r="S781" s="85" t="s">
        <v>179</v>
      </c>
    </row>
    <row r="782">
      <c r="N782" s="88"/>
      <c r="O782" s="85" t="s">
        <v>179</v>
      </c>
      <c r="R782" s="88"/>
      <c r="S782" s="85" t="s">
        <v>179</v>
      </c>
    </row>
    <row r="783">
      <c r="N783" s="88"/>
      <c r="O783" s="85" t="s">
        <v>179</v>
      </c>
      <c r="R783" s="88"/>
      <c r="S783" s="85" t="s">
        <v>179</v>
      </c>
    </row>
    <row r="784">
      <c r="N784" s="88"/>
      <c r="O784" s="85" t="s">
        <v>179</v>
      </c>
      <c r="R784" s="88"/>
      <c r="S784" s="85" t="s">
        <v>179</v>
      </c>
    </row>
    <row r="785">
      <c r="N785" s="88"/>
      <c r="O785" s="85" t="s">
        <v>179</v>
      </c>
      <c r="R785" s="88"/>
      <c r="S785" s="85" t="s">
        <v>179</v>
      </c>
    </row>
    <row r="786">
      <c r="N786" s="88"/>
      <c r="O786" s="85" t="s">
        <v>179</v>
      </c>
      <c r="R786" s="88"/>
      <c r="S786" s="85" t="s">
        <v>179</v>
      </c>
    </row>
    <row r="787">
      <c r="N787" s="88"/>
      <c r="O787" s="85" t="s">
        <v>179</v>
      </c>
      <c r="R787" s="88"/>
      <c r="S787" s="85" t="s">
        <v>179</v>
      </c>
    </row>
    <row r="788">
      <c r="N788" s="88"/>
      <c r="O788" s="85" t="s">
        <v>179</v>
      </c>
      <c r="R788" s="88"/>
      <c r="S788" s="85" t="s">
        <v>179</v>
      </c>
    </row>
    <row r="789">
      <c r="N789" s="88"/>
      <c r="O789" s="85" t="s">
        <v>179</v>
      </c>
      <c r="R789" s="88"/>
      <c r="S789" s="85" t="s">
        <v>179</v>
      </c>
    </row>
    <row r="790">
      <c r="N790" s="88"/>
      <c r="O790" s="85" t="s">
        <v>179</v>
      </c>
      <c r="R790" s="88"/>
      <c r="S790" s="85" t="s">
        <v>179</v>
      </c>
    </row>
    <row r="791">
      <c r="N791" s="88"/>
      <c r="O791" s="85" t="s">
        <v>179</v>
      </c>
      <c r="R791" s="88"/>
      <c r="S791" s="85" t="s">
        <v>179</v>
      </c>
    </row>
    <row r="792">
      <c r="N792" s="88"/>
      <c r="O792" s="85" t="s">
        <v>179</v>
      </c>
      <c r="R792" s="88"/>
      <c r="S792" s="85" t="s">
        <v>179</v>
      </c>
    </row>
    <row r="793">
      <c r="N793" s="88"/>
      <c r="O793" s="85" t="s">
        <v>179</v>
      </c>
      <c r="R793" s="88"/>
      <c r="S793" s="85" t="s">
        <v>179</v>
      </c>
    </row>
    <row r="794">
      <c r="N794" s="88"/>
      <c r="O794" s="85" t="s">
        <v>179</v>
      </c>
      <c r="R794" s="88"/>
      <c r="S794" s="85" t="s">
        <v>179</v>
      </c>
    </row>
    <row r="795">
      <c r="N795" s="88"/>
      <c r="O795" s="85" t="s">
        <v>179</v>
      </c>
      <c r="R795" s="88"/>
      <c r="S795" s="85" t="s">
        <v>179</v>
      </c>
    </row>
    <row r="796">
      <c r="N796" s="88"/>
      <c r="O796" s="85" t="s">
        <v>179</v>
      </c>
      <c r="R796" s="88"/>
      <c r="S796" s="85" t="s">
        <v>179</v>
      </c>
    </row>
    <row r="797">
      <c r="N797" s="88"/>
      <c r="O797" s="85" t="s">
        <v>179</v>
      </c>
      <c r="R797" s="88"/>
      <c r="S797" s="85" t="s">
        <v>179</v>
      </c>
    </row>
    <row r="798">
      <c r="N798" s="88"/>
      <c r="O798" s="85" t="s">
        <v>179</v>
      </c>
      <c r="R798" s="88"/>
      <c r="S798" s="85" t="s">
        <v>179</v>
      </c>
    </row>
    <row r="799">
      <c r="N799" s="88"/>
      <c r="O799" s="85" t="s">
        <v>179</v>
      </c>
      <c r="R799" s="88"/>
      <c r="S799" s="85" t="s">
        <v>179</v>
      </c>
    </row>
    <row r="800">
      <c r="N800" s="88"/>
      <c r="O800" s="85" t="s">
        <v>179</v>
      </c>
      <c r="R800" s="88"/>
      <c r="S800" s="85" t="s">
        <v>179</v>
      </c>
    </row>
    <row r="801">
      <c r="N801" s="88"/>
      <c r="O801" s="85" t="s">
        <v>179</v>
      </c>
      <c r="R801" s="88"/>
      <c r="S801" s="85" t="s">
        <v>179</v>
      </c>
    </row>
    <row r="802">
      <c r="N802" s="88"/>
      <c r="O802" s="85" t="s">
        <v>179</v>
      </c>
      <c r="R802" s="88"/>
      <c r="S802" s="85" t="s">
        <v>179</v>
      </c>
    </row>
    <row r="803">
      <c r="N803" s="88"/>
      <c r="O803" s="85" t="s">
        <v>179</v>
      </c>
      <c r="R803" s="88"/>
      <c r="S803" s="85" t="s">
        <v>179</v>
      </c>
    </row>
    <row r="804">
      <c r="N804" s="88"/>
      <c r="O804" s="85" t="s">
        <v>179</v>
      </c>
      <c r="R804" s="88"/>
      <c r="S804" s="85" t="s">
        <v>179</v>
      </c>
    </row>
    <row r="805">
      <c r="N805" s="88"/>
      <c r="O805" s="85" t="s">
        <v>179</v>
      </c>
      <c r="R805" s="88"/>
      <c r="S805" s="85" t="s">
        <v>179</v>
      </c>
    </row>
    <row r="806">
      <c r="N806" s="88"/>
      <c r="O806" s="85" t="s">
        <v>179</v>
      </c>
      <c r="R806" s="88"/>
      <c r="S806" s="85" t="s">
        <v>179</v>
      </c>
    </row>
    <row r="807">
      <c r="N807" s="88"/>
      <c r="O807" s="85" t="s">
        <v>179</v>
      </c>
      <c r="R807" s="88"/>
      <c r="S807" s="85" t="s">
        <v>179</v>
      </c>
    </row>
    <row r="808">
      <c r="N808" s="88"/>
      <c r="O808" s="85" t="s">
        <v>179</v>
      </c>
      <c r="R808" s="88"/>
      <c r="S808" s="85" t="s">
        <v>179</v>
      </c>
    </row>
    <row r="809">
      <c r="N809" s="88"/>
      <c r="O809" s="85" t="s">
        <v>179</v>
      </c>
      <c r="R809" s="88"/>
      <c r="S809" s="85" t="s">
        <v>179</v>
      </c>
    </row>
    <row r="810">
      <c r="N810" s="88"/>
      <c r="O810" s="85" t="s">
        <v>179</v>
      </c>
      <c r="R810" s="88"/>
      <c r="S810" s="85" t="s">
        <v>179</v>
      </c>
    </row>
    <row r="811">
      <c r="N811" s="88"/>
      <c r="O811" s="85" t="s">
        <v>179</v>
      </c>
      <c r="R811" s="88"/>
      <c r="S811" s="85" t="s">
        <v>179</v>
      </c>
    </row>
    <row r="812">
      <c r="N812" s="88"/>
      <c r="O812" s="85" t="s">
        <v>179</v>
      </c>
      <c r="R812" s="88"/>
      <c r="S812" s="85" t="s">
        <v>179</v>
      </c>
    </row>
    <row r="813">
      <c r="N813" s="88"/>
      <c r="O813" s="85" t="s">
        <v>179</v>
      </c>
      <c r="R813" s="88"/>
      <c r="S813" s="85" t="s">
        <v>179</v>
      </c>
    </row>
    <row r="814">
      <c r="N814" s="88"/>
      <c r="O814" s="85" t="s">
        <v>179</v>
      </c>
      <c r="R814" s="88"/>
      <c r="S814" s="85" t="s">
        <v>179</v>
      </c>
    </row>
    <row r="815">
      <c r="N815" s="88"/>
      <c r="O815" s="85" t="s">
        <v>179</v>
      </c>
      <c r="R815" s="88"/>
      <c r="S815" s="85" t="s">
        <v>179</v>
      </c>
    </row>
    <row r="816">
      <c r="N816" s="88"/>
      <c r="O816" s="85" t="s">
        <v>179</v>
      </c>
      <c r="R816" s="88"/>
      <c r="S816" s="85" t="s">
        <v>179</v>
      </c>
    </row>
    <row r="817">
      <c r="N817" s="88"/>
      <c r="O817" s="85" t="s">
        <v>179</v>
      </c>
      <c r="R817" s="88"/>
      <c r="S817" s="85" t="s">
        <v>179</v>
      </c>
    </row>
    <row r="818">
      <c r="N818" s="88"/>
      <c r="O818" s="85" t="s">
        <v>179</v>
      </c>
      <c r="R818" s="88"/>
      <c r="S818" s="85" t="s">
        <v>179</v>
      </c>
    </row>
    <row r="819">
      <c r="N819" s="88"/>
      <c r="O819" s="85" t="s">
        <v>179</v>
      </c>
      <c r="R819" s="88"/>
      <c r="S819" s="85" t="s">
        <v>179</v>
      </c>
    </row>
    <row r="820">
      <c r="N820" s="88"/>
      <c r="O820" s="85" t="s">
        <v>179</v>
      </c>
      <c r="R820" s="88"/>
      <c r="S820" s="85" t="s">
        <v>179</v>
      </c>
    </row>
    <row r="821">
      <c r="N821" s="88"/>
      <c r="O821" s="85" t="s">
        <v>179</v>
      </c>
      <c r="R821" s="88"/>
      <c r="S821" s="85" t="s">
        <v>179</v>
      </c>
    </row>
    <row r="822">
      <c r="N822" s="88"/>
      <c r="O822" s="85" t="s">
        <v>179</v>
      </c>
      <c r="R822" s="88"/>
      <c r="S822" s="85" t="s">
        <v>179</v>
      </c>
    </row>
    <row r="823">
      <c r="N823" s="88"/>
      <c r="O823" s="85" t="s">
        <v>179</v>
      </c>
      <c r="R823" s="88"/>
      <c r="S823" s="85" t="s">
        <v>179</v>
      </c>
    </row>
    <row r="824">
      <c r="N824" s="88"/>
      <c r="O824" s="85" t="s">
        <v>179</v>
      </c>
      <c r="R824" s="88"/>
      <c r="S824" s="85" t="s">
        <v>179</v>
      </c>
    </row>
    <row r="825">
      <c r="N825" s="88"/>
      <c r="O825" s="85" t="s">
        <v>179</v>
      </c>
      <c r="R825" s="88"/>
      <c r="S825" s="85" t="s">
        <v>179</v>
      </c>
    </row>
    <row r="826">
      <c r="N826" s="88"/>
      <c r="O826" s="85" t="s">
        <v>179</v>
      </c>
      <c r="R826" s="88"/>
      <c r="S826" s="85" t="s">
        <v>179</v>
      </c>
    </row>
    <row r="827">
      <c r="N827" s="88"/>
      <c r="O827" s="85" t="s">
        <v>179</v>
      </c>
      <c r="R827" s="88"/>
      <c r="S827" s="85" t="s">
        <v>179</v>
      </c>
    </row>
    <row r="828">
      <c r="N828" s="88"/>
      <c r="O828" s="85" t="s">
        <v>179</v>
      </c>
      <c r="R828" s="88"/>
      <c r="S828" s="85" t="s">
        <v>179</v>
      </c>
    </row>
    <row r="829">
      <c r="N829" s="88"/>
      <c r="O829" s="85" t="s">
        <v>179</v>
      </c>
      <c r="R829" s="88"/>
      <c r="S829" s="85" t="s">
        <v>179</v>
      </c>
    </row>
    <row r="830">
      <c r="N830" s="88"/>
      <c r="O830" s="85" t="s">
        <v>179</v>
      </c>
      <c r="R830" s="88"/>
      <c r="S830" s="85" t="s">
        <v>179</v>
      </c>
    </row>
    <row r="831">
      <c r="N831" s="88"/>
      <c r="O831" s="85" t="s">
        <v>179</v>
      </c>
      <c r="R831" s="88"/>
      <c r="S831" s="85" t="s">
        <v>179</v>
      </c>
    </row>
    <row r="832">
      <c r="N832" s="88"/>
      <c r="O832" s="85" t="s">
        <v>179</v>
      </c>
      <c r="R832" s="88"/>
      <c r="S832" s="85" t="s">
        <v>179</v>
      </c>
    </row>
    <row r="833">
      <c r="N833" s="88"/>
      <c r="O833" s="85" t="s">
        <v>179</v>
      </c>
      <c r="R833" s="88"/>
      <c r="S833" s="85" t="s">
        <v>179</v>
      </c>
    </row>
    <row r="834">
      <c r="N834" s="88"/>
      <c r="O834" s="85" t="s">
        <v>179</v>
      </c>
      <c r="R834" s="88"/>
      <c r="S834" s="85" t="s">
        <v>179</v>
      </c>
    </row>
    <row r="835">
      <c r="N835" s="88"/>
      <c r="O835" s="85" t="s">
        <v>179</v>
      </c>
      <c r="R835" s="88"/>
      <c r="S835" s="85" t="s">
        <v>179</v>
      </c>
    </row>
    <row r="836">
      <c r="N836" s="88"/>
      <c r="O836" s="85" t="s">
        <v>179</v>
      </c>
      <c r="R836" s="88"/>
      <c r="S836" s="85" t="s">
        <v>179</v>
      </c>
    </row>
    <row r="837">
      <c r="N837" s="88"/>
      <c r="O837" s="85" t="s">
        <v>179</v>
      </c>
      <c r="R837" s="88"/>
      <c r="S837" s="85" t="s">
        <v>179</v>
      </c>
    </row>
    <row r="838">
      <c r="N838" s="88"/>
      <c r="O838" s="85" t="s">
        <v>179</v>
      </c>
      <c r="R838" s="88"/>
      <c r="S838" s="85" t="s">
        <v>179</v>
      </c>
    </row>
    <row r="839">
      <c r="N839" s="88"/>
      <c r="O839" s="85" t="s">
        <v>179</v>
      </c>
      <c r="R839" s="88"/>
      <c r="S839" s="85" t="s">
        <v>179</v>
      </c>
    </row>
    <row r="840">
      <c r="N840" s="88"/>
      <c r="O840" s="85" t="s">
        <v>179</v>
      </c>
      <c r="R840" s="88"/>
      <c r="S840" s="85" t="s">
        <v>179</v>
      </c>
    </row>
    <row r="841">
      <c r="N841" s="88"/>
      <c r="O841" s="85" t="s">
        <v>179</v>
      </c>
      <c r="R841" s="88"/>
      <c r="S841" s="85" t="s">
        <v>179</v>
      </c>
    </row>
    <row r="842">
      <c r="N842" s="88"/>
      <c r="O842" s="85" t="s">
        <v>179</v>
      </c>
      <c r="R842" s="88"/>
      <c r="S842" s="85" t="s">
        <v>179</v>
      </c>
    </row>
    <row r="843">
      <c r="N843" s="88"/>
      <c r="O843" s="85" t="s">
        <v>179</v>
      </c>
      <c r="R843" s="88"/>
      <c r="S843" s="85" t="s">
        <v>179</v>
      </c>
    </row>
    <row r="844">
      <c r="N844" s="88"/>
      <c r="O844" s="85" t="s">
        <v>179</v>
      </c>
      <c r="R844" s="88"/>
      <c r="S844" s="85" t="s">
        <v>179</v>
      </c>
    </row>
    <row r="845">
      <c r="N845" s="88"/>
      <c r="O845" s="85" t="s">
        <v>179</v>
      </c>
      <c r="R845" s="88"/>
      <c r="S845" s="85" t="s">
        <v>179</v>
      </c>
    </row>
    <row r="846">
      <c r="N846" s="88"/>
      <c r="O846" s="85" t="s">
        <v>179</v>
      </c>
      <c r="R846" s="88"/>
      <c r="S846" s="85" t="s">
        <v>179</v>
      </c>
    </row>
    <row r="847">
      <c r="N847" s="88"/>
      <c r="O847" s="85" t="s">
        <v>179</v>
      </c>
      <c r="R847" s="88"/>
      <c r="S847" s="85" t="s">
        <v>179</v>
      </c>
    </row>
    <row r="848">
      <c r="N848" s="88"/>
      <c r="O848" s="85" t="s">
        <v>179</v>
      </c>
      <c r="R848" s="88"/>
      <c r="S848" s="85" t="s">
        <v>179</v>
      </c>
    </row>
    <row r="849">
      <c r="N849" s="88"/>
      <c r="O849" s="85" t="s">
        <v>179</v>
      </c>
      <c r="R849" s="88"/>
      <c r="S849" s="85" t="s">
        <v>179</v>
      </c>
    </row>
    <row r="850">
      <c r="N850" s="88"/>
      <c r="O850" s="85" t="s">
        <v>179</v>
      </c>
      <c r="R850" s="88"/>
      <c r="S850" s="85" t="s">
        <v>179</v>
      </c>
    </row>
    <row r="851">
      <c r="N851" s="88"/>
      <c r="O851" s="85" t="s">
        <v>179</v>
      </c>
      <c r="R851" s="88"/>
      <c r="S851" s="85" t="s">
        <v>179</v>
      </c>
    </row>
    <row r="852">
      <c r="N852" s="88"/>
      <c r="O852" s="85" t="s">
        <v>179</v>
      </c>
      <c r="R852" s="88"/>
      <c r="S852" s="85" t="s">
        <v>179</v>
      </c>
    </row>
    <row r="853">
      <c r="N853" s="88"/>
      <c r="O853" s="85" t="s">
        <v>179</v>
      </c>
      <c r="R853" s="88"/>
      <c r="S853" s="85" t="s">
        <v>179</v>
      </c>
    </row>
    <row r="854">
      <c r="N854" s="88"/>
      <c r="O854" s="85" t="s">
        <v>179</v>
      </c>
      <c r="R854" s="88"/>
      <c r="S854" s="85" t="s">
        <v>179</v>
      </c>
    </row>
    <row r="855">
      <c r="N855" s="88"/>
      <c r="O855" s="85" t="s">
        <v>179</v>
      </c>
      <c r="R855" s="88"/>
      <c r="S855" s="85" t="s">
        <v>179</v>
      </c>
    </row>
    <row r="856">
      <c r="N856" s="88"/>
      <c r="O856" s="85" t="s">
        <v>179</v>
      </c>
      <c r="R856" s="88"/>
      <c r="S856" s="85" t="s">
        <v>179</v>
      </c>
    </row>
    <row r="857">
      <c r="N857" s="88"/>
      <c r="O857" s="85" t="s">
        <v>179</v>
      </c>
      <c r="R857" s="88"/>
      <c r="S857" s="85" t="s">
        <v>179</v>
      </c>
    </row>
    <row r="858">
      <c r="N858" s="88"/>
      <c r="O858" s="85" t="s">
        <v>179</v>
      </c>
      <c r="R858" s="88"/>
      <c r="S858" s="85" t="s">
        <v>179</v>
      </c>
    </row>
    <row r="859">
      <c r="N859" s="88"/>
      <c r="O859" s="85" t="s">
        <v>179</v>
      </c>
      <c r="R859" s="88"/>
      <c r="S859" s="85" t="s">
        <v>179</v>
      </c>
    </row>
    <row r="860">
      <c r="N860" s="88"/>
      <c r="O860" s="85" t="s">
        <v>179</v>
      </c>
      <c r="R860" s="88"/>
      <c r="S860" s="85" t="s">
        <v>179</v>
      </c>
    </row>
    <row r="861">
      <c r="N861" s="88"/>
      <c r="O861" s="85" t="s">
        <v>179</v>
      </c>
      <c r="R861" s="88"/>
      <c r="S861" s="85" t="s">
        <v>179</v>
      </c>
    </row>
    <row r="862">
      <c r="N862" s="88"/>
      <c r="O862" s="85" t="s">
        <v>179</v>
      </c>
      <c r="R862" s="88"/>
      <c r="S862" s="85" t="s">
        <v>179</v>
      </c>
    </row>
    <row r="863">
      <c r="N863" s="88"/>
      <c r="O863" s="85" t="s">
        <v>179</v>
      </c>
      <c r="R863" s="88"/>
      <c r="S863" s="85" t="s">
        <v>179</v>
      </c>
    </row>
    <row r="864">
      <c r="N864" s="88"/>
      <c r="O864" s="85" t="s">
        <v>179</v>
      </c>
      <c r="R864" s="88"/>
      <c r="S864" s="85" t="s">
        <v>179</v>
      </c>
    </row>
    <row r="865">
      <c r="N865" s="88"/>
      <c r="O865" s="85" t="s">
        <v>179</v>
      </c>
      <c r="R865" s="88"/>
      <c r="S865" s="85" t="s">
        <v>179</v>
      </c>
    </row>
    <row r="866">
      <c r="N866" s="88"/>
      <c r="O866" s="85" t="s">
        <v>179</v>
      </c>
      <c r="R866" s="88"/>
      <c r="S866" s="85" t="s">
        <v>179</v>
      </c>
    </row>
    <row r="867">
      <c r="N867" s="88"/>
      <c r="O867" s="85" t="s">
        <v>179</v>
      </c>
      <c r="R867" s="88"/>
      <c r="S867" s="85" t="s">
        <v>179</v>
      </c>
    </row>
    <row r="868">
      <c r="N868" s="88"/>
      <c r="O868" s="85" t="s">
        <v>179</v>
      </c>
      <c r="R868" s="88"/>
      <c r="S868" s="85" t="s">
        <v>179</v>
      </c>
    </row>
    <row r="869">
      <c r="N869" s="88"/>
      <c r="O869" s="85" t="s">
        <v>179</v>
      </c>
      <c r="R869" s="88"/>
      <c r="S869" s="85" t="s">
        <v>179</v>
      </c>
    </row>
    <row r="870">
      <c r="N870" s="88"/>
      <c r="O870" s="85" t="s">
        <v>179</v>
      </c>
      <c r="R870" s="88"/>
      <c r="S870" s="85" t="s">
        <v>179</v>
      </c>
    </row>
    <row r="871">
      <c r="N871" s="88"/>
      <c r="O871" s="85" t="s">
        <v>179</v>
      </c>
      <c r="R871" s="88"/>
      <c r="S871" s="85" t="s">
        <v>179</v>
      </c>
    </row>
    <row r="872">
      <c r="N872" s="88"/>
      <c r="O872" s="85" t="s">
        <v>179</v>
      </c>
      <c r="R872" s="88"/>
      <c r="S872" s="85" t="s">
        <v>179</v>
      </c>
    </row>
    <row r="873">
      <c r="N873" s="88"/>
      <c r="O873" s="85" t="s">
        <v>179</v>
      </c>
      <c r="R873" s="88"/>
      <c r="S873" s="85" t="s">
        <v>179</v>
      </c>
    </row>
    <row r="874">
      <c r="N874" s="88"/>
      <c r="O874" s="85" t="s">
        <v>179</v>
      </c>
      <c r="R874" s="88"/>
      <c r="S874" s="85" t="s">
        <v>179</v>
      </c>
    </row>
    <row r="875">
      <c r="N875" s="88"/>
      <c r="O875" s="85" t="s">
        <v>179</v>
      </c>
      <c r="R875" s="88"/>
      <c r="S875" s="85" t="s">
        <v>179</v>
      </c>
    </row>
    <row r="876">
      <c r="N876" s="88"/>
      <c r="O876" s="85" t="s">
        <v>179</v>
      </c>
      <c r="R876" s="88"/>
      <c r="S876" s="85" t="s">
        <v>179</v>
      </c>
    </row>
    <row r="877">
      <c r="N877" s="88"/>
      <c r="O877" s="85" t="s">
        <v>179</v>
      </c>
      <c r="R877" s="88"/>
      <c r="S877" s="85" t="s">
        <v>179</v>
      </c>
    </row>
    <row r="878">
      <c r="N878" s="88"/>
      <c r="O878" s="85" t="s">
        <v>179</v>
      </c>
      <c r="R878" s="88"/>
      <c r="S878" s="85" t="s">
        <v>179</v>
      </c>
    </row>
    <row r="879">
      <c r="N879" s="88"/>
      <c r="O879" s="85" t="s">
        <v>179</v>
      </c>
      <c r="R879" s="88"/>
      <c r="S879" s="85" t="s">
        <v>179</v>
      </c>
    </row>
    <row r="880">
      <c r="N880" s="88"/>
      <c r="O880" s="85" t="s">
        <v>179</v>
      </c>
      <c r="R880" s="88"/>
      <c r="S880" s="85" t="s">
        <v>179</v>
      </c>
    </row>
    <row r="881">
      <c r="N881" s="88"/>
      <c r="O881" s="85" t="s">
        <v>179</v>
      </c>
      <c r="R881" s="88"/>
      <c r="S881" s="85" t="s">
        <v>179</v>
      </c>
    </row>
    <row r="882">
      <c r="N882" s="88"/>
      <c r="O882" s="85" t="s">
        <v>179</v>
      </c>
      <c r="R882" s="88"/>
      <c r="S882" s="85" t="s">
        <v>179</v>
      </c>
    </row>
    <row r="883">
      <c r="N883" s="88"/>
      <c r="O883" s="85" t="s">
        <v>179</v>
      </c>
      <c r="R883" s="88"/>
      <c r="S883" s="85" t="s">
        <v>179</v>
      </c>
    </row>
    <row r="884">
      <c r="N884" s="88"/>
      <c r="O884" s="85" t="s">
        <v>179</v>
      </c>
      <c r="R884" s="88"/>
      <c r="S884" s="85" t="s">
        <v>179</v>
      </c>
    </row>
    <row r="885">
      <c r="N885" s="88"/>
      <c r="O885" s="85" t="s">
        <v>179</v>
      </c>
      <c r="R885" s="88"/>
      <c r="S885" s="85" t="s">
        <v>179</v>
      </c>
    </row>
    <row r="886">
      <c r="N886" s="88"/>
      <c r="O886" s="85" t="s">
        <v>179</v>
      </c>
      <c r="R886" s="88"/>
      <c r="S886" s="85" t="s">
        <v>179</v>
      </c>
    </row>
    <row r="887">
      <c r="N887" s="88"/>
      <c r="O887" s="85" t="s">
        <v>179</v>
      </c>
      <c r="R887" s="88"/>
      <c r="S887" s="85" t="s">
        <v>179</v>
      </c>
    </row>
    <row r="888">
      <c r="N888" s="88"/>
      <c r="O888" s="85" t="s">
        <v>179</v>
      </c>
      <c r="R888" s="88"/>
      <c r="S888" s="85" t="s">
        <v>179</v>
      </c>
    </row>
    <row r="889">
      <c r="N889" s="88"/>
      <c r="O889" s="85" t="s">
        <v>179</v>
      </c>
      <c r="R889" s="88"/>
      <c r="S889" s="85" t="s">
        <v>179</v>
      </c>
    </row>
    <row r="890">
      <c r="N890" s="88"/>
      <c r="O890" s="85" t="s">
        <v>179</v>
      </c>
      <c r="R890" s="88"/>
      <c r="S890" s="85" t="s">
        <v>179</v>
      </c>
    </row>
    <row r="891">
      <c r="N891" s="88"/>
      <c r="O891" s="85" t="s">
        <v>179</v>
      </c>
      <c r="R891" s="88"/>
      <c r="S891" s="85" t="s">
        <v>179</v>
      </c>
    </row>
    <row r="892">
      <c r="N892" s="88"/>
      <c r="O892" s="85" t="s">
        <v>179</v>
      </c>
      <c r="R892" s="88"/>
      <c r="S892" s="85" t="s">
        <v>179</v>
      </c>
    </row>
    <row r="893">
      <c r="N893" s="88"/>
      <c r="O893" s="85" t="s">
        <v>179</v>
      </c>
      <c r="R893" s="88"/>
      <c r="S893" s="85" t="s">
        <v>179</v>
      </c>
    </row>
    <row r="894">
      <c r="N894" s="88"/>
      <c r="O894" s="85" t="s">
        <v>179</v>
      </c>
      <c r="R894" s="88"/>
      <c r="S894" s="85" t="s">
        <v>179</v>
      </c>
    </row>
    <row r="895">
      <c r="N895" s="88"/>
      <c r="O895" s="85" t="s">
        <v>179</v>
      </c>
      <c r="R895" s="88"/>
      <c r="S895" s="85" t="s">
        <v>179</v>
      </c>
    </row>
    <row r="896">
      <c r="N896" s="88"/>
      <c r="O896" s="85" t="s">
        <v>179</v>
      </c>
      <c r="R896" s="88"/>
      <c r="S896" s="85" t="s">
        <v>179</v>
      </c>
    </row>
    <row r="897">
      <c r="N897" s="88"/>
      <c r="O897" s="85" t="s">
        <v>179</v>
      </c>
      <c r="R897" s="88"/>
      <c r="S897" s="85" t="s">
        <v>179</v>
      </c>
    </row>
    <row r="898">
      <c r="N898" s="88"/>
      <c r="O898" s="85" t="s">
        <v>179</v>
      </c>
      <c r="R898" s="88"/>
      <c r="S898" s="85" t="s">
        <v>179</v>
      </c>
    </row>
    <row r="899">
      <c r="N899" s="88"/>
      <c r="O899" s="85" t="s">
        <v>179</v>
      </c>
      <c r="R899" s="88"/>
      <c r="S899" s="85" t="s">
        <v>179</v>
      </c>
    </row>
    <row r="900">
      <c r="N900" s="88"/>
      <c r="O900" s="85" t="s">
        <v>179</v>
      </c>
      <c r="R900" s="88"/>
      <c r="S900" s="85" t="s">
        <v>179</v>
      </c>
    </row>
    <row r="901">
      <c r="N901" s="88"/>
      <c r="O901" s="85" t="s">
        <v>179</v>
      </c>
      <c r="R901" s="88"/>
      <c r="S901" s="85" t="s">
        <v>179</v>
      </c>
    </row>
    <row r="902">
      <c r="N902" s="88"/>
      <c r="O902" s="85" t="s">
        <v>179</v>
      </c>
      <c r="R902" s="88"/>
      <c r="S902" s="85" t="s">
        <v>179</v>
      </c>
    </row>
    <row r="903">
      <c r="N903" s="88"/>
      <c r="O903" s="85" t="s">
        <v>179</v>
      </c>
      <c r="R903" s="88"/>
      <c r="S903" s="85" t="s">
        <v>179</v>
      </c>
    </row>
    <row r="904">
      <c r="N904" s="88"/>
      <c r="O904" s="85" t="s">
        <v>179</v>
      </c>
      <c r="R904" s="88"/>
      <c r="S904" s="85" t="s">
        <v>179</v>
      </c>
    </row>
    <row r="905">
      <c r="N905" s="88"/>
      <c r="O905" s="85" t="s">
        <v>179</v>
      </c>
      <c r="R905" s="88"/>
      <c r="S905" s="85" t="s">
        <v>179</v>
      </c>
    </row>
    <row r="906">
      <c r="N906" s="88"/>
      <c r="O906" s="85" t="s">
        <v>179</v>
      </c>
      <c r="R906" s="88"/>
      <c r="S906" s="85" t="s">
        <v>179</v>
      </c>
    </row>
    <row r="907">
      <c r="N907" s="88"/>
      <c r="O907" s="85" t="s">
        <v>179</v>
      </c>
      <c r="R907" s="88"/>
      <c r="S907" s="85" t="s">
        <v>179</v>
      </c>
    </row>
    <row r="908">
      <c r="N908" s="88"/>
      <c r="O908" s="85" t="s">
        <v>179</v>
      </c>
      <c r="R908" s="88"/>
      <c r="S908" s="85" t="s">
        <v>179</v>
      </c>
    </row>
    <row r="909">
      <c r="N909" s="88"/>
      <c r="O909" s="85" t="s">
        <v>179</v>
      </c>
      <c r="R909" s="88"/>
      <c r="S909" s="85" t="s">
        <v>179</v>
      </c>
    </row>
    <row r="910">
      <c r="N910" s="88"/>
      <c r="O910" s="85" t="s">
        <v>179</v>
      </c>
      <c r="R910" s="88"/>
      <c r="S910" s="85" t="s">
        <v>179</v>
      </c>
    </row>
    <row r="911">
      <c r="N911" s="88"/>
      <c r="O911" s="85" t="s">
        <v>179</v>
      </c>
      <c r="R911" s="88"/>
      <c r="S911" s="85" t="s">
        <v>179</v>
      </c>
    </row>
    <row r="912">
      <c r="N912" s="88"/>
      <c r="O912" s="85" t="s">
        <v>179</v>
      </c>
      <c r="R912" s="88"/>
      <c r="S912" s="85" t="s">
        <v>179</v>
      </c>
    </row>
    <row r="913">
      <c r="N913" s="88"/>
      <c r="O913" s="85" t="s">
        <v>179</v>
      </c>
      <c r="R913" s="88"/>
      <c r="S913" s="85" t="s">
        <v>179</v>
      </c>
    </row>
    <row r="914">
      <c r="N914" s="88"/>
      <c r="O914" s="85" t="s">
        <v>179</v>
      </c>
      <c r="R914" s="88"/>
      <c r="S914" s="85" t="s">
        <v>179</v>
      </c>
    </row>
    <row r="915">
      <c r="N915" s="88"/>
      <c r="O915" s="85" t="s">
        <v>179</v>
      </c>
      <c r="R915" s="88"/>
      <c r="S915" s="85" t="s">
        <v>179</v>
      </c>
    </row>
    <row r="916">
      <c r="N916" s="88"/>
      <c r="O916" s="85" t="s">
        <v>179</v>
      </c>
      <c r="R916" s="88"/>
      <c r="S916" s="85" t="s">
        <v>179</v>
      </c>
    </row>
    <row r="917">
      <c r="N917" s="88"/>
      <c r="O917" s="85" t="s">
        <v>179</v>
      </c>
      <c r="R917" s="88"/>
      <c r="S917" s="85" t="s">
        <v>179</v>
      </c>
    </row>
    <row r="918">
      <c r="N918" s="88"/>
      <c r="O918" s="85" t="s">
        <v>179</v>
      </c>
      <c r="R918" s="88"/>
      <c r="S918" s="85" t="s">
        <v>179</v>
      </c>
    </row>
    <row r="919">
      <c r="N919" s="88"/>
      <c r="O919" s="85" t="s">
        <v>179</v>
      </c>
      <c r="R919" s="88"/>
      <c r="S919" s="85" t="s">
        <v>179</v>
      </c>
    </row>
    <row r="920">
      <c r="N920" s="88"/>
      <c r="O920" s="85" t="s">
        <v>179</v>
      </c>
      <c r="R920" s="88"/>
      <c r="S920" s="85" t="s">
        <v>179</v>
      </c>
    </row>
    <row r="921">
      <c r="N921" s="88"/>
      <c r="O921" s="85" t="s">
        <v>179</v>
      </c>
      <c r="R921" s="88"/>
      <c r="S921" s="85" t="s">
        <v>179</v>
      </c>
    </row>
    <row r="922">
      <c r="N922" s="88"/>
      <c r="O922" s="85" t="s">
        <v>179</v>
      </c>
      <c r="R922" s="88"/>
      <c r="S922" s="85" t="s">
        <v>179</v>
      </c>
    </row>
    <row r="923">
      <c r="N923" s="88"/>
      <c r="O923" s="85" t="s">
        <v>179</v>
      </c>
      <c r="R923" s="88"/>
      <c r="S923" s="85" t="s">
        <v>179</v>
      </c>
    </row>
    <row r="924">
      <c r="N924" s="88"/>
      <c r="O924" s="85" t="s">
        <v>179</v>
      </c>
      <c r="R924" s="88"/>
      <c r="S924" s="85" t="s">
        <v>179</v>
      </c>
    </row>
    <row r="925">
      <c r="N925" s="88"/>
      <c r="O925" s="85" t="s">
        <v>179</v>
      </c>
      <c r="R925" s="88"/>
      <c r="S925" s="85" t="s">
        <v>179</v>
      </c>
    </row>
    <row r="926">
      <c r="N926" s="88"/>
      <c r="O926" s="85" t="s">
        <v>179</v>
      </c>
      <c r="R926" s="88"/>
      <c r="S926" s="85" t="s">
        <v>179</v>
      </c>
    </row>
    <row r="927">
      <c r="N927" s="88"/>
      <c r="O927" s="85" t="s">
        <v>179</v>
      </c>
      <c r="R927" s="88"/>
      <c r="S927" s="85" t="s">
        <v>179</v>
      </c>
    </row>
    <row r="928">
      <c r="N928" s="88"/>
      <c r="O928" s="85" t="s">
        <v>179</v>
      </c>
      <c r="R928" s="88"/>
      <c r="S928" s="85" t="s">
        <v>179</v>
      </c>
    </row>
    <row r="929">
      <c r="N929" s="88"/>
      <c r="O929" s="85" t="s">
        <v>179</v>
      </c>
      <c r="R929" s="88"/>
      <c r="S929" s="85" t="s">
        <v>179</v>
      </c>
    </row>
    <row r="930">
      <c r="N930" s="88"/>
      <c r="O930" s="85" t="s">
        <v>179</v>
      </c>
      <c r="R930" s="88"/>
      <c r="S930" s="85" t="s">
        <v>179</v>
      </c>
    </row>
    <row r="931">
      <c r="N931" s="88"/>
      <c r="O931" s="85" t="s">
        <v>179</v>
      </c>
      <c r="R931" s="88"/>
      <c r="S931" s="85" t="s">
        <v>179</v>
      </c>
    </row>
    <row r="932">
      <c r="N932" s="88"/>
      <c r="O932" s="85" t="s">
        <v>179</v>
      </c>
      <c r="R932" s="88"/>
      <c r="S932" s="85" t="s">
        <v>179</v>
      </c>
    </row>
    <row r="933">
      <c r="N933" s="88"/>
      <c r="O933" s="85" t="s">
        <v>179</v>
      </c>
      <c r="R933" s="88"/>
      <c r="S933" s="85" t="s">
        <v>179</v>
      </c>
    </row>
    <row r="934">
      <c r="N934" s="88"/>
      <c r="O934" s="85" t="s">
        <v>179</v>
      </c>
      <c r="R934" s="88"/>
      <c r="S934" s="85" t="s">
        <v>179</v>
      </c>
    </row>
    <row r="935">
      <c r="N935" s="88"/>
      <c r="O935" s="85" t="s">
        <v>179</v>
      </c>
      <c r="R935" s="88"/>
      <c r="S935" s="85" t="s">
        <v>179</v>
      </c>
    </row>
    <row r="936">
      <c r="N936" s="88"/>
      <c r="O936" s="85" t="s">
        <v>179</v>
      </c>
      <c r="R936" s="88"/>
      <c r="S936" s="85" t="s">
        <v>179</v>
      </c>
    </row>
    <row r="937">
      <c r="N937" s="88"/>
      <c r="O937" s="85" t="s">
        <v>179</v>
      </c>
      <c r="R937" s="88"/>
      <c r="S937" s="85" t="s">
        <v>179</v>
      </c>
    </row>
    <row r="938">
      <c r="N938" s="88"/>
      <c r="O938" s="85" t="s">
        <v>179</v>
      </c>
      <c r="R938" s="88"/>
      <c r="S938" s="85" t="s">
        <v>179</v>
      </c>
    </row>
    <row r="939">
      <c r="N939" s="88"/>
      <c r="O939" s="85" t="s">
        <v>179</v>
      </c>
      <c r="R939" s="88"/>
      <c r="S939" s="85" t="s">
        <v>179</v>
      </c>
    </row>
    <row r="940">
      <c r="N940" s="88"/>
      <c r="O940" s="85" t="s">
        <v>179</v>
      </c>
      <c r="R940" s="88"/>
      <c r="S940" s="85" t="s">
        <v>179</v>
      </c>
    </row>
    <row r="941">
      <c r="N941" s="88"/>
      <c r="O941" s="85" t="s">
        <v>179</v>
      </c>
      <c r="R941" s="88"/>
      <c r="S941" s="85" t="s">
        <v>179</v>
      </c>
    </row>
    <row r="942">
      <c r="N942" s="88"/>
      <c r="O942" s="85" t="s">
        <v>179</v>
      </c>
      <c r="R942" s="88"/>
      <c r="S942" s="85" t="s">
        <v>179</v>
      </c>
    </row>
    <row r="943">
      <c r="N943" s="88"/>
      <c r="O943" s="85" t="s">
        <v>179</v>
      </c>
      <c r="R943" s="88"/>
      <c r="S943" s="85" t="s">
        <v>179</v>
      </c>
    </row>
    <row r="944">
      <c r="N944" s="88"/>
      <c r="O944" s="85" t="s">
        <v>179</v>
      </c>
      <c r="R944" s="88"/>
      <c r="S944" s="85" t="s">
        <v>179</v>
      </c>
    </row>
    <row r="945">
      <c r="N945" s="88"/>
      <c r="O945" s="85" t="s">
        <v>179</v>
      </c>
      <c r="R945" s="88"/>
      <c r="S945" s="85" t="s">
        <v>179</v>
      </c>
    </row>
    <row r="946">
      <c r="N946" s="88"/>
      <c r="O946" s="85" t="s">
        <v>179</v>
      </c>
      <c r="R946" s="88"/>
      <c r="S946" s="85" t="s">
        <v>179</v>
      </c>
    </row>
    <row r="947">
      <c r="N947" s="88"/>
      <c r="O947" s="85" t="s">
        <v>179</v>
      </c>
      <c r="R947" s="88"/>
      <c r="S947" s="85" t="s">
        <v>179</v>
      </c>
    </row>
    <row r="948">
      <c r="N948" s="88"/>
      <c r="O948" s="85" t="s">
        <v>179</v>
      </c>
      <c r="R948" s="88"/>
      <c r="S948" s="85" t="s">
        <v>179</v>
      </c>
    </row>
    <row r="949">
      <c r="N949" s="88"/>
      <c r="O949" s="85" t="s">
        <v>179</v>
      </c>
      <c r="R949" s="88"/>
      <c r="S949" s="85" t="s">
        <v>179</v>
      </c>
    </row>
    <row r="950">
      <c r="N950" s="88"/>
      <c r="O950" s="85" t="s">
        <v>179</v>
      </c>
      <c r="R950" s="88"/>
      <c r="S950" s="85" t="s">
        <v>179</v>
      </c>
    </row>
    <row r="951">
      <c r="N951" s="88"/>
      <c r="O951" s="85" t="s">
        <v>179</v>
      </c>
      <c r="R951" s="88"/>
      <c r="S951" s="85" t="s">
        <v>179</v>
      </c>
    </row>
    <row r="952">
      <c r="N952" s="88"/>
      <c r="O952" s="85" t="s">
        <v>179</v>
      </c>
      <c r="R952" s="88"/>
      <c r="S952" s="85" t="s">
        <v>179</v>
      </c>
    </row>
    <row r="953">
      <c r="N953" s="88"/>
      <c r="O953" s="85" t="s">
        <v>179</v>
      </c>
      <c r="R953" s="88"/>
      <c r="S953" s="85" t="s">
        <v>179</v>
      </c>
    </row>
    <row r="954">
      <c r="N954" s="88"/>
      <c r="O954" s="85" t="s">
        <v>179</v>
      </c>
      <c r="R954" s="88"/>
      <c r="S954" s="85" t="s">
        <v>179</v>
      </c>
    </row>
    <row r="955">
      <c r="N955" s="88"/>
      <c r="O955" s="85" t="s">
        <v>179</v>
      </c>
      <c r="R955" s="88"/>
      <c r="S955" s="85" t="s">
        <v>179</v>
      </c>
    </row>
    <row r="956">
      <c r="N956" s="88"/>
      <c r="O956" s="85" t="s">
        <v>179</v>
      </c>
      <c r="R956" s="88"/>
      <c r="S956" s="85" t="s">
        <v>179</v>
      </c>
    </row>
    <row r="957">
      <c r="N957" s="88"/>
      <c r="O957" s="85" t="s">
        <v>179</v>
      </c>
      <c r="R957" s="88"/>
      <c r="S957" s="85" t="s">
        <v>179</v>
      </c>
    </row>
    <row r="958">
      <c r="N958" s="88"/>
      <c r="O958" s="85" t="s">
        <v>179</v>
      </c>
      <c r="R958" s="88"/>
      <c r="S958" s="85" t="s">
        <v>179</v>
      </c>
    </row>
    <row r="959">
      <c r="N959" s="88"/>
      <c r="O959" s="85" t="s">
        <v>179</v>
      </c>
      <c r="R959" s="88"/>
      <c r="S959" s="85" t="s">
        <v>179</v>
      </c>
    </row>
    <row r="960">
      <c r="N960" s="88"/>
      <c r="O960" s="85" t="s">
        <v>179</v>
      </c>
      <c r="R960" s="88"/>
      <c r="S960" s="85" t="s">
        <v>179</v>
      </c>
    </row>
    <row r="961">
      <c r="N961" s="88"/>
      <c r="O961" s="85" t="s">
        <v>179</v>
      </c>
      <c r="R961" s="88"/>
      <c r="S961" s="85" t="s">
        <v>179</v>
      </c>
    </row>
    <row r="962">
      <c r="N962" s="88"/>
      <c r="O962" s="85" t="s">
        <v>179</v>
      </c>
      <c r="R962" s="88"/>
      <c r="S962" s="85" t="s">
        <v>179</v>
      </c>
    </row>
    <row r="963">
      <c r="N963" s="88"/>
      <c r="O963" s="85" t="s">
        <v>179</v>
      </c>
      <c r="R963" s="88"/>
      <c r="S963" s="85" t="s">
        <v>179</v>
      </c>
    </row>
    <row r="964">
      <c r="N964" s="88"/>
      <c r="O964" s="85" t="s">
        <v>179</v>
      </c>
      <c r="R964" s="88"/>
      <c r="S964" s="85" t="s">
        <v>179</v>
      </c>
    </row>
    <row r="965">
      <c r="N965" s="88"/>
      <c r="O965" s="85" t="s">
        <v>179</v>
      </c>
      <c r="R965" s="88"/>
      <c r="S965" s="85" t="s">
        <v>179</v>
      </c>
    </row>
    <row r="966">
      <c r="N966" s="88"/>
      <c r="O966" s="85" t="s">
        <v>179</v>
      </c>
      <c r="R966" s="88"/>
      <c r="S966" s="85" t="s">
        <v>179</v>
      </c>
    </row>
    <row r="967">
      <c r="N967" s="88"/>
      <c r="O967" s="85" t="s">
        <v>179</v>
      </c>
      <c r="R967" s="88"/>
      <c r="S967" s="85" t="s">
        <v>179</v>
      </c>
    </row>
    <row r="968">
      <c r="N968" s="88"/>
      <c r="O968" s="85" t="s">
        <v>179</v>
      </c>
      <c r="R968" s="88"/>
      <c r="S968" s="85" t="s">
        <v>179</v>
      </c>
    </row>
    <row r="969">
      <c r="N969" s="88"/>
      <c r="O969" s="85" t="s">
        <v>179</v>
      </c>
      <c r="R969" s="88"/>
      <c r="S969" s="85" t="s">
        <v>179</v>
      </c>
    </row>
    <row r="970">
      <c r="N970" s="88"/>
      <c r="O970" s="85" t="s">
        <v>179</v>
      </c>
      <c r="R970" s="88"/>
      <c r="S970" s="85" t="s">
        <v>179</v>
      </c>
    </row>
    <row r="971">
      <c r="N971" s="88"/>
      <c r="O971" s="85" t="s">
        <v>179</v>
      </c>
      <c r="R971" s="88"/>
      <c r="S971" s="85" t="s">
        <v>179</v>
      </c>
    </row>
    <row r="972">
      <c r="N972" s="88"/>
      <c r="O972" s="85" t="s">
        <v>179</v>
      </c>
      <c r="R972" s="88"/>
      <c r="S972" s="85" t="s">
        <v>179</v>
      </c>
    </row>
    <row r="973">
      <c r="N973" s="88"/>
      <c r="O973" s="85" t="s">
        <v>179</v>
      </c>
      <c r="R973" s="88"/>
      <c r="S973" s="85" t="s">
        <v>179</v>
      </c>
    </row>
    <row r="974">
      <c r="N974" s="88"/>
      <c r="O974" s="85" t="s">
        <v>179</v>
      </c>
      <c r="R974" s="88"/>
      <c r="S974" s="85" t="s">
        <v>179</v>
      </c>
    </row>
    <row r="975">
      <c r="N975" s="88"/>
      <c r="O975" s="85" t="s">
        <v>179</v>
      </c>
      <c r="R975" s="88"/>
      <c r="S975" s="85" t="s">
        <v>179</v>
      </c>
    </row>
    <row r="976">
      <c r="N976" s="88"/>
      <c r="O976" s="85" t="s">
        <v>179</v>
      </c>
      <c r="R976" s="88"/>
      <c r="S976" s="85" t="s">
        <v>179</v>
      </c>
    </row>
    <row r="977">
      <c r="N977" s="88"/>
      <c r="O977" s="85" t="s">
        <v>179</v>
      </c>
      <c r="R977" s="88"/>
      <c r="S977" s="85" t="s">
        <v>179</v>
      </c>
    </row>
    <row r="978">
      <c r="N978" s="88"/>
      <c r="O978" s="85" t="s">
        <v>179</v>
      </c>
      <c r="R978" s="88"/>
      <c r="S978" s="85" t="s">
        <v>179</v>
      </c>
    </row>
    <row r="979">
      <c r="N979" s="88"/>
      <c r="O979" s="85" t="s">
        <v>179</v>
      </c>
      <c r="R979" s="88"/>
      <c r="S979" s="85" t="s">
        <v>179</v>
      </c>
    </row>
    <row r="980">
      <c r="N980" s="88"/>
      <c r="O980" s="85" t="s">
        <v>179</v>
      </c>
      <c r="R980" s="88"/>
      <c r="S980" s="85" t="s">
        <v>179</v>
      </c>
    </row>
    <row r="981">
      <c r="N981" s="88"/>
      <c r="O981" s="85" t="s">
        <v>179</v>
      </c>
      <c r="R981" s="88"/>
      <c r="S981" s="85" t="s">
        <v>179</v>
      </c>
    </row>
    <row r="982">
      <c r="N982" s="88"/>
      <c r="O982" s="85" t="s">
        <v>179</v>
      </c>
      <c r="R982" s="88"/>
      <c r="S982" s="85" t="s">
        <v>179</v>
      </c>
    </row>
    <row r="983">
      <c r="N983" s="88"/>
      <c r="O983" s="85" t="s">
        <v>179</v>
      </c>
      <c r="R983" s="88"/>
      <c r="S983" s="85" t="s">
        <v>179</v>
      </c>
    </row>
    <row r="984">
      <c r="N984" s="88"/>
      <c r="O984" s="85" t="s">
        <v>179</v>
      </c>
      <c r="R984" s="88"/>
      <c r="S984" s="85" t="s">
        <v>179</v>
      </c>
    </row>
    <row r="985">
      <c r="N985" s="88"/>
      <c r="O985" s="85" t="s">
        <v>179</v>
      </c>
      <c r="R985" s="88"/>
      <c r="S985" s="85" t="s">
        <v>179</v>
      </c>
    </row>
    <row r="986">
      <c r="N986" s="88"/>
      <c r="O986" s="85" t="s">
        <v>179</v>
      </c>
      <c r="R986" s="88"/>
      <c r="S986" s="85" t="s">
        <v>179</v>
      </c>
    </row>
    <row r="987">
      <c r="N987" s="88"/>
      <c r="O987" s="85" t="s">
        <v>179</v>
      </c>
      <c r="R987" s="88"/>
      <c r="S987" s="85" t="s">
        <v>179</v>
      </c>
    </row>
    <row r="988">
      <c r="N988" s="88"/>
      <c r="O988" s="85" t="s">
        <v>179</v>
      </c>
      <c r="R988" s="88"/>
      <c r="S988" s="85" t="s">
        <v>179</v>
      </c>
    </row>
    <row r="989">
      <c r="N989" s="88"/>
      <c r="O989" s="85" t="s">
        <v>179</v>
      </c>
      <c r="R989" s="88"/>
      <c r="S989" s="85" t="s">
        <v>179</v>
      </c>
    </row>
    <row r="990">
      <c r="N990" s="88"/>
      <c r="O990" s="85" t="s">
        <v>179</v>
      </c>
      <c r="R990" s="88"/>
      <c r="S990" s="85" t="s">
        <v>179</v>
      </c>
    </row>
    <row r="991">
      <c r="N991" s="88"/>
      <c r="O991" s="85" t="s">
        <v>179</v>
      </c>
      <c r="R991" s="88"/>
      <c r="S991" s="85" t="s">
        <v>179</v>
      </c>
    </row>
    <row r="992">
      <c r="N992" s="88"/>
      <c r="O992" s="85" t="s">
        <v>179</v>
      </c>
      <c r="R992" s="88"/>
      <c r="S992" s="85" t="s">
        <v>179</v>
      </c>
    </row>
    <row r="993">
      <c r="N993" s="88"/>
      <c r="O993" s="85" t="s">
        <v>179</v>
      </c>
      <c r="R993" s="88"/>
      <c r="S993" s="85" t="s">
        <v>179</v>
      </c>
    </row>
    <row r="994">
      <c r="N994" s="88"/>
      <c r="O994" s="85" t="s">
        <v>179</v>
      </c>
      <c r="R994" s="88"/>
      <c r="S994" s="85" t="s">
        <v>179</v>
      </c>
    </row>
    <row r="995">
      <c r="N995" s="88"/>
      <c r="O995" s="85" t="s">
        <v>179</v>
      </c>
      <c r="R995" s="88"/>
      <c r="S995" s="85" t="s">
        <v>179</v>
      </c>
    </row>
    <row r="996">
      <c r="N996" s="88"/>
      <c r="O996" s="85" t="s">
        <v>179</v>
      </c>
      <c r="R996" s="88"/>
      <c r="S996" s="85" t="s">
        <v>179</v>
      </c>
    </row>
    <row r="997">
      <c r="N997" s="88"/>
      <c r="O997" s="85" t="s">
        <v>179</v>
      </c>
      <c r="R997" s="88"/>
      <c r="S997" s="85" t="s">
        <v>179</v>
      </c>
    </row>
    <row r="998">
      <c r="N998" s="88"/>
      <c r="O998" s="85" t="s">
        <v>179</v>
      </c>
      <c r="R998" s="88"/>
      <c r="S998" s="85" t="s">
        <v>179</v>
      </c>
    </row>
    <row r="999">
      <c r="N999" s="88"/>
      <c r="O999" s="85" t="s">
        <v>179</v>
      </c>
      <c r="R999" s="88"/>
      <c r="S999" s="85" t="s">
        <v>179</v>
      </c>
    </row>
    <row r="1000">
      <c r="N1000" s="88"/>
      <c r="O1000" s="85" t="s">
        <v>179</v>
      </c>
      <c r="R1000" s="88"/>
      <c r="S1000" s="85" t="s">
        <v>179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5.63"/>
    <col customWidth="1" min="3" max="3" width="66.13"/>
    <col customWidth="1" min="4" max="4" width="4.63"/>
    <col customWidth="1" min="5" max="5" width="14.13"/>
    <col customWidth="1" min="6" max="6" width="47.63"/>
    <col customWidth="1" min="7" max="7" width="29.88"/>
    <col customWidth="1" min="8" max="8" width="66.38"/>
    <col customWidth="1" min="9" max="9" width="6.88"/>
    <col customWidth="1" min="10" max="10" width="9.38"/>
    <col customWidth="1" min="11" max="11" width="9.13"/>
    <col customWidth="1" min="12" max="12" width="9.38"/>
    <col customWidth="1" min="13" max="13" width="8.5"/>
    <col customWidth="1" min="14" max="14" width="10.5"/>
    <col customWidth="1" min="15" max="15" width="15.63"/>
    <col customWidth="1" min="16" max="16" width="16.13"/>
    <col customWidth="1" min="17" max="17" width="18.75"/>
    <col customWidth="1" min="18" max="18" width="13.63"/>
    <col customWidth="1" min="19" max="19" width="9.63"/>
    <col customWidth="1" min="20" max="20" width="28.63"/>
    <col customWidth="1" min="21" max="21" width="13.5"/>
    <col customWidth="1" min="22" max="22" width="22.63"/>
    <col customWidth="1" min="23" max="23" width="25.38"/>
    <col customWidth="1" min="24" max="24" width="16.63"/>
    <col customWidth="1" min="25" max="25" width="17.0"/>
    <col customWidth="1" min="26" max="26" width="66.38"/>
    <col customWidth="1" min="27" max="27" width="14.75"/>
    <col customWidth="1" min="28" max="28" width="16.25"/>
    <col customWidth="1" min="29" max="29" width="66.13"/>
    <col customWidth="1" min="30" max="30" width="14.13"/>
    <col customWidth="1" min="31" max="31" width="29.88"/>
    <col customWidth="1" min="32" max="36" width="20.0"/>
    <col customWidth="1" min="37" max="37" width="66.13"/>
    <col customWidth="1" min="38" max="40" width="20.0"/>
    <col customWidth="1" min="41" max="41" width="25.75"/>
    <col customWidth="1" min="42" max="66" width="20.0"/>
  </cols>
  <sheetData>
    <row r="1">
      <c r="A1" s="1" t="s">
        <v>81</v>
      </c>
      <c r="B1" s="1" t="s">
        <v>231</v>
      </c>
      <c r="C1" s="1" t="s">
        <v>232</v>
      </c>
      <c r="D1" s="1" t="s">
        <v>233</v>
      </c>
      <c r="E1" s="1" t="s">
        <v>234</v>
      </c>
      <c r="F1" s="1" t="s">
        <v>73</v>
      </c>
      <c r="G1" s="1" t="s">
        <v>20</v>
      </c>
      <c r="H1" s="1" t="s">
        <v>12</v>
      </c>
      <c r="I1" s="1" t="s">
        <v>235</v>
      </c>
      <c r="J1" s="1" t="s">
        <v>69</v>
      </c>
      <c r="K1" s="1" t="s">
        <v>15</v>
      </c>
      <c r="L1" s="1" t="s">
        <v>71</v>
      </c>
      <c r="M1" s="1" t="s">
        <v>17</v>
      </c>
      <c r="N1" s="1" t="s">
        <v>236</v>
      </c>
      <c r="O1" s="1" t="s">
        <v>237</v>
      </c>
      <c r="P1" s="1" t="s">
        <v>239</v>
      </c>
      <c r="Q1" s="1" t="s">
        <v>240</v>
      </c>
      <c r="R1" s="59" t="s">
        <v>241</v>
      </c>
      <c r="S1" s="60" t="s">
        <v>242</v>
      </c>
      <c r="T1" s="1" t="s">
        <v>243</v>
      </c>
      <c r="U1" s="1" t="s">
        <v>244</v>
      </c>
      <c r="V1" s="1" t="s">
        <v>245</v>
      </c>
      <c r="W1" s="1" t="s">
        <v>246</v>
      </c>
      <c r="X1" s="1" t="s">
        <v>247</v>
      </c>
      <c r="Y1" s="1" t="s">
        <v>248</v>
      </c>
      <c r="Z1" s="1" t="s">
        <v>249</v>
      </c>
      <c r="AA1" s="1" t="s">
        <v>250</v>
      </c>
      <c r="AB1" s="60" t="s">
        <v>251</v>
      </c>
      <c r="AC1" s="1" t="s">
        <v>252</v>
      </c>
      <c r="AD1" s="1" t="s">
        <v>253</v>
      </c>
      <c r="AE1" s="1" t="s">
        <v>254</v>
      </c>
      <c r="AF1" s="1" t="s">
        <v>255</v>
      </c>
      <c r="AG1" s="1"/>
      <c r="AH1" s="1" t="s">
        <v>256</v>
      </c>
      <c r="AI1" s="1" t="s">
        <v>245</v>
      </c>
      <c r="AJ1" s="1"/>
      <c r="AK1" s="1" t="s">
        <v>257</v>
      </c>
      <c r="AL1" s="1"/>
      <c r="AM1" s="1"/>
      <c r="AN1" s="1" t="s">
        <v>258</v>
      </c>
      <c r="AO1" s="1" t="s">
        <v>259</v>
      </c>
      <c r="AP1" s="61" t="s">
        <v>1</v>
      </c>
      <c r="AQ1" s="1" t="s">
        <v>5</v>
      </c>
      <c r="AR1" s="1" t="s">
        <v>8</v>
      </c>
      <c r="AS1" s="1" t="s">
        <v>11</v>
      </c>
      <c r="AT1" s="1" t="s">
        <v>13</v>
      </c>
      <c r="AU1" s="1" t="s">
        <v>14</v>
      </c>
      <c r="AV1" s="1" t="s">
        <v>15</v>
      </c>
      <c r="AW1" s="1" t="s">
        <v>17</v>
      </c>
      <c r="AX1" s="1" t="s">
        <v>260</v>
      </c>
      <c r="AY1" s="1" t="s">
        <v>22</v>
      </c>
      <c r="AZ1" s="1" t="s">
        <v>25</v>
      </c>
      <c r="BA1" s="1" t="s">
        <v>26</v>
      </c>
      <c r="BB1" s="1" t="s">
        <v>28</v>
      </c>
      <c r="BC1" s="1" t="s">
        <v>12</v>
      </c>
      <c r="BD1" s="1" t="s">
        <v>34</v>
      </c>
      <c r="BE1" s="1" t="s">
        <v>37</v>
      </c>
      <c r="BF1" s="1" t="s">
        <v>41</v>
      </c>
      <c r="BG1" s="1"/>
      <c r="BH1" s="1"/>
      <c r="BI1" s="1"/>
      <c r="BJ1" s="1"/>
      <c r="BK1" s="1"/>
      <c r="BL1" s="1"/>
      <c r="BM1" s="1"/>
      <c r="BN1" s="1"/>
    </row>
    <row r="2">
      <c r="A2" s="62" t="s">
        <v>262</v>
      </c>
      <c r="B2" s="63"/>
      <c r="C2" s="62" t="s">
        <v>153</v>
      </c>
      <c r="D2" s="63"/>
      <c r="E2" s="62" t="s">
        <v>263</v>
      </c>
      <c r="F2" s="62" t="s">
        <v>60</v>
      </c>
      <c r="G2" s="63"/>
      <c r="H2" s="62" t="s">
        <v>151</v>
      </c>
      <c r="I2" s="63"/>
      <c r="J2" s="64">
        <v>46053.0</v>
      </c>
      <c r="K2" s="65">
        <v>0.875</v>
      </c>
      <c r="L2" s="64">
        <v>46054.0</v>
      </c>
      <c r="M2" s="65">
        <v>0.9166666666666666</v>
      </c>
      <c r="N2" s="65">
        <v>1.0416666666666667</v>
      </c>
      <c r="O2" s="66">
        <v>25.0</v>
      </c>
      <c r="R2" s="67"/>
      <c r="S2" s="68">
        <f t="array" ref="S2:S238">IF(J2:J238="","",J2:J238)</f>
        <v>46053</v>
      </c>
      <c r="T2" s="38" t="str">
        <f>IFERROR(__xludf.DUMMYFUNCTION("ARRAYFORMULA(
IF(E2:E238="""","""",
IFNA(
  TRIM(REGEXEXTRACT(H2:H238,""\(Event\)\s*([^,]+)"")),
  IF(
    V2:V238="""",
    """",
    IF(V2:V238=""CASWJ"",""General / No Specific Project"",""General - ""&amp;V2:V238)
  )
)))"),"General - West Jordan Symphony")</f>
        <v>General - West Jordan Symphony</v>
      </c>
      <c r="U2" s="38" t="str">
        <f t="array" ref="U2:U238">IF(E2:E238="","",
TRIM(CLEAN(IFNA(VLOOKUP(E2:E238,$AD$2:$AF1000,3,FALSE),"")))
)</f>
        <v>Diana Larsen</v>
      </c>
      <c r="V2" s="38" t="str">
        <f t="array" ref="V2:V238">IF(E2:E238="","",
IF(
  F2:F238&lt;&gt;"",
  IFNA(VLOOKUP(F2:F238,$AH$2:$AI1000,2,FALSE),""),
  SWITCH(
    E2:E238,
    "Anna Nelson","Visual Arts Society",
    "becca.henrie","West Jordan Youth Theatre",
    "Jen.crabb","Sugar Factory Playhouse",
    "jkimball","CASWJ",
    "Marche","West Jordan Symphony",
    ""
  )
))</f>
        <v>West Jordan Symphony</v>
      </c>
      <c r="W2" s="38" t="str">
        <f>IFERROR(__xludf.DUMMYFUNCTION("ARRAYFORMULA(
IF(H2:H238="""","""",
IFNA(TRIM(REGEXEXTRACT(H2:H238,""\(Type\)\s*([^,]+)"")),"""")
))"),"Committee Member Hours")</f>
        <v>Committee Member Hours</v>
      </c>
      <c r="X2" s="38" t="str">
        <f t="array" ref="X2:X238">IF(S2:S238="","","Total Hours")</f>
        <v>Total Hours</v>
      </c>
      <c r="Y2" s="38">
        <f t="array" ref="Y2:Y238">IF(O2:O238="","",O2:O238)</f>
        <v>25</v>
      </c>
      <c r="Z2" s="38" t="str">
        <f t="array" ref="Z2:Z238">IF(H2:H238="","",H2:H238)</f>
        <v>(Org) West Jordan Symphony, (Type) Committee Member Hours</v>
      </c>
      <c r="AA2" s="38" t="str">
        <f t="array" ref="AA2:AA238">IF(S2:S238="","","Clockify Import")</f>
        <v>Clockify Import</v>
      </c>
      <c r="AB2" s="68">
        <f t="array" ref="AB2:AB238">IF(S2:S238="","",S2:S238)</f>
        <v>46053</v>
      </c>
      <c r="AC2" s="38" t="str">
        <f t="array" ref="AC2:AC238">IF(C2:C238="","",C2:C238)</f>
        <v>Trevor McFarland - Director/January</v>
      </c>
      <c r="AD2" s="38" t="str">
        <f>IFERROR(__xludf.DUMMYFUNCTION("UNIQUE(FILTER({E2:E1000,G2:G1000},E2:E1000&lt;&gt;""""))"),"diana")</f>
        <v>diana</v>
      </c>
      <c r="AE2" s="38"/>
      <c r="AF2" s="16" t="s">
        <v>170</v>
      </c>
      <c r="AG2" s="16"/>
      <c r="AH2" s="16" t="s">
        <v>60</v>
      </c>
      <c r="AI2" s="16" t="s">
        <v>60</v>
      </c>
      <c r="AJ2" s="16"/>
      <c r="AK2" s="16" t="str">
        <f>IFERROR(__xludf.DUMMYFUNCTION("SORT(UNIQUE(FILTER(C2:C1000,C2:C1000&lt;&gt;"""")))"),"(Without Description)")</f>
        <v>(Without Description)</v>
      </c>
      <c r="AL2" s="16"/>
      <c r="AM2" s="16"/>
      <c r="AN2" s="16"/>
      <c r="AO2" s="16" t="str">
        <f>IFERROR(__xludf.DUMMYFUNCTION("SORT(UNIQUE(TRIM(TOCOL(SPLIT(TEXTJOIN("","",TRUE,FILTER(H2:H1000,H2:H1000&lt;&gt;"""")),"",""),1))))"),"(Event) Art in the Park 2026")</f>
        <v>(Event) Art in the Park 2026</v>
      </c>
      <c r="AP2" s="69">
        <f t="array" ref="AP2:BF238">{
S2:S238,
T2:T238,
U2:U238,
V2:V238,
W2:W238,
X2:X238,
K2:K238,
M2:M238,
Y2:Y238,
IF(S2:S238&lt;&gt;"","",""),
IF(S2:S238&lt;&gt;"","",""),
IF(S2:S238&lt;&gt;"","",""),
IF(S2:S238&lt;&gt;"","",""),
Z2:Z238,
AA2:AA238,
AB2:AB238,
AC2:AC238
}</f>
        <v>46053</v>
      </c>
      <c r="AQ2" s="16" t="s">
        <v>64</v>
      </c>
      <c r="AR2" s="16" t="s">
        <v>170</v>
      </c>
      <c r="AS2" s="16" t="s">
        <v>60</v>
      </c>
      <c r="AT2" s="16" t="s">
        <v>42</v>
      </c>
      <c r="AU2" s="16" t="s">
        <v>44</v>
      </c>
      <c r="AV2" s="70">
        <v>0.875</v>
      </c>
      <c r="AW2" s="70">
        <v>0.9166666666666666</v>
      </c>
      <c r="AX2" s="16">
        <v>25.0</v>
      </c>
      <c r="AY2" s="16" t="s">
        <v>179</v>
      </c>
      <c r="AZ2" s="16" t="s">
        <v>179</v>
      </c>
      <c r="BA2" s="16" t="s">
        <v>179</v>
      </c>
      <c r="BB2" s="16" t="s">
        <v>179</v>
      </c>
      <c r="BC2" s="16" t="s">
        <v>151</v>
      </c>
      <c r="BD2" s="16" t="s">
        <v>152</v>
      </c>
      <c r="BE2" s="71">
        <v>46053.0</v>
      </c>
      <c r="BF2" s="16" t="s">
        <v>153</v>
      </c>
      <c r="BG2" s="16"/>
      <c r="BH2" s="16"/>
      <c r="BI2" s="16"/>
      <c r="BJ2" s="16"/>
      <c r="BK2" s="16"/>
      <c r="BL2" s="16"/>
      <c r="BM2" s="16"/>
      <c r="BN2" s="16"/>
    </row>
    <row r="3">
      <c r="A3" s="62" t="s">
        <v>262</v>
      </c>
      <c r="B3" s="63"/>
      <c r="C3" s="62" t="s">
        <v>161</v>
      </c>
      <c r="D3" s="63"/>
      <c r="E3" s="62" t="s">
        <v>263</v>
      </c>
      <c r="F3" s="62" t="s">
        <v>60</v>
      </c>
      <c r="G3" s="63"/>
      <c r="H3" s="62" t="s">
        <v>151</v>
      </c>
      <c r="I3" s="63"/>
      <c r="J3" s="64">
        <v>46053.0</v>
      </c>
      <c r="K3" s="65">
        <v>0.875</v>
      </c>
      <c r="L3" s="64">
        <v>46054.0</v>
      </c>
      <c r="M3" s="65">
        <v>0.9166666666666666</v>
      </c>
      <c r="N3" s="65">
        <v>1.0416666666666667</v>
      </c>
      <c r="O3" s="66">
        <v>25.0</v>
      </c>
      <c r="R3" s="67"/>
      <c r="S3" s="68">
        <v>46053.0</v>
      </c>
      <c r="T3" s="38" t="str">
        <f>IFERROR(__xludf.DUMMYFUNCTION("""COMPUTED_VALUE"""),"General - West Jordan Symphony")</f>
        <v>General - West Jordan Symphony</v>
      </c>
      <c r="U3" s="38" t="s">
        <v>170</v>
      </c>
      <c r="V3" s="38" t="s">
        <v>60</v>
      </c>
      <c r="W3" s="38" t="str">
        <f>IFERROR(__xludf.DUMMYFUNCTION("""COMPUTED_VALUE"""),"Committee Member Hours")</f>
        <v>Committee Member Hours</v>
      </c>
      <c r="X3" s="38" t="s">
        <v>44</v>
      </c>
      <c r="Y3" s="38">
        <v>25.0</v>
      </c>
      <c r="Z3" s="38" t="s">
        <v>151</v>
      </c>
      <c r="AA3" s="38" t="s">
        <v>152</v>
      </c>
      <c r="AB3" s="68">
        <v>46053.0</v>
      </c>
      <c r="AC3" s="38" t="s">
        <v>161</v>
      </c>
      <c r="AD3" s="38" t="str">
        <f>IFERROR(__xludf.DUMMYFUNCTION("""COMPUTED_VALUE"""),"Alex.moffitt")</f>
        <v>Alex.moffitt</v>
      </c>
      <c r="AE3" s="38"/>
      <c r="AF3" s="16" t="s">
        <v>165</v>
      </c>
      <c r="AG3" s="16"/>
      <c r="AH3" s="16" t="s">
        <v>65</v>
      </c>
      <c r="AI3" s="16" t="s">
        <v>65</v>
      </c>
      <c r="AJ3" s="16"/>
      <c r="AK3" s="16" t="str">
        <f>IFERROR(__xludf.DUMMYFUNCTION("""COMPUTED_VALUE"""),"Art in the park")</f>
        <v>Art in the park</v>
      </c>
      <c r="AL3" s="16"/>
      <c r="AM3" s="16"/>
      <c r="AN3" s="16"/>
      <c r="AO3" s="16" t="str">
        <f>IFERROR(__xludf.DUMMYFUNCTION("""COMPUTED_VALUE"""),"(Org) CASWJ Board")</f>
        <v>(Org) CASWJ Board</v>
      </c>
      <c r="AP3" s="69">
        <v>46053.0</v>
      </c>
      <c r="AQ3" s="16" t="s">
        <v>64</v>
      </c>
      <c r="AR3" s="16" t="s">
        <v>170</v>
      </c>
      <c r="AS3" s="16" t="s">
        <v>60</v>
      </c>
      <c r="AT3" s="16" t="s">
        <v>42</v>
      </c>
      <c r="AU3" s="16" t="s">
        <v>44</v>
      </c>
      <c r="AV3" s="70">
        <v>0.875</v>
      </c>
      <c r="AW3" s="70">
        <v>0.9166666666666666</v>
      </c>
      <c r="AX3" s="16">
        <v>25.0</v>
      </c>
      <c r="AY3" s="16" t="s">
        <v>179</v>
      </c>
      <c r="AZ3" s="16" t="s">
        <v>179</v>
      </c>
      <c r="BA3" s="16" t="s">
        <v>179</v>
      </c>
      <c r="BB3" s="16" t="s">
        <v>179</v>
      </c>
      <c r="BC3" s="16" t="s">
        <v>151</v>
      </c>
      <c r="BD3" s="16" t="s">
        <v>152</v>
      </c>
      <c r="BE3" s="71">
        <v>46053.0</v>
      </c>
      <c r="BF3" s="16" t="s">
        <v>161</v>
      </c>
      <c r="BG3" s="16"/>
      <c r="BH3" s="16"/>
      <c r="BI3" s="16"/>
      <c r="BJ3" s="16"/>
      <c r="BK3" s="16"/>
      <c r="BL3" s="16"/>
      <c r="BM3" s="16"/>
      <c r="BN3" s="16"/>
    </row>
    <row r="4">
      <c r="A4" s="62" t="s">
        <v>262</v>
      </c>
      <c r="B4" s="63"/>
      <c r="C4" s="62" t="s">
        <v>169</v>
      </c>
      <c r="D4" s="63"/>
      <c r="E4" s="62" t="s">
        <v>269</v>
      </c>
      <c r="F4" s="62" t="s">
        <v>65</v>
      </c>
      <c r="G4" s="63"/>
      <c r="H4" s="62" t="s">
        <v>168</v>
      </c>
      <c r="I4" s="63"/>
      <c r="J4" s="64">
        <v>46053.0</v>
      </c>
      <c r="K4" s="65">
        <v>0.7590277777777777</v>
      </c>
      <c r="L4" s="64">
        <v>46084.0</v>
      </c>
      <c r="M4" s="65">
        <v>0.17569444444444443</v>
      </c>
      <c r="N4" s="65">
        <v>30.416666666666668</v>
      </c>
      <c r="O4" s="66">
        <v>730.0</v>
      </c>
      <c r="R4" s="67"/>
      <c r="S4" s="68">
        <v>46053.0</v>
      </c>
      <c r="T4" s="38" t="str">
        <f>IFERROR(__xludf.DUMMYFUNCTION("""COMPUTED_VALUE"""),"General - West Jordan Youth Theatre")</f>
        <v>General - West Jordan Youth Theatre</v>
      </c>
      <c r="U4" s="38" t="s">
        <v>165</v>
      </c>
      <c r="V4" s="38" t="s">
        <v>65</v>
      </c>
      <c r="W4" s="38" t="str">
        <f>IFERROR(__xludf.DUMMYFUNCTION("""COMPUTED_VALUE"""),"")</f>
        <v/>
      </c>
      <c r="X4" s="38" t="s">
        <v>44</v>
      </c>
      <c r="Y4" s="38">
        <v>730.0</v>
      </c>
      <c r="Z4" s="38" t="s">
        <v>168</v>
      </c>
      <c r="AA4" s="38" t="s">
        <v>152</v>
      </c>
      <c r="AB4" s="68">
        <v>46053.0</v>
      </c>
      <c r="AC4" s="38" t="s">
        <v>169</v>
      </c>
      <c r="AD4" s="38" t="str">
        <f>IFERROR(__xludf.DUMMYFUNCTION("""COMPUTED_VALUE"""),"brianna.thaxton")</f>
        <v>brianna.thaxton</v>
      </c>
      <c r="AE4" s="38"/>
      <c r="AF4" s="16" t="s">
        <v>175</v>
      </c>
      <c r="AG4" s="16"/>
      <c r="AH4" s="16" t="s">
        <v>53</v>
      </c>
      <c r="AI4" s="16" t="s">
        <v>53</v>
      </c>
      <c r="AJ4" s="16"/>
      <c r="AK4" s="16" t="str">
        <f>IFERROR(__xludf.DUMMYFUNCTION("""COMPUTED_VALUE"""),"Art in the Park")</f>
        <v>Art in the Park</v>
      </c>
      <c r="AL4" s="16"/>
      <c r="AM4" s="16"/>
      <c r="AN4" s="16"/>
      <c r="AO4" s="16" t="str">
        <f>IFERROR(__xludf.DUMMYFUNCTION("""COMPUTED_VALUE"""),"(Org) Sugar Factory Playhouse")</f>
        <v>(Org) Sugar Factory Playhouse</v>
      </c>
      <c r="AP4" s="69">
        <v>46053.0</v>
      </c>
      <c r="AQ4" s="16" t="s">
        <v>164</v>
      </c>
      <c r="AR4" s="16" t="s">
        <v>165</v>
      </c>
      <c r="AS4" s="16" t="s">
        <v>65</v>
      </c>
      <c r="AT4" s="16" t="s">
        <v>179</v>
      </c>
      <c r="AU4" s="16" t="s">
        <v>44</v>
      </c>
      <c r="AV4" s="70">
        <v>0.7590277777777777</v>
      </c>
      <c r="AW4" s="70">
        <v>0.17569444444444443</v>
      </c>
      <c r="AX4" s="16">
        <v>730.0</v>
      </c>
      <c r="AY4" s="16" t="s">
        <v>179</v>
      </c>
      <c r="AZ4" s="16" t="s">
        <v>179</v>
      </c>
      <c r="BA4" s="16" t="s">
        <v>179</v>
      </c>
      <c r="BB4" s="16" t="s">
        <v>179</v>
      </c>
      <c r="BC4" s="16" t="s">
        <v>168</v>
      </c>
      <c r="BD4" s="16" t="s">
        <v>152</v>
      </c>
      <c r="BE4" s="71">
        <v>46053.0</v>
      </c>
      <c r="BF4" s="16" t="s">
        <v>169</v>
      </c>
      <c r="BG4" s="16"/>
      <c r="BH4" s="16"/>
      <c r="BI4" s="16"/>
      <c r="BJ4" s="16"/>
      <c r="BK4" s="16"/>
      <c r="BL4" s="16"/>
      <c r="BM4" s="16"/>
      <c r="BN4" s="16"/>
    </row>
    <row r="5">
      <c r="A5" s="62" t="s">
        <v>262</v>
      </c>
      <c r="B5" s="63"/>
      <c r="C5" s="62" t="s">
        <v>171</v>
      </c>
      <c r="D5" s="63"/>
      <c r="E5" s="62" t="s">
        <v>263</v>
      </c>
      <c r="F5" s="62" t="s">
        <v>60</v>
      </c>
      <c r="G5" s="63"/>
      <c r="H5" s="62" t="s">
        <v>151</v>
      </c>
      <c r="I5" s="63"/>
      <c r="J5" s="64">
        <v>46053.0</v>
      </c>
      <c r="K5" s="65">
        <v>0.375</v>
      </c>
      <c r="L5" s="64">
        <v>46054.0</v>
      </c>
      <c r="M5" s="65">
        <v>0.4166666666666667</v>
      </c>
      <c r="N5" s="65">
        <v>1.0416666666666667</v>
      </c>
      <c r="O5" s="66">
        <v>25.0</v>
      </c>
      <c r="R5" s="67"/>
      <c r="S5" s="68">
        <v>46053.0</v>
      </c>
      <c r="T5" s="38" t="str">
        <f>IFERROR(__xludf.DUMMYFUNCTION("""COMPUTED_VALUE"""),"General - West Jordan Symphony")</f>
        <v>General - West Jordan Symphony</v>
      </c>
      <c r="U5" s="38" t="s">
        <v>170</v>
      </c>
      <c r="V5" s="38" t="s">
        <v>60</v>
      </c>
      <c r="W5" s="38" t="str">
        <f>IFERROR(__xludf.DUMMYFUNCTION("""COMPUTED_VALUE"""),"Committee Member Hours")</f>
        <v>Committee Member Hours</v>
      </c>
      <c r="X5" s="38" t="s">
        <v>44</v>
      </c>
      <c r="Y5" s="38">
        <v>25.0</v>
      </c>
      <c r="Z5" s="38" t="s">
        <v>151</v>
      </c>
      <c r="AA5" s="38" t="s">
        <v>152</v>
      </c>
      <c r="AB5" s="68">
        <v>46053.0</v>
      </c>
      <c r="AC5" s="38" t="s">
        <v>171</v>
      </c>
      <c r="AD5" s="38" t="str">
        <f>IFERROR(__xludf.DUMMYFUNCTION("""COMPUTED_VALUE"""),"Anna Nelson")</f>
        <v>Anna Nelson</v>
      </c>
      <c r="AE5" s="38"/>
      <c r="AF5" s="16" t="s">
        <v>186</v>
      </c>
      <c r="AG5" s="16"/>
      <c r="AH5" s="16" t="s">
        <v>270</v>
      </c>
      <c r="AI5" s="16" t="s">
        <v>33</v>
      </c>
      <c r="AJ5" s="16"/>
      <c r="AK5" s="16" t="str">
        <f>IFERROR(__xludf.DUMMYFUNCTION("""COMPUTED_VALUE"""),"Art in the Park SFP")</f>
        <v>Art in the Park SFP</v>
      </c>
      <c r="AL5" s="16"/>
      <c r="AM5" s="16"/>
      <c r="AN5" s="16"/>
      <c r="AO5" s="16" t="str">
        <f>IFERROR(__xludf.DUMMYFUNCTION("""COMPUTED_VALUE"""),"(Org) Visual Arts Society")</f>
        <v>(Org) Visual Arts Society</v>
      </c>
      <c r="AP5" s="69">
        <v>46053.0</v>
      </c>
      <c r="AQ5" s="16" t="s">
        <v>64</v>
      </c>
      <c r="AR5" s="16" t="s">
        <v>170</v>
      </c>
      <c r="AS5" s="16" t="s">
        <v>60</v>
      </c>
      <c r="AT5" s="16" t="s">
        <v>42</v>
      </c>
      <c r="AU5" s="16" t="s">
        <v>44</v>
      </c>
      <c r="AV5" s="70">
        <v>0.375</v>
      </c>
      <c r="AW5" s="70">
        <v>0.4166666666666667</v>
      </c>
      <c r="AX5" s="16">
        <v>25.0</v>
      </c>
      <c r="AY5" s="16" t="s">
        <v>179</v>
      </c>
      <c r="AZ5" s="16" t="s">
        <v>179</v>
      </c>
      <c r="BA5" s="16" t="s">
        <v>179</v>
      </c>
      <c r="BB5" s="16" t="s">
        <v>179</v>
      </c>
      <c r="BC5" s="16" t="s">
        <v>151</v>
      </c>
      <c r="BD5" s="16" t="s">
        <v>152</v>
      </c>
      <c r="BE5" s="71">
        <v>46053.0</v>
      </c>
      <c r="BF5" s="16" t="s">
        <v>171</v>
      </c>
      <c r="BG5" s="16"/>
      <c r="BH5" s="16"/>
      <c r="BI5" s="16"/>
      <c r="BJ5" s="16"/>
      <c r="BK5" s="16"/>
      <c r="BL5" s="16"/>
      <c r="BM5" s="16"/>
      <c r="BN5" s="16"/>
    </row>
    <row r="6">
      <c r="A6" s="62" t="s">
        <v>262</v>
      </c>
      <c r="B6" s="63"/>
      <c r="C6" s="62" t="s">
        <v>173</v>
      </c>
      <c r="D6" s="63"/>
      <c r="E6" s="62" t="s">
        <v>263</v>
      </c>
      <c r="F6" s="62" t="s">
        <v>60</v>
      </c>
      <c r="G6" s="63"/>
      <c r="H6" s="62" t="s">
        <v>172</v>
      </c>
      <c r="I6" s="63"/>
      <c r="J6" s="64">
        <v>46053.0</v>
      </c>
      <c r="K6" s="65">
        <v>0.375</v>
      </c>
      <c r="L6" s="64">
        <v>46057.0</v>
      </c>
      <c r="M6" s="65">
        <v>0.8541666666666666</v>
      </c>
      <c r="N6" s="65">
        <v>4.479166666666667</v>
      </c>
      <c r="O6" s="66">
        <v>107.5</v>
      </c>
      <c r="R6" s="67"/>
      <c r="S6" s="68">
        <v>46053.0</v>
      </c>
      <c r="T6" s="38" t="str">
        <f>IFERROR(__xludf.DUMMYFUNCTION("""COMPUTED_VALUE"""),"General - West Jordan Symphony")</f>
        <v>General - West Jordan Symphony</v>
      </c>
      <c r="U6" s="38" t="s">
        <v>170</v>
      </c>
      <c r="V6" s="38" t="s">
        <v>60</v>
      </c>
      <c r="W6" s="38" t="str">
        <f>IFERROR(__xludf.DUMMYFUNCTION("""COMPUTED_VALUE"""),"Participant Hours")</f>
        <v>Participant Hours</v>
      </c>
      <c r="X6" s="38" t="s">
        <v>44</v>
      </c>
      <c r="Y6" s="38">
        <v>107.5</v>
      </c>
      <c r="Z6" s="38" t="s">
        <v>172</v>
      </c>
      <c r="AA6" s="38" t="s">
        <v>152</v>
      </c>
      <c r="AB6" s="68">
        <v>46053.0</v>
      </c>
      <c r="AC6" s="38" t="s">
        <v>173</v>
      </c>
      <c r="AD6" s="38" t="str">
        <f>IFERROR(__xludf.DUMMYFUNCTION("""COMPUTED_VALUE"""),"maya.collinwood")</f>
        <v>maya.collinwood</v>
      </c>
      <c r="AE6" s="38"/>
      <c r="AF6" s="16" t="s">
        <v>189</v>
      </c>
      <c r="AG6" s="16"/>
      <c r="AH6" s="16" t="s">
        <v>49</v>
      </c>
      <c r="AI6" s="16" t="s">
        <v>49</v>
      </c>
      <c r="AJ6" s="16"/>
      <c r="AK6" s="16" t="str">
        <f>IFERROR(__xludf.DUMMYFUNCTION("""COMPUTED_VALUE"""),"Art in the Park Volunteer")</f>
        <v>Art in the Park Volunteer</v>
      </c>
      <c r="AL6" s="16"/>
      <c r="AM6" s="16"/>
      <c r="AN6" s="16"/>
      <c r="AO6" s="16" t="str">
        <f>IFERROR(__xludf.DUMMYFUNCTION("""COMPUTED_VALUE"""),"(Org) West Jordan Symphony")</f>
        <v>(Org) West Jordan Symphony</v>
      </c>
      <c r="AP6" s="69">
        <v>46053.0</v>
      </c>
      <c r="AQ6" s="16" t="s">
        <v>64</v>
      </c>
      <c r="AR6" s="16" t="s">
        <v>170</v>
      </c>
      <c r="AS6" s="16" t="s">
        <v>60</v>
      </c>
      <c r="AT6" s="16" t="s">
        <v>48</v>
      </c>
      <c r="AU6" s="16" t="s">
        <v>44</v>
      </c>
      <c r="AV6" s="70">
        <v>0.375</v>
      </c>
      <c r="AW6" s="70">
        <v>0.8541666666666666</v>
      </c>
      <c r="AX6" s="16">
        <v>107.5</v>
      </c>
      <c r="AY6" s="16" t="s">
        <v>179</v>
      </c>
      <c r="AZ6" s="16" t="s">
        <v>179</v>
      </c>
      <c r="BA6" s="16" t="s">
        <v>179</v>
      </c>
      <c r="BB6" s="16" t="s">
        <v>179</v>
      </c>
      <c r="BC6" s="16" t="s">
        <v>172</v>
      </c>
      <c r="BD6" s="16" t="s">
        <v>152</v>
      </c>
      <c r="BE6" s="71">
        <v>46053.0</v>
      </c>
      <c r="BF6" s="16" t="s">
        <v>173</v>
      </c>
      <c r="BG6" s="16"/>
      <c r="BH6" s="16"/>
      <c r="BI6" s="16"/>
      <c r="BJ6" s="16"/>
      <c r="BK6" s="16"/>
      <c r="BL6" s="16"/>
      <c r="BM6" s="16"/>
      <c r="BN6" s="16"/>
    </row>
    <row r="7">
      <c r="A7" s="62" t="s">
        <v>262</v>
      </c>
      <c r="B7" s="63"/>
      <c r="C7" s="62" t="s">
        <v>177</v>
      </c>
      <c r="D7" s="63"/>
      <c r="E7" s="62" t="s">
        <v>271</v>
      </c>
      <c r="F7" s="62" t="s">
        <v>53</v>
      </c>
      <c r="G7" s="63"/>
      <c r="H7" s="62" t="s">
        <v>176</v>
      </c>
      <c r="I7" s="63"/>
      <c r="J7" s="64">
        <v>46050.0</v>
      </c>
      <c r="K7" s="65">
        <v>0.5416666666666666</v>
      </c>
      <c r="L7" s="64">
        <v>46050.0</v>
      </c>
      <c r="M7" s="65">
        <v>0.5868055555555556</v>
      </c>
      <c r="N7" s="65">
        <v>0.04513888888888889</v>
      </c>
      <c r="O7" s="66">
        <v>1.083333</v>
      </c>
      <c r="R7" s="67"/>
      <c r="S7" s="68">
        <v>46050.0</v>
      </c>
      <c r="T7" s="38" t="str">
        <f>IFERROR(__xludf.DUMMYFUNCTION("""COMPUTED_VALUE"""),"Art in the Park 2026")</f>
        <v>Art in the Park 2026</v>
      </c>
      <c r="U7" s="38" t="s">
        <v>175</v>
      </c>
      <c r="V7" s="38" t="s">
        <v>53</v>
      </c>
      <c r="W7" s="38" t="str">
        <f>IFERROR(__xludf.DUMMYFUNCTION("""COMPUTED_VALUE"""),"Committee Member Hours")</f>
        <v>Committee Member Hours</v>
      </c>
      <c r="X7" s="38" t="s">
        <v>44</v>
      </c>
      <c r="Y7" s="38">
        <v>1.083333</v>
      </c>
      <c r="Z7" s="38" t="s">
        <v>176</v>
      </c>
      <c r="AA7" s="38" t="s">
        <v>152</v>
      </c>
      <c r="AB7" s="68">
        <v>46050.0</v>
      </c>
      <c r="AC7" s="38" t="s">
        <v>177</v>
      </c>
      <c r="AD7" s="38" t="str">
        <f>IFERROR(__xludf.DUMMYFUNCTION("""COMPUTED_VALUE"""),"rocrowley")</f>
        <v>rocrowley</v>
      </c>
      <c r="AE7" s="38"/>
      <c r="AF7" s="16" t="s">
        <v>194</v>
      </c>
      <c r="AG7" s="16"/>
      <c r="AH7" s="16"/>
      <c r="AJ7" s="16"/>
      <c r="AK7" s="16" t="str">
        <f>IFERROR(__xludf.DUMMYFUNCTION("""COMPUTED_VALUE"""),"Art in the park volunteer form and flyer")</f>
        <v>Art in the park volunteer form and flyer</v>
      </c>
      <c r="AL7" s="16"/>
      <c r="AM7" s="16"/>
      <c r="AN7" s="16"/>
      <c r="AO7" s="16" t="str">
        <f>IFERROR(__xludf.DUMMYFUNCTION("""COMPUTED_VALUE"""),"(Org) West Jordan Youth Theatre")</f>
        <v>(Org) West Jordan Youth Theatre</v>
      </c>
      <c r="AP7" s="69">
        <v>46050.0</v>
      </c>
      <c r="AQ7" s="16" t="s">
        <v>174</v>
      </c>
      <c r="AR7" s="16" t="s">
        <v>175</v>
      </c>
      <c r="AS7" s="16" t="s">
        <v>53</v>
      </c>
      <c r="AT7" s="16" t="s">
        <v>42</v>
      </c>
      <c r="AU7" s="16" t="s">
        <v>44</v>
      </c>
      <c r="AV7" s="70">
        <v>0.5416666666666666</v>
      </c>
      <c r="AW7" s="70">
        <v>0.5868055555555556</v>
      </c>
      <c r="AX7" s="16">
        <v>1.083333</v>
      </c>
      <c r="AY7" s="16" t="s">
        <v>179</v>
      </c>
      <c r="AZ7" s="16" t="s">
        <v>179</v>
      </c>
      <c r="BA7" s="16" t="s">
        <v>179</v>
      </c>
      <c r="BB7" s="16" t="s">
        <v>179</v>
      </c>
      <c r="BC7" s="16" t="s">
        <v>176</v>
      </c>
      <c r="BD7" s="16" t="s">
        <v>152</v>
      </c>
      <c r="BE7" s="71">
        <v>46050.0</v>
      </c>
      <c r="BF7" s="16" t="s">
        <v>177</v>
      </c>
      <c r="BG7" s="16"/>
      <c r="BH7" s="16"/>
      <c r="BI7" s="16"/>
      <c r="BJ7" s="16"/>
      <c r="BK7" s="16"/>
      <c r="BL7" s="16"/>
      <c r="BM7" s="16"/>
      <c r="BN7" s="16"/>
    </row>
    <row r="8">
      <c r="A8" s="62" t="s">
        <v>262</v>
      </c>
      <c r="B8" s="63"/>
      <c r="C8" s="62" t="s">
        <v>173</v>
      </c>
      <c r="D8" s="63"/>
      <c r="E8" s="62" t="s">
        <v>263</v>
      </c>
      <c r="F8" s="62" t="s">
        <v>60</v>
      </c>
      <c r="G8" s="63"/>
      <c r="H8" s="62" t="s">
        <v>172</v>
      </c>
      <c r="I8" s="63"/>
      <c r="J8" s="64">
        <v>46046.0</v>
      </c>
      <c r="K8" s="65">
        <v>0.375</v>
      </c>
      <c r="L8" s="64">
        <v>46051.0</v>
      </c>
      <c r="M8" s="65">
        <v>0.375</v>
      </c>
      <c r="N8" s="72">
        <v>5.0</v>
      </c>
      <c r="O8" s="66">
        <v>120.0</v>
      </c>
      <c r="R8" s="67"/>
      <c r="S8" s="68">
        <v>46046.0</v>
      </c>
      <c r="T8" s="38" t="str">
        <f>IFERROR(__xludf.DUMMYFUNCTION("""COMPUTED_VALUE"""),"General - West Jordan Symphony")</f>
        <v>General - West Jordan Symphony</v>
      </c>
      <c r="U8" s="38" t="s">
        <v>170</v>
      </c>
      <c r="V8" s="38" t="s">
        <v>60</v>
      </c>
      <c r="W8" s="38" t="str">
        <f>IFERROR(__xludf.DUMMYFUNCTION("""COMPUTED_VALUE"""),"Participant Hours")</f>
        <v>Participant Hours</v>
      </c>
      <c r="X8" s="38" t="s">
        <v>44</v>
      </c>
      <c r="Y8" s="38">
        <v>120.0</v>
      </c>
      <c r="Z8" s="38" t="s">
        <v>172</v>
      </c>
      <c r="AA8" s="38" t="s">
        <v>152</v>
      </c>
      <c r="AB8" s="68">
        <v>46046.0</v>
      </c>
      <c r="AC8" s="38" t="s">
        <v>173</v>
      </c>
      <c r="AD8" s="38" t="str">
        <f>IFERROR(__xludf.DUMMYFUNCTION("""COMPUTED_VALUE"""),"lynnette111owens")</f>
        <v>lynnette111owens</v>
      </c>
      <c r="AE8" s="38"/>
      <c r="AF8" s="16" t="s">
        <v>197</v>
      </c>
      <c r="AG8" s="16"/>
      <c r="AH8" s="16"/>
      <c r="AJ8" s="16"/>
      <c r="AK8" s="16" t="str">
        <f>IFERROR(__xludf.DUMMYFUNCTION("""COMPUTED_VALUE"""),"Artist Apps")</f>
        <v>Artist Apps</v>
      </c>
      <c r="AL8" s="16"/>
      <c r="AM8" s="16"/>
      <c r="AN8" s="16"/>
      <c r="AO8" s="16" t="str">
        <f>IFERROR(__xludf.DUMMYFUNCTION("""COMPUTED_VALUE"""),"(Type) CASWJ Board Hours")</f>
        <v>(Type) CASWJ Board Hours</v>
      </c>
      <c r="AP8" s="69">
        <v>46046.0</v>
      </c>
      <c r="AQ8" s="16" t="s">
        <v>64</v>
      </c>
      <c r="AR8" s="16" t="s">
        <v>170</v>
      </c>
      <c r="AS8" s="16" t="s">
        <v>60</v>
      </c>
      <c r="AT8" s="16" t="s">
        <v>48</v>
      </c>
      <c r="AU8" s="16" t="s">
        <v>44</v>
      </c>
      <c r="AV8" s="70">
        <v>0.375</v>
      </c>
      <c r="AW8" s="70">
        <v>0.375</v>
      </c>
      <c r="AX8" s="16">
        <v>120.0</v>
      </c>
      <c r="AY8" s="16" t="s">
        <v>179</v>
      </c>
      <c r="AZ8" s="16" t="s">
        <v>179</v>
      </c>
      <c r="BA8" s="16" t="s">
        <v>179</v>
      </c>
      <c r="BB8" s="16" t="s">
        <v>179</v>
      </c>
      <c r="BC8" s="16" t="s">
        <v>172</v>
      </c>
      <c r="BD8" s="16" t="s">
        <v>152</v>
      </c>
      <c r="BE8" s="71">
        <v>46046.0</v>
      </c>
      <c r="BF8" s="16" t="s">
        <v>173</v>
      </c>
      <c r="BG8" s="16"/>
      <c r="BH8" s="16"/>
      <c r="BI8" s="16"/>
      <c r="BJ8" s="16"/>
      <c r="BK8" s="16"/>
      <c r="BL8" s="16"/>
      <c r="BM8" s="16"/>
      <c r="BN8" s="16"/>
    </row>
    <row r="9">
      <c r="A9" s="62" t="s">
        <v>262</v>
      </c>
      <c r="B9" s="63"/>
      <c r="C9" s="62" t="s">
        <v>177</v>
      </c>
      <c r="D9" s="63"/>
      <c r="E9" s="62" t="s">
        <v>271</v>
      </c>
      <c r="F9" s="62" t="s">
        <v>53</v>
      </c>
      <c r="G9" s="63"/>
      <c r="H9" s="62" t="s">
        <v>178</v>
      </c>
      <c r="I9" s="63"/>
      <c r="J9" s="64">
        <v>46043.0</v>
      </c>
      <c r="K9" s="65">
        <v>0.5416666666666666</v>
      </c>
      <c r="L9" s="64">
        <v>46043.0</v>
      </c>
      <c r="M9" s="65">
        <v>0.6388888888888888</v>
      </c>
      <c r="N9" s="72">
        <v>0.09722222222222222</v>
      </c>
      <c r="O9" s="66">
        <v>2.333333</v>
      </c>
      <c r="R9" s="67"/>
      <c r="S9" s="68">
        <v>46043.0</v>
      </c>
      <c r="T9" s="38" t="str">
        <f>IFERROR(__xludf.DUMMYFUNCTION("""COMPUTED_VALUE"""),"Art in the Park 2026")</f>
        <v>Art in the Park 2026</v>
      </c>
      <c r="U9" s="38" t="s">
        <v>175</v>
      </c>
      <c r="V9" s="38" t="s">
        <v>53</v>
      </c>
      <c r="W9" s="38" t="str">
        <f>IFERROR(__xludf.DUMMYFUNCTION("""COMPUTED_VALUE"""),"Committee Member Hours")</f>
        <v>Committee Member Hours</v>
      </c>
      <c r="X9" s="38" t="s">
        <v>44</v>
      </c>
      <c r="Y9" s="38">
        <v>2.333333</v>
      </c>
      <c r="Z9" s="38" t="s">
        <v>178</v>
      </c>
      <c r="AA9" s="38" t="s">
        <v>152</v>
      </c>
      <c r="AB9" s="68">
        <v>46043.0</v>
      </c>
      <c r="AC9" s="38" t="s">
        <v>177</v>
      </c>
      <c r="AD9" s="38" t="str">
        <f>IFERROR(__xludf.DUMMYFUNCTION("""COMPUTED_VALUE"""),"treasurer")</f>
        <v>treasurer</v>
      </c>
      <c r="AE9" s="38"/>
      <c r="AF9" s="16" t="s">
        <v>200</v>
      </c>
      <c r="AG9" s="16"/>
      <c r="AH9" s="16"/>
      <c r="AI9" s="16"/>
      <c r="AJ9" s="16"/>
      <c r="AK9" s="16" t="str">
        <f>IFERROR(__xludf.DUMMYFUNCTION("""COMPUTED_VALUE"""),"artivities supplies and hallway artist emails.")</f>
        <v>artivities supplies and hallway artist emails.</v>
      </c>
      <c r="AL9" s="16"/>
      <c r="AM9" s="16"/>
      <c r="AN9" s="16"/>
      <c r="AO9" s="16" t="str">
        <f>IFERROR(__xludf.DUMMYFUNCTION("""COMPUTED_VALUE"""),"(Type) Committee Member Hours")</f>
        <v>(Type) Committee Member Hours</v>
      </c>
      <c r="AP9" s="69">
        <v>46043.0</v>
      </c>
      <c r="AQ9" s="16" t="s">
        <v>174</v>
      </c>
      <c r="AR9" s="16" t="s">
        <v>175</v>
      </c>
      <c r="AS9" s="16" t="s">
        <v>53</v>
      </c>
      <c r="AT9" s="16" t="s">
        <v>42</v>
      </c>
      <c r="AU9" s="16" t="s">
        <v>44</v>
      </c>
      <c r="AV9" s="70">
        <v>0.5416666666666666</v>
      </c>
      <c r="AW9" s="70">
        <v>0.6388888888888888</v>
      </c>
      <c r="AX9" s="16">
        <v>2.333333</v>
      </c>
      <c r="AY9" s="16" t="s">
        <v>179</v>
      </c>
      <c r="AZ9" s="16" t="s">
        <v>179</v>
      </c>
      <c r="BA9" s="16" t="s">
        <v>179</v>
      </c>
      <c r="BB9" s="16" t="s">
        <v>179</v>
      </c>
      <c r="BC9" s="16" t="s">
        <v>178</v>
      </c>
      <c r="BD9" s="16" t="s">
        <v>152</v>
      </c>
      <c r="BE9" s="71">
        <v>46043.0</v>
      </c>
      <c r="BF9" s="16" t="s">
        <v>177</v>
      </c>
      <c r="BG9" s="16"/>
      <c r="BH9" s="16"/>
      <c r="BI9" s="16"/>
      <c r="BJ9" s="16"/>
      <c r="BK9" s="16"/>
      <c r="BL9" s="16"/>
      <c r="BM9" s="16"/>
      <c r="BN9" s="16"/>
    </row>
    <row r="10">
      <c r="A10" s="62" t="s">
        <v>262</v>
      </c>
      <c r="B10" s="63"/>
      <c r="C10" s="62" t="s">
        <v>173</v>
      </c>
      <c r="D10" s="63"/>
      <c r="E10" s="62" t="s">
        <v>263</v>
      </c>
      <c r="F10" s="62" t="s">
        <v>60</v>
      </c>
      <c r="G10" s="63"/>
      <c r="H10" s="62" t="s">
        <v>172</v>
      </c>
      <c r="I10" s="63"/>
      <c r="J10" s="64">
        <v>46039.0</v>
      </c>
      <c r="K10" s="65">
        <v>0.375</v>
      </c>
      <c r="L10" s="64">
        <v>46043.0</v>
      </c>
      <c r="M10" s="65">
        <v>0.5416666666666666</v>
      </c>
      <c r="N10" s="65">
        <v>4.166666666666667</v>
      </c>
      <c r="O10" s="66">
        <v>100.0</v>
      </c>
      <c r="R10" s="67"/>
      <c r="S10" s="68">
        <v>46039.0</v>
      </c>
      <c r="T10" s="38" t="str">
        <f>IFERROR(__xludf.DUMMYFUNCTION("""COMPUTED_VALUE"""),"General - West Jordan Symphony")</f>
        <v>General - West Jordan Symphony</v>
      </c>
      <c r="U10" s="38" t="s">
        <v>170</v>
      </c>
      <c r="V10" s="38" t="s">
        <v>60</v>
      </c>
      <c r="W10" s="38" t="str">
        <f>IFERROR(__xludf.DUMMYFUNCTION("""COMPUTED_VALUE"""),"Participant Hours")</f>
        <v>Participant Hours</v>
      </c>
      <c r="X10" s="38" t="s">
        <v>44</v>
      </c>
      <c r="Y10" s="38">
        <v>100.0</v>
      </c>
      <c r="Z10" s="38" t="s">
        <v>172</v>
      </c>
      <c r="AA10" s="38" t="s">
        <v>152</v>
      </c>
      <c r="AB10" s="68">
        <v>46039.0</v>
      </c>
      <c r="AC10" s="38" t="s">
        <v>173</v>
      </c>
      <c r="AD10" s="38" t="str">
        <f>IFERROR(__xludf.DUMMYFUNCTION("""COMPUTED_VALUE"""),"brook.mann")</f>
        <v>brook.mann</v>
      </c>
      <c r="AE10" s="38"/>
      <c r="AF10" s="16" t="s">
        <v>272</v>
      </c>
      <c r="AG10" s="16"/>
      <c r="AH10" s="16"/>
      <c r="AI10" s="16"/>
      <c r="AJ10" s="16"/>
      <c r="AK10" s="16" t="str">
        <f>IFERROR(__xludf.DUMMYFUNCTION("""COMPUTED_VALUE"""),"artivities supply list and craft ideas")</f>
        <v>artivities supply list and craft ideas</v>
      </c>
      <c r="AL10" s="16"/>
      <c r="AM10" s="16"/>
      <c r="AN10" s="16"/>
      <c r="AO10" s="16" t="str">
        <f>IFERROR(__xludf.DUMMYFUNCTION("""COMPUTED_VALUE"""),"(Type) Participant Hours")</f>
        <v>(Type) Participant Hours</v>
      </c>
      <c r="AP10" s="69">
        <v>46039.0</v>
      </c>
      <c r="AQ10" s="16" t="s">
        <v>64</v>
      </c>
      <c r="AR10" s="16" t="s">
        <v>170</v>
      </c>
      <c r="AS10" s="16" t="s">
        <v>60</v>
      </c>
      <c r="AT10" s="16" t="s">
        <v>48</v>
      </c>
      <c r="AU10" s="16" t="s">
        <v>44</v>
      </c>
      <c r="AV10" s="70">
        <v>0.375</v>
      </c>
      <c r="AW10" s="70">
        <v>0.5416666666666666</v>
      </c>
      <c r="AX10" s="16">
        <v>100.0</v>
      </c>
      <c r="AY10" s="16" t="s">
        <v>179</v>
      </c>
      <c r="AZ10" s="16" t="s">
        <v>179</v>
      </c>
      <c r="BA10" s="16" t="s">
        <v>179</v>
      </c>
      <c r="BB10" s="16" t="s">
        <v>179</v>
      </c>
      <c r="BC10" s="16" t="s">
        <v>172</v>
      </c>
      <c r="BD10" s="16" t="s">
        <v>152</v>
      </c>
      <c r="BE10" s="71">
        <v>46039.0</v>
      </c>
      <c r="BF10" s="16" t="s">
        <v>173</v>
      </c>
      <c r="BG10" s="16"/>
      <c r="BH10" s="16"/>
      <c r="BI10" s="16"/>
      <c r="BJ10" s="16"/>
      <c r="BK10" s="16"/>
      <c r="BL10" s="16"/>
      <c r="BM10" s="16"/>
      <c r="BN10" s="16"/>
    </row>
    <row r="11">
      <c r="A11" s="62" t="s">
        <v>262</v>
      </c>
      <c r="B11" s="63"/>
      <c r="C11" s="62" t="s">
        <v>173</v>
      </c>
      <c r="D11" s="63"/>
      <c r="E11" s="62" t="s">
        <v>263</v>
      </c>
      <c r="F11" s="62" t="s">
        <v>60</v>
      </c>
      <c r="G11" s="63"/>
      <c r="H11" s="62" t="s">
        <v>172</v>
      </c>
      <c r="I11" s="63"/>
      <c r="J11" s="64">
        <v>46032.0</v>
      </c>
      <c r="K11" s="65">
        <v>0.375</v>
      </c>
      <c r="L11" s="64">
        <v>46036.0</v>
      </c>
      <c r="M11" s="65">
        <v>0.6458333333333334</v>
      </c>
      <c r="N11" s="65">
        <v>4.270833333333333</v>
      </c>
      <c r="O11" s="66">
        <v>102.5</v>
      </c>
      <c r="R11" s="67"/>
      <c r="S11" s="68">
        <v>46032.0</v>
      </c>
      <c r="T11" s="38" t="str">
        <f>IFERROR(__xludf.DUMMYFUNCTION("""COMPUTED_VALUE"""),"General - West Jordan Symphony")</f>
        <v>General - West Jordan Symphony</v>
      </c>
      <c r="U11" s="38" t="s">
        <v>170</v>
      </c>
      <c r="V11" s="38" t="s">
        <v>60</v>
      </c>
      <c r="W11" s="38" t="str">
        <f>IFERROR(__xludf.DUMMYFUNCTION("""COMPUTED_VALUE"""),"Participant Hours")</f>
        <v>Participant Hours</v>
      </c>
      <c r="X11" s="38" t="s">
        <v>44</v>
      </c>
      <c r="Y11" s="38">
        <v>102.5</v>
      </c>
      <c r="Z11" s="38" t="s">
        <v>172</v>
      </c>
      <c r="AA11" s="38" t="s">
        <v>152</v>
      </c>
      <c r="AB11" s="68">
        <v>46032.0</v>
      </c>
      <c r="AC11" s="38" t="s">
        <v>173</v>
      </c>
      <c r="AD11" s="38" t="str">
        <f>IFERROR(__xludf.DUMMYFUNCTION("""COMPUTED_VALUE"""),"Marche")</f>
        <v>Marche</v>
      </c>
      <c r="AE11" s="38"/>
      <c r="AF11" s="16" t="s">
        <v>209</v>
      </c>
      <c r="AG11" s="16"/>
      <c r="AH11" s="16"/>
      <c r="AI11" s="16"/>
      <c r="AJ11" s="16"/>
      <c r="AK11" s="16" t="str">
        <f>IFERROR(__xludf.DUMMYFUNCTION("""COMPUTED_VALUE"""),"Bandanas and volunteer form")</f>
        <v>Bandanas and volunteer form</v>
      </c>
      <c r="AL11" s="16"/>
      <c r="AM11" s="16"/>
      <c r="AN11" s="16"/>
      <c r="AO11" s="16" t="str">
        <f>IFERROR(__xludf.DUMMYFUNCTION("""COMPUTED_VALUE"""),"(Type) Volunteer Hours")</f>
        <v>(Type) Volunteer Hours</v>
      </c>
      <c r="AP11" s="69">
        <v>46032.0</v>
      </c>
      <c r="AQ11" s="16" t="s">
        <v>64</v>
      </c>
      <c r="AR11" s="16" t="s">
        <v>170</v>
      </c>
      <c r="AS11" s="16" t="s">
        <v>60</v>
      </c>
      <c r="AT11" s="16" t="s">
        <v>48</v>
      </c>
      <c r="AU11" s="16" t="s">
        <v>44</v>
      </c>
      <c r="AV11" s="70">
        <v>0.375</v>
      </c>
      <c r="AW11" s="70">
        <v>0.6458333333333334</v>
      </c>
      <c r="AX11" s="16">
        <v>102.5</v>
      </c>
      <c r="AY11" s="16" t="s">
        <v>179</v>
      </c>
      <c r="AZ11" s="16" t="s">
        <v>179</v>
      </c>
      <c r="BA11" s="16" t="s">
        <v>179</v>
      </c>
      <c r="BB11" s="16" t="s">
        <v>179</v>
      </c>
      <c r="BC11" s="16" t="s">
        <v>172</v>
      </c>
      <c r="BD11" s="16" t="s">
        <v>152</v>
      </c>
      <c r="BE11" s="71">
        <v>46032.0</v>
      </c>
      <c r="BF11" s="16" t="s">
        <v>173</v>
      </c>
      <c r="BG11" s="16"/>
      <c r="BH11" s="16"/>
      <c r="BI11" s="16"/>
      <c r="BJ11" s="16"/>
      <c r="BK11" s="16"/>
      <c r="BL11" s="16"/>
      <c r="BM11" s="16"/>
      <c r="BN11" s="16"/>
    </row>
    <row r="12">
      <c r="A12" s="62" t="s">
        <v>262</v>
      </c>
      <c r="B12" s="63"/>
      <c r="C12" s="62" t="s">
        <v>171</v>
      </c>
      <c r="D12" s="63"/>
      <c r="E12" s="62" t="s">
        <v>263</v>
      </c>
      <c r="F12" s="62" t="s">
        <v>60</v>
      </c>
      <c r="G12" s="63"/>
      <c r="H12" s="62" t="s">
        <v>151</v>
      </c>
      <c r="I12" s="63"/>
      <c r="J12" s="64">
        <v>46081.0</v>
      </c>
      <c r="K12" s="65">
        <v>0.9166666666666666</v>
      </c>
      <c r="L12" s="64">
        <v>46082.0</v>
      </c>
      <c r="M12" s="65">
        <v>0.9583333333333334</v>
      </c>
      <c r="N12" s="65">
        <v>1.0416666666666667</v>
      </c>
      <c r="O12" s="66">
        <v>25.0</v>
      </c>
      <c r="R12" s="67"/>
      <c r="S12" s="68">
        <v>46081.0</v>
      </c>
      <c r="T12" s="38" t="str">
        <f>IFERROR(__xludf.DUMMYFUNCTION("""COMPUTED_VALUE"""),"General - West Jordan Symphony")</f>
        <v>General - West Jordan Symphony</v>
      </c>
      <c r="U12" s="38" t="s">
        <v>170</v>
      </c>
      <c r="V12" s="38" t="s">
        <v>60</v>
      </c>
      <c r="W12" s="38" t="str">
        <f>IFERROR(__xludf.DUMMYFUNCTION("""COMPUTED_VALUE"""),"Committee Member Hours")</f>
        <v>Committee Member Hours</v>
      </c>
      <c r="X12" s="38" t="s">
        <v>44</v>
      </c>
      <c r="Y12" s="38">
        <v>25.0</v>
      </c>
      <c r="Z12" s="38" t="s">
        <v>151</v>
      </c>
      <c r="AA12" s="38" t="s">
        <v>152</v>
      </c>
      <c r="AB12" s="68">
        <v>46081.0</v>
      </c>
      <c r="AC12" s="38" t="s">
        <v>171</v>
      </c>
      <c r="AD12" s="38" t="str">
        <f>IFERROR(__xludf.DUMMYFUNCTION("""COMPUTED_VALUE"""),"Kirstin")</f>
        <v>Kirstin</v>
      </c>
      <c r="AE12" s="38"/>
      <c r="AF12" s="16" t="s">
        <v>213</v>
      </c>
      <c r="AG12" s="16"/>
      <c r="AH12" s="16"/>
      <c r="AI12" s="16"/>
      <c r="AJ12" s="16"/>
      <c r="AK12" s="16" t="str">
        <f>IFERROR(__xludf.DUMMYFUNCTION("""COMPUTED_VALUE"""),"Board Hours")</f>
        <v>Board Hours</v>
      </c>
      <c r="AL12" s="16"/>
      <c r="AM12" s="16"/>
      <c r="AN12" s="16"/>
      <c r="AO12" s="16"/>
      <c r="AP12" s="69">
        <v>46081.0</v>
      </c>
      <c r="AQ12" s="16" t="s">
        <v>64</v>
      </c>
      <c r="AR12" s="16" t="s">
        <v>170</v>
      </c>
      <c r="AS12" s="16" t="s">
        <v>60</v>
      </c>
      <c r="AT12" s="16" t="s">
        <v>42</v>
      </c>
      <c r="AU12" s="16" t="s">
        <v>44</v>
      </c>
      <c r="AV12" s="70">
        <v>0.9166666666666666</v>
      </c>
      <c r="AW12" s="70">
        <v>0.9583333333333334</v>
      </c>
      <c r="AX12" s="16">
        <v>25.0</v>
      </c>
      <c r="AY12" s="16" t="s">
        <v>179</v>
      </c>
      <c r="AZ12" s="16" t="s">
        <v>179</v>
      </c>
      <c r="BA12" s="16" t="s">
        <v>179</v>
      </c>
      <c r="BB12" s="16" t="s">
        <v>179</v>
      </c>
      <c r="BC12" s="16" t="s">
        <v>151</v>
      </c>
      <c r="BD12" s="16" t="s">
        <v>152</v>
      </c>
      <c r="BE12" s="71">
        <v>46081.0</v>
      </c>
      <c r="BF12" s="16" t="s">
        <v>171</v>
      </c>
      <c r="BG12" s="16"/>
      <c r="BH12" s="16"/>
      <c r="BI12" s="16"/>
      <c r="BJ12" s="16"/>
      <c r="BK12" s="16"/>
      <c r="BL12" s="16"/>
      <c r="BM12" s="16"/>
      <c r="BN12" s="16"/>
    </row>
    <row r="13">
      <c r="A13" s="62" t="s">
        <v>262</v>
      </c>
      <c r="B13" s="63"/>
      <c r="C13" s="62" t="s">
        <v>180</v>
      </c>
      <c r="D13" s="63"/>
      <c r="E13" s="62" t="s">
        <v>263</v>
      </c>
      <c r="F13" s="62" t="s">
        <v>60</v>
      </c>
      <c r="G13" s="63"/>
      <c r="H13" s="62" t="s">
        <v>151</v>
      </c>
      <c r="I13" s="63"/>
      <c r="J13" s="64">
        <v>46081.0</v>
      </c>
      <c r="K13" s="65">
        <v>0.875</v>
      </c>
      <c r="L13" s="64">
        <v>46082.0</v>
      </c>
      <c r="M13" s="65">
        <v>0.9166666666666666</v>
      </c>
      <c r="N13" s="65">
        <v>1.0416666666666667</v>
      </c>
      <c r="O13" s="66">
        <v>25.0</v>
      </c>
      <c r="R13" s="67"/>
      <c r="S13" s="68">
        <v>46081.0</v>
      </c>
      <c r="T13" s="38" t="str">
        <f>IFERROR(__xludf.DUMMYFUNCTION("""COMPUTED_VALUE"""),"General - West Jordan Symphony")</f>
        <v>General - West Jordan Symphony</v>
      </c>
      <c r="U13" s="38" t="s">
        <v>170</v>
      </c>
      <c r="V13" s="38" t="s">
        <v>60</v>
      </c>
      <c r="W13" s="38" t="str">
        <f>IFERROR(__xludf.DUMMYFUNCTION("""COMPUTED_VALUE"""),"Committee Member Hours")</f>
        <v>Committee Member Hours</v>
      </c>
      <c r="X13" s="38" t="s">
        <v>44</v>
      </c>
      <c r="Y13" s="38">
        <v>25.0</v>
      </c>
      <c r="Z13" s="38" t="s">
        <v>151</v>
      </c>
      <c r="AA13" s="38" t="s">
        <v>152</v>
      </c>
      <c r="AB13" s="68">
        <v>46081.0</v>
      </c>
      <c r="AC13" s="38" t="s">
        <v>180</v>
      </c>
      <c r="AD13" s="38" t="str">
        <f>IFERROR(__xludf.DUMMYFUNCTION("""COMPUTED_VALUE"""),"jkimball")</f>
        <v>jkimball</v>
      </c>
      <c r="AE13" s="38"/>
      <c r="AF13" s="16" t="s">
        <v>220</v>
      </c>
      <c r="AG13" s="16"/>
      <c r="AH13" s="16"/>
      <c r="AI13" s="16"/>
      <c r="AJ13" s="16"/>
      <c r="AK13" s="16" t="str">
        <f>IFERROR(__xludf.DUMMYFUNCTION("""COMPUTED_VALUE"""),"Board members/January")</f>
        <v>Board members/January</v>
      </c>
      <c r="AL13" s="16"/>
      <c r="AM13" s="16"/>
      <c r="AN13" s="16"/>
      <c r="AO13" s="16"/>
      <c r="AP13" s="69">
        <v>46081.0</v>
      </c>
      <c r="AQ13" s="16" t="s">
        <v>64</v>
      </c>
      <c r="AR13" s="16" t="s">
        <v>170</v>
      </c>
      <c r="AS13" s="16" t="s">
        <v>60</v>
      </c>
      <c r="AT13" s="16" t="s">
        <v>42</v>
      </c>
      <c r="AU13" s="16" t="s">
        <v>44</v>
      </c>
      <c r="AV13" s="70">
        <v>0.875</v>
      </c>
      <c r="AW13" s="70">
        <v>0.9166666666666666</v>
      </c>
      <c r="AX13" s="16">
        <v>25.0</v>
      </c>
      <c r="AY13" s="16" t="s">
        <v>179</v>
      </c>
      <c r="AZ13" s="16" t="s">
        <v>179</v>
      </c>
      <c r="BA13" s="16" t="s">
        <v>179</v>
      </c>
      <c r="BB13" s="16" t="s">
        <v>179</v>
      </c>
      <c r="BC13" s="16" t="s">
        <v>151</v>
      </c>
      <c r="BD13" s="16" t="s">
        <v>152</v>
      </c>
      <c r="BE13" s="71">
        <v>46081.0</v>
      </c>
      <c r="BF13" s="16" t="s">
        <v>180</v>
      </c>
      <c r="BG13" s="16"/>
      <c r="BH13" s="16"/>
      <c r="BI13" s="16"/>
      <c r="BJ13" s="16"/>
      <c r="BK13" s="16"/>
      <c r="BL13" s="16"/>
      <c r="BM13" s="16"/>
      <c r="BN13" s="16"/>
    </row>
    <row r="14">
      <c r="A14" s="62" t="s">
        <v>262</v>
      </c>
      <c r="B14" s="63"/>
      <c r="C14" s="62" t="s">
        <v>181</v>
      </c>
      <c r="D14" s="63"/>
      <c r="E14" s="62" t="s">
        <v>263</v>
      </c>
      <c r="F14" s="62" t="s">
        <v>60</v>
      </c>
      <c r="G14" s="63"/>
      <c r="H14" s="62" t="s">
        <v>151</v>
      </c>
      <c r="I14" s="63"/>
      <c r="J14" s="64">
        <v>46081.0</v>
      </c>
      <c r="K14" s="65">
        <v>0.875</v>
      </c>
      <c r="L14" s="64">
        <v>46082.0</v>
      </c>
      <c r="M14" s="65">
        <v>0.9166666666666666</v>
      </c>
      <c r="N14" s="65">
        <v>1.0416666666666667</v>
      </c>
      <c r="O14" s="66">
        <v>25.0</v>
      </c>
      <c r="R14" s="67"/>
      <c r="S14" s="68">
        <v>46081.0</v>
      </c>
      <c r="T14" s="38" t="str">
        <f>IFERROR(__xludf.DUMMYFUNCTION("""COMPUTED_VALUE"""),"General - West Jordan Symphony")</f>
        <v>General - West Jordan Symphony</v>
      </c>
      <c r="U14" s="38" t="s">
        <v>170</v>
      </c>
      <c r="V14" s="38" t="s">
        <v>60</v>
      </c>
      <c r="W14" s="38" t="str">
        <f>IFERROR(__xludf.DUMMYFUNCTION("""COMPUTED_VALUE"""),"Committee Member Hours")</f>
        <v>Committee Member Hours</v>
      </c>
      <c r="X14" s="38" t="s">
        <v>44</v>
      </c>
      <c r="Y14" s="38">
        <v>25.0</v>
      </c>
      <c r="Z14" s="38" t="s">
        <v>151</v>
      </c>
      <c r="AA14" s="38" t="s">
        <v>152</v>
      </c>
      <c r="AB14" s="68">
        <v>46081.0</v>
      </c>
      <c r="AC14" s="38" t="s">
        <v>181</v>
      </c>
      <c r="AD14" s="38" t="str">
        <f>IFERROR(__xludf.DUMMYFUNCTION("""COMPUTED_VALUE"""),"Jen.crabb")</f>
        <v>Jen.crabb</v>
      </c>
      <c r="AE14" s="38"/>
      <c r="AF14" s="16" t="s">
        <v>228</v>
      </c>
      <c r="AG14" s="16"/>
      <c r="AH14" s="16"/>
      <c r="AI14" s="16"/>
      <c r="AJ14" s="16"/>
      <c r="AK14" s="16" t="str">
        <f>IFERROR(__xludf.DUMMYFUNCTION("""COMPUTED_VALUE"""),"CASWJ Board Hours")</f>
        <v>CASWJ Board Hours</v>
      </c>
      <c r="AL14" s="16"/>
      <c r="AM14" s="16"/>
      <c r="AN14" s="16"/>
      <c r="AO14" s="16"/>
      <c r="AP14" s="69">
        <v>46081.0</v>
      </c>
      <c r="AQ14" s="16" t="s">
        <v>64</v>
      </c>
      <c r="AR14" s="16" t="s">
        <v>170</v>
      </c>
      <c r="AS14" s="16" t="s">
        <v>60</v>
      </c>
      <c r="AT14" s="16" t="s">
        <v>42</v>
      </c>
      <c r="AU14" s="16" t="s">
        <v>44</v>
      </c>
      <c r="AV14" s="70">
        <v>0.875</v>
      </c>
      <c r="AW14" s="70">
        <v>0.9166666666666666</v>
      </c>
      <c r="AX14" s="16">
        <v>25.0</v>
      </c>
      <c r="AY14" s="16" t="s">
        <v>179</v>
      </c>
      <c r="AZ14" s="16" t="s">
        <v>179</v>
      </c>
      <c r="BA14" s="16" t="s">
        <v>179</v>
      </c>
      <c r="BB14" s="16" t="s">
        <v>179</v>
      </c>
      <c r="BC14" s="16" t="s">
        <v>151</v>
      </c>
      <c r="BD14" s="16" t="s">
        <v>152</v>
      </c>
      <c r="BE14" s="71">
        <v>46081.0</v>
      </c>
      <c r="BF14" s="16" t="s">
        <v>181</v>
      </c>
      <c r="BG14" s="16"/>
      <c r="BH14" s="16"/>
      <c r="BI14" s="16"/>
      <c r="BJ14" s="16"/>
      <c r="BK14" s="16"/>
      <c r="BL14" s="16"/>
      <c r="BM14" s="16"/>
      <c r="BN14" s="16"/>
    </row>
    <row r="15">
      <c r="A15" s="62" t="s">
        <v>262</v>
      </c>
      <c r="B15" s="63"/>
      <c r="C15" s="62" t="s">
        <v>183</v>
      </c>
      <c r="D15" s="63"/>
      <c r="E15" s="62" t="s">
        <v>269</v>
      </c>
      <c r="F15" s="62" t="s">
        <v>65</v>
      </c>
      <c r="G15" s="63"/>
      <c r="H15" s="62" t="s">
        <v>182</v>
      </c>
      <c r="I15" s="63"/>
      <c r="J15" s="64">
        <v>46081.0</v>
      </c>
      <c r="K15" s="65">
        <v>0.8423611111111111</v>
      </c>
      <c r="L15" s="64">
        <v>46084.0</v>
      </c>
      <c r="M15" s="65">
        <v>0.009027777777777777</v>
      </c>
      <c r="N15" s="65">
        <v>2.1666666666666665</v>
      </c>
      <c r="O15" s="66">
        <v>52.0</v>
      </c>
      <c r="R15" s="67"/>
      <c r="S15" s="68">
        <v>46081.0</v>
      </c>
      <c r="T15" s="38" t="str">
        <f>IFERROR(__xludf.DUMMYFUNCTION("""COMPUTED_VALUE"""),"General - West Jordan Youth Theatre")</f>
        <v>General - West Jordan Youth Theatre</v>
      </c>
      <c r="U15" s="38" t="s">
        <v>165</v>
      </c>
      <c r="V15" s="38" t="s">
        <v>65</v>
      </c>
      <c r="W15" s="38" t="str">
        <f>IFERROR(__xludf.DUMMYFUNCTION("""COMPUTED_VALUE"""),"Participant Hours")</f>
        <v>Participant Hours</v>
      </c>
      <c r="X15" s="38" t="s">
        <v>44</v>
      </c>
      <c r="Y15" s="38">
        <v>52.0</v>
      </c>
      <c r="Z15" s="38" t="s">
        <v>182</v>
      </c>
      <c r="AA15" s="38" t="s">
        <v>152</v>
      </c>
      <c r="AB15" s="68">
        <v>46081.0</v>
      </c>
      <c r="AC15" s="38" t="s">
        <v>183</v>
      </c>
      <c r="AD15" s="38" t="str">
        <f>IFERROR(__xludf.DUMMYFUNCTION("""COMPUTED_VALUE"""),"becca.henrie")</f>
        <v>becca.henrie</v>
      </c>
      <c r="AE15" s="38"/>
      <c r="AF15" s="16" t="s">
        <v>277</v>
      </c>
      <c r="AG15" s="16"/>
      <c r="AH15" s="16"/>
      <c r="AI15" s="16"/>
      <c r="AJ15" s="16"/>
      <c r="AK15" s="16" t="str">
        <f>IFERROR(__xludf.DUMMYFUNCTION("""COMPUTED_VALUE"""),"CASWJ board meeting")</f>
        <v>CASWJ board meeting</v>
      </c>
      <c r="AL15" s="16"/>
      <c r="AM15" s="16"/>
      <c r="AN15" s="16"/>
      <c r="AO15" s="16"/>
      <c r="AP15" s="69">
        <v>46081.0</v>
      </c>
      <c r="AQ15" s="16" t="s">
        <v>164</v>
      </c>
      <c r="AR15" s="16" t="s">
        <v>165</v>
      </c>
      <c r="AS15" s="16" t="s">
        <v>65</v>
      </c>
      <c r="AT15" s="16" t="s">
        <v>48</v>
      </c>
      <c r="AU15" s="16" t="s">
        <v>44</v>
      </c>
      <c r="AV15" s="70">
        <v>0.8423611111111111</v>
      </c>
      <c r="AW15" s="70">
        <v>0.009027777777777777</v>
      </c>
      <c r="AX15" s="16">
        <v>52.0</v>
      </c>
      <c r="AY15" s="16" t="s">
        <v>179</v>
      </c>
      <c r="AZ15" s="16" t="s">
        <v>179</v>
      </c>
      <c r="BA15" s="16" t="s">
        <v>179</v>
      </c>
      <c r="BB15" s="16" t="s">
        <v>179</v>
      </c>
      <c r="BC15" s="16" t="s">
        <v>182</v>
      </c>
      <c r="BD15" s="16" t="s">
        <v>152</v>
      </c>
      <c r="BE15" s="71">
        <v>46081.0</v>
      </c>
      <c r="BF15" s="16" t="s">
        <v>183</v>
      </c>
      <c r="BG15" s="16"/>
      <c r="BH15" s="16"/>
      <c r="BI15" s="16"/>
      <c r="BJ15" s="16"/>
      <c r="BK15" s="16"/>
      <c r="BL15" s="16"/>
      <c r="BM15" s="16"/>
      <c r="BN15" s="16"/>
    </row>
    <row r="16">
      <c r="A16" s="62" t="s">
        <v>262</v>
      </c>
      <c r="B16" s="63"/>
      <c r="C16" s="62" t="s">
        <v>184</v>
      </c>
      <c r="D16" s="63"/>
      <c r="E16" s="62" t="s">
        <v>263</v>
      </c>
      <c r="F16" s="62" t="s">
        <v>60</v>
      </c>
      <c r="G16" s="63"/>
      <c r="H16" s="62" t="s">
        <v>172</v>
      </c>
      <c r="I16" s="63"/>
      <c r="J16" s="64">
        <v>46081.0</v>
      </c>
      <c r="K16" s="65">
        <v>0.75</v>
      </c>
      <c r="L16" s="64">
        <v>46086.0</v>
      </c>
      <c r="M16" s="65">
        <v>0.4375</v>
      </c>
      <c r="N16" s="65">
        <v>4.6875</v>
      </c>
      <c r="O16" s="66">
        <v>112.5</v>
      </c>
      <c r="R16" s="67"/>
      <c r="S16" s="68">
        <v>46081.0</v>
      </c>
      <c r="T16" s="38" t="str">
        <f>IFERROR(__xludf.DUMMYFUNCTION("""COMPUTED_VALUE"""),"General - West Jordan Symphony")</f>
        <v>General - West Jordan Symphony</v>
      </c>
      <c r="U16" s="38" t="s">
        <v>170</v>
      </c>
      <c r="V16" s="38" t="s">
        <v>60</v>
      </c>
      <c r="W16" s="38" t="str">
        <f>IFERROR(__xludf.DUMMYFUNCTION("""COMPUTED_VALUE"""),"Participant Hours")</f>
        <v>Participant Hours</v>
      </c>
      <c r="X16" s="38" t="s">
        <v>44</v>
      </c>
      <c r="Y16" s="38">
        <v>112.5</v>
      </c>
      <c r="Z16" s="38" t="s">
        <v>172</v>
      </c>
      <c r="AA16" s="38" t="s">
        <v>152</v>
      </c>
      <c r="AB16" s="68">
        <v>46081.0</v>
      </c>
      <c r="AC16" s="38" t="s">
        <v>184</v>
      </c>
      <c r="AK16" s="38" t="str">
        <f>IFERROR(__xludf.DUMMYFUNCTION("""COMPUTED_VALUE"""),"CASWJ Board mtg")</f>
        <v>CASWJ Board mtg</v>
      </c>
      <c r="AP16" s="73">
        <v>46081.0</v>
      </c>
      <c r="AQ16" s="38" t="s">
        <v>64</v>
      </c>
      <c r="AR16" s="38" t="s">
        <v>170</v>
      </c>
      <c r="AS16" s="38" t="s">
        <v>60</v>
      </c>
      <c r="AT16" s="38" t="s">
        <v>48</v>
      </c>
      <c r="AU16" s="38" t="s">
        <v>44</v>
      </c>
      <c r="AV16" s="74">
        <v>0.75</v>
      </c>
      <c r="AW16" s="74">
        <v>0.4375</v>
      </c>
      <c r="AX16" s="38">
        <v>112.5</v>
      </c>
      <c r="AY16" s="38" t="s">
        <v>179</v>
      </c>
      <c r="AZ16" s="38" t="s">
        <v>179</v>
      </c>
      <c r="BA16" s="38" t="s">
        <v>179</v>
      </c>
      <c r="BB16" s="38" t="s">
        <v>179</v>
      </c>
      <c r="BC16" s="38" t="s">
        <v>172</v>
      </c>
      <c r="BD16" s="38" t="s">
        <v>152</v>
      </c>
      <c r="BE16" s="68">
        <v>46081.0</v>
      </c>
      <c r="BF16" s="38" t="s">
        <v>184</v>
      </c>
    </row>
    <row r="17">
      <c r="A17" s="62" t="s">
        <v>262</v>
      </c>
      <c r="B17" s="63"/>
      <c r="C17" s="62" t="s">
        <v>188</v>
      </c>
      <c r="D17" s="63"/>
      <c r="E17" s="62" t="s">
        <v>186</v>
      </c>
      <c r="F17" s="75" t="s">
        <v>53</v>
      </c>
      <c r="G17" s="63"/>
      <c r="H17" s="75" t="s">
        <v>187</v>
      </c>
      <c r="I17" s="63"/>
      <c r="J17" s="64">
        <v>46081.0</v>
      </c>
      <c r="K17" s="65">
        <v>0.5868055555555556</v>
      </c>
      <c r="L17" s="64">
        <v>46081.0</v>
      </c>
      <c r="M17" s="65">
        <v>0.65625</v>
      </c>
      <c r="N17" s="65">
        <v>0.06944444444444445</v>
      </c>
      <c r="O17" s="66">
        <v>1.666667</v>
      </c>
      <c r="R17" s="67"/>
      <c r="S17" s="68">
        <v>46081.0</v>
      </c>
      <c r="T17" s="38" t="str">
        <f>IFERROR(__xludf.DUMMYFUNCTION("""COMPUTED_VALUE"""),"General - Visual Arts Society")</f>
        <v>General - Visual Arts Society</v>
      </c>
      <c r="U17" s="38" t="s">
        <v>186</v>
      </c>
      <c r="V17" s="38" t="s">
        <v>53</v>
      </c>
      <c r="W17" s="38" t="str">
        <f>IFERROR(__xludf.DUMMYFUNCTION("""COMPUTED_VALUE"""),"Committee Member Hours")</f>
        <v>Committee Member Hours</v>
      </c>
      <c r="X17" s="38" t="s">
        <v>44</v>
      </c>
      <c r="Y17" s="38">
        <v>1.666667</v>
      </c>
      <c r="Z17" s="38" t="s">
        <v>187</v>
      </c>
      <c r="AA17" s="38" t="s">
        <v>152</v>
      </c>
      <c r="AB17" s="68">
        <v>46081.0</v>
      </c>
      <c r="AC17" s="38" t="s">
        <v>188</v>
      </c>
      <c r="AK17" s="38" t="str">
        <f>IFERROR(__xludf.DUMMYFUNCTION("""COMPUTED_VALUE"""),"CASWJ entities review")</f>
        <v>CASWJ entities review</v>
      </c>
      <c r="AM17" s="38" t="str">
        <f>IFERROR(__xludf.DUMMYFUNCTION("SORT(UNIQUE(FILTER(E2:E1000,V2:V1000="""")))"),"lynnette111owens")</f>
        <v>lynnette111owens</v>
      </c>
      <c r="AN17" s="16" t="s">
        <v>53</v>
      </c>
      <c r="AP17" s="73">
        <v>46081.0</v>
      </c>
      <c r="AQ17" s="38" t="s">
        <v>185</v>
      </c>
      <c r="AR17" s="38" t="s">
        <v>186</v>
      </c>
      <c r="AS17" s="38" t="s">
        <v>53</v>
      </c>
      <c r="AT17" s="38" t="s">
        <v>42</v>
      </c>
      <c r="AU17" s="38" t="s">
        <v>44</v>
      </c>
      <c r="AV17" s="74">
        <v>0.5868055555555556</v>
      </c>
      <c r="AW17" s="74">
        <v>0.65625</v>
      </c>
      <c r="AX17" s="38">
        <v>1.666667</v>
      </c>
      <c r="AY17" s="38" t="s">
        <v>179</v>
      </c>
      <c r="AZ17" s="38" t="s">
        <v>179</v>
      </c>
      <c r="BA17" s="38" t="s">
        <v>179</v>
      </c>
      <c r="BB17" s="38" t="s">
        <v>179</v>
      </c>
      <c r="BC17" s="38" t="s">
        <v>187</v>
      </c>
      <c r="BD17" s="38" t="s">
        <v>152</v>
      </c>
      <c r="BE17" s="68">
        <v>46081.0</v>
      </c>
      <c r="BF17" s="38" t="s">
        <v>188</v>
      </c>
    </row>
    <row r="18">
      <c r="A18" s="62" t="s">
        <v>262</v>
      </c>
      <c r="B18" s="63"/>
      <c r="C18" s="62" t="s">
        <v>190</v>
      </c>
      <c r="D18" s="63"/>
      <c r="E18" s="62" t="s">
        <v>281</v>
      </c>
      <c r="F18" s="75" t="s">
        <v>53</v>
      </c>
      <c r="G18" s="63"/>
      <c r="H18" s="75" t="s">
        <v>187</v>
      </c>
      <c r="I18" s="63"/>
      <c r="J18" s="64">
        <v>46081.0</v>
      </c>
      <c r="K18" s="65">
        <v>0.5833333333333334</v>
      </c>
      <c r="L18" s="64">
        <v>46081.0</v>
      </c>
      <c r="M18" s="65">
        <v>0.6666666666666666</v>
      </c>
      <c r="N18" s="65">
        <v>0.08333333333333333</v>
      </c>
      <c r="O18" s="66">
        <v>2.0</v>
      </c>
      <c r="R18" s="67"/>
      <c r="S18" s="68">
        <v>46081.0</v>
      </c>
      <c r="T18" s="38" t="str">
        <f>IFERROR(__xludf.DUMMYFUNCTION("""COMPUTED_VALUE"""),"General - Visual Arts Society")</f>
        <v>General - Visual Arts Society</v>
      </c>
      <c r="U18" s="38" t="s">
        <v>189</v>
      </c>
      <c r="V18" s="38" t="s">
        <v>53</v>
      </c>
      <c r="W18" s="38" t="str">
        <f>IFERROR(__xludf.DUMMYFUNCTION("""COMPUTED_VALUE"""),"Committee Member Hours")</f>
        <v>Committee Member Hours</v>
      </c>
      <c r="X18" s="38" t="s">
        <v>44</v>
      </c>
      <c r="Y18" s="38">
        <v>2.0</v>
      </c>
      <c r="Z18" s="38" t="s">
        <v>187</v>
      </c>
      <c r="AA18" s="38" t="s">
        <v>152</v>
      </c>
      <c r="AB18" s="68">
        <v>46081.0</v>
      </c>
      <c r="AC18" s="38" t="s">
        <v>190</v>
      </c>
      <c r="AK18" s="38" t="str">
        <f>IFERROR(__xludf.DUMMYFUNCTION("""COMPUTED_VALUE"""),"Coffee truck arrangements, f/u sanitation, email Plein Air partners, fill out Costco request")</f>
        <v>Coffee truck arrangements, f/u sanitation, email Plein Air partners, fill out Costco request</v>
      </c>
      <c r="AM18" s="38" t="str">
        <f>IFERROR(__xludf.DUMMYFUNCTION("""COMPUTED_VALUE"""),"rocrowley")</f>
        <v>rocrowley</v>
      </c>
      <c r="AN18" s="16" t="s">
        <v>65</v>
      </c>
      <c r="AP18" s="73">
        <v>46081.0</v>
      </c>
      <c r="AQ18" s="38" t="s">
        <v>185</v>
      </c>
      <c r="AR18" s="38" t="s">
        <v>189</v>
      </c>
      <c r="AS18" s="38" t="s">
        <v>53</v>
      </c>
      <c r="AT18" s="38" t="s">
        <v>42</v>
      </c>
      <c r="AU18" s="38" t="s">
        <v>44</v>
      </c>
      <c r="AV18" s="74">
        <v>0.5833333333333334</v>
      </c>
      <c r="AW18" s="74">
        <v>0.6666666666666666</v>
      </c>
      <c r="AX18" s="38">
        <v>2.0</v>
      </c>
      <c r="AY18" s="38" t="s">
        <v>179</v>
      </c>
      <c r="AZ18" s="38" t="s">
        <v>179</v>
      </c>
      <c r="BA18" s="38" t="s">
        <v>179</v>
      </c>
      <c r="BB18" s="38" t="s">
        <v>179</v>
      </c>
      <c r="BC18" s="38" t="s">
        <v>187</v>
      </c>
      <c r="BD18" s="38" t="s">
        <v>152</v>
      </c>
      <c r="BE18" s="68">
        <v>46081.0</v>
      </c>
      <c r="BF18" s="38" t="s">
        <v>190</v>
      </c>
    </row>
    <row r="19">
      <c r="A19" s="62" t="s">
        <v>262</v>
      </c>
      <c r="B19" s="63"/>
      <c r="C19" s="62" t="s">
        <v>192</v>
      </c>
      <c r="D19" s="63"/>
      <c r="E19" s="62" t="s">
        <v>271</v>
      </c>
      <c r="F19" s="75" t="s">
        <v>53</v>
      </c>
      <c r="G19" s="63"/>
      <c r="H19" s="62" t="s">
        <v>176</v>
      </c>
      <c r="I19" s="63"/>
      <c r="J19" s="64">
        <v>46081.0</v>
      </c>
      <c r="K19" s="65">
        <v>0.5833333333333334</v>
      </c>
      <c r="L19" s="64">
        <v>46081.0</v>
      </c>
      <c r="M19" s="65">
        <v>0.65625</v>
      </c>
      <c r="N19" s="65">
        <v>0.07291666666666667</v>
      </c>
      <c r="O19" s="66">
        <v>1.75</v>
      </c>
      <c r="R19" s="67"/>
      <c r="S19" s="68">
        <v>46081.0</v>
      </c>
      <c r="T19" s="38" t="str">
        <f>IFERROR(__xludf.DUMMYFUNCTION("""COMPUTED_VALUE"""),"Art in the Park 2026")</f>
        <v>Art in the Park 2026</v>
      </c>
      <c r="U19" s="38" t="s">
        <v>175</v>
      </c>
      <c r="V19" s="38" t="s">
        <v>53</v>
      </c>
      <c r="W19" s="38" t="str">
        <f>IFERROR(__xludf.DUMMYFUNCTION("""COMPUTED_VALUE"""),"Committee Member Hours")</f>
        <v>Committee Member Hours</v>
      </c>
      <c r="X19" s="38" t="s">
        <v>44</v>
      </c>
      <c r="Y19" s="38">
        <v>1.75</v>
      </c>
      <c r="Z19" s="38" t="s">
        <v>176</v>
      </c>
      <c r="AA19" s="38" t="s">
        <v>152</v>
      </c>
      <c r="AB19" s="68">
        <v>46081.0</v>
      </c>
      <c r="AC19" s="38" t="s">
        <v>192</v>
      </c>
      <c r="AK19" s="38" t="str">
        <f>IFERROR(__xludf.DUMMYFUNCTION("""COMPUTED_VALUE"""),"Committee lunch")</f>
        <v>Committee lunch</v>
      </c>
      <c r="AM19" s="38"/>
      <c r="AP19" s="73">
        <v>46081.0</v>
      </c>
      <c r="AQ19" s="38" t="s">
        <v>174</v>
      </c>
      <c r="AR19" s="38" t="s">
        <v>175</v>
      </c>
      <c r="AS19" s="38" t="s">
        <v>53</v>
      </c>
      <c r="AT19" s="38" t="s">
        <v>42</v>
      </c>
      <c r="AU19" s="38" t="s">
        <v>44</v>
      </c>
      <c r="AV19" s="74">
        <v>0.5833333333333334</v>
      </c>
      <c r="AW19" s="74">
        <v>0.65625</v>
      </c>
      <c r="AX19" s="38">
        <v>1.75</v>
      </c>
      <c r="AY19" s="38" t="s">
        <v>179</v>
      </c>
      <c r="AZ19" s="38" t="s">
        <v>179</v>
      </c>
      <c r="BA19" s="38" t="s">
        <v>179</v>
      </c>
      <c r="BB19" s="38" t="s">
        <v>179</v>
      </c>
      <c r="BC19" s="38" t="s">
        <v>176</v>
      </c>
      <c r="BD19" s="38" t="s">
        <v>152</v>
      </c>
      <c r="BE19" s="68">
        <v>46081.0</v>
      </c>
      <c r="BF19" s="38" t="s">
        <v>192</v>
      </c>
    </row>
    <row r="20">
      <c r="A20" s="62" t="s">
        <v>262</v>
      </c>
      <c r="B20" s="63"/>
      <c r="C20" s="62" t="s">
        <v>32</v>
      </c>
      <c r="D20" s="63"/>
      <c r="E20" s="62" t="s">
        <v>282</v>
      </c>
      <c r="F20" s="75" t="s">
        <v>33</v>
      </c>
      <c r="G20" s="63"/>
      <c r="H20" s="62" t="s">
        <v>195</v>
      </c>
      <c r="I20" s="63"/>
      <c r="J20" s="64">
        <v>46081.0</v>
      </c>
      <c r="K20" s="65">
        <v>0.375</v>
      </c>
      <c r="L20" s="64">
        <v>46081.0</v>
      </c>
      <c r="M20" s="65">
        <v>0.7083333333333334</v>
      </c>
      <c r="N20" s="65">
        <v>0.3333333333333333</v>
      </c>
      <c r="O20" s="66">
        <v>8.0</v>
      </c>
      <c r="R20" s="67"/>
      <c r="S20" s="68">
        <v>46081.0</v>
      </c>
      <c r="T20" s="38" t="str">
        <f>IFERROR(__xludf.DUMMYFUNCTION("""COMPUTED_VALUE"""),"")</f>
        <v/>
      </c>
      <c r="U20" s="38" t="s">
        <v>194</v>
      </c>
      <c r="V20" s="38" t="s">
        <v>179</v>
      </c>
      <c r="W20" s="38" t="str">
        <f>IFERROR(__xludf.DUMMYFUNCTION("""COMPUTED_VALUE"""),"CASWJ Board Hours")</f>
        <v>CASWJ Board Hours</v>
      </c>
      <c r="X20" s="38" t="s">
        <v>44</v>
      </c>
      <c r="Y20" s="38">
        <v>8.0</v>
      </c>
      <c r="Z20" s="38" t="s">
        <v>195</v>
      </c>
      <c r="AA20" s="38" t="s">
        <v>152</v>
      </c>
      <c r="AB20" s="68">
        <v>46081.0</v>
      </c>
      <c r="AC20" s="38" t="s">
        <v>32</v>
      </c>
      <c r="AK20" s="38" t="str">
        <f>IFERROR(__xludf.DUMMYFUNCTION("""COMPUTED_VALUE"""),"Committee meeting")</f>
        <v>Committee meeting</v>
      </c>
      <c r="AN20" s="16" t="s">
        <v>49</v>
      </c>
      <c r="AP20" s="73">
        <v>46081.0</v>
      </c>
      <c r="AQ20" s="38" t="s">
        <v>179</v>
      </c>
      <c r="AR20" s="38" t="s">
        <v>194</v>
      </c>
      <c r="AS20" s="38" t="s">
        <v>179</v>
      </c>
      <c r="AT20" s="38" t="s">
        <v>32</v>
      </c>
      <c r="AU20" s="38" t="s">
        <v>44</v>
      </c>
      <c r="AV20" s="74">
        <v>0.375</v>
      </c>
      <c r="AW20" s="74">
        <v>0.7083333333333334</v>
      </c>
      <c r="AX20" s="38">
        <v>8.0</v>
      </c>
      <c r="AY20" s="38" t="s">
        <v>179</v>
      </c>
      <c r="AZ20" s="38" t="s">
        <v>179</v>
      </c>
      <c r="BA20" s="38" t="s">
        <v>179</v>
      </c>
      <c r="BB20" s="38" t="s">
        <v>179</v>
      </c>
      <c r="BC20" s="38" t="s">
        <v>195</v>
      </c>
      <c r="BD20" s="38" t="s">
        <v>152</v>
      </c>
      <c r="BE20" s="68">
        <v>46081.0</v>
      </c>
      <c r="BF20" s="38" t="s">
        <v>32</v>
      </c>
    </row>
    <row r="21">
      <c r="A21" s="62" t="s">
        <v>262</v>
      </c>
      <c r="B21" s="63"/>
      <c r="C21" s="62" t="s">
        <v>196</v>
      </c>
      <c r="D21" s="63"/>
      <c r="E21" s="62" t="s">
        <v>282</v>
      </c>
      <c r="F21" s="75" t="s">
        <v>53</v>
      </c>
      <c r="G21" s="63"/>
      <c r="H21" s="75" t="s">
        <v>187</v>
      </c>
      <c r="I21" s="63"/>
      <c r="J21" s="64">
        <v>46081.0</v>
      </c>
      <c r="K21" s="65">
        <v>0.375</v>
      </c>
      <c r="L21" s="64">
        <v>46081.0</v>
      </c>
      <c r="M21" s="65">
        <v>0.7916666666666666</v>
      </c>
      <c r="N21" s="65">
        <v>0.4166666666666667</v>
      </c>
      <c r="O21" s="66">
        <v>10.0</v>
      </c>
      <c r="R21" s="67"/>
      <c r="S21" s="68">
        <v>46081.0</v>
      </c>
      <c r="T21" s="38" t="str">
        <f>IFERROR(__xludf.DUMMYFUNCTION("""COMPUTED_VALUE"""),"General - Visual Arts Society")</f>
        <v>General - Visual Arts Society</v>
      </c>
      <c r="U21" s="38" t="s">
        <v>194</v>
      </c>
      <c r="V21" s="38" t="s">
        <v>53</v>
      </c>
      <c r="W21" s="38" t="str">
        <f>IFERROR(__xludf.DUMMYFUNCTION("""COMPUTED_VALUE"""),"Committee Member Hours")</f>
        <v>Committee Member Hours</v>
      </c>
      <c r="X21" s="38" t="s">
        <v>44</v>
      </c>
      <c r="Y21" s="38">
        <v>10.0</v>
      </c>
      <c r="Z21" s="38" t="s">
        <v>187</v>
      </c>
      <c r="AA21" s="38" t="s">
        <v>152</v>
      </c>
      <c r="AB21" s="68">
        <v>46081.0</v>
      </c>
      <c r="AC21" s="38" t="s">
        <v>196</v>
      </c>
      <c r="AK21" s="38" t="str">
        <f>IFERROR(__xludf.DUMMYFUNCTION("""COMPUTED_VALUE"""),"Concert")</f>
        <v>Concert</v>
      </c>
      <c r="AN21" s="16" t="s">
        <v>33</v>
      </c>
      <c r="AP21" s="73">
        <v>46081.0</v>
      </c>
      <c r="AQ21" s="38" t="s">
        <v>185</v>
      </c>
      <c r="AR21" s="38" t="s">
        <v>194</v>
      </c>
      <c r="AS21" s="38" t="s">
        <v>53</v>
      </c>
      <c r="AT21" s="38" t="s">
        <v>42</v>
      </c>
      <c r="AU21" s="38" t="s">
        <v>44</v>
      </c>
      <c r="AV21" s="74">
        <v>0.375</v>
      </c>
      <c r="AW21" s="74">
        <v>0.7916666666666666</v>
      </c>
      <c r="AX21" s="38">
        <v>10.0</v>
      </c>
      <c r="AY21" s="38" t="s">
        <v>179</v>
      </c>
      <c r="AZ21" s="38" t="s">
        <v>179</v>
      </c>
      <c r="BA21" s="38" t="s">
        <v>179</v>
      </c>
      <c r="BB21" s="38" t="s">
        <v>179</v>
      </c>
      <c r="BC21" s="38" t="s">
        <v>187</v>
      </c>
      <c r="BD21" s="38" t="s">
        <v>152</v>
      </c>
      <c r="BE21" s="68">
        <v>46081.0</v>
      </c>
      <c r="BF21" s="38" t="s">
        <v>196</v>
      </c>
    </row>
    <row r="22">
      <c r="A22" s="62" t="s">
        <v>262</v>
      </c>
      <c r="B22" s="63"/>
      <c r="C22" s="62" t="s">
        <v>173</v>
      </c>
      <c r="D22" s="63"/>
      <c r="E22" s="62" t="s">
        <v>263</v>
      </c>
      <c r="F22" s="75" t="s">
        <v>60</v>
      </c>
      <c r="G22" s="63"/>
      <c r="H22" s="62" t="s">
        <v>172</v>
      </c>
      <c r="I22" s="63"/>
      <c r="J22" s="64">
        <v>46081.0</v>
      </c>
      <c r="K22" s="65">
        <v>0.375</v>
      </c>
      <c r="L22" s="64">
        <v>46086.0</v>
      </c>
      <c r="M22" s="65">
        <v>0.16666666666666666</v>
      </c>
      <c r="N22" s="65">
        <v>4.791666666666667</v>
      </c>
      <c r="O22" s="66">
        <v>115.0</v>
      </c>
      <c r="R22" s="67"/>
      <c r="S22" s="68">
        <v>46081.0</v>
      </c>
      <c r="T22" s="38" t="str">
        <f>IFERROR(__xludf.DUMMYFUNCTION("""COMPUTED_VALUE"""),"General - West Jordan Symphony")</f>
        <v>General - West Jordan Symphony</v>
      </c>
      <c r="U22" s="38" t="s">
        <v>170</v>
      </c>
      <c r="V22" s="38" t="s">
        <v>60</v>
      </c>
      <c r="W22" s="38" t="str">
        <f>IFERROR(__xludf.DUMMYFUNCTION("""COMPUTED_VALUE"""),"Participant Hours")</f>
        <v>Participant Hours</v>
      </c>
      <c r="X22" s="38" t="s">
        <v>44</v>
      </c>
      <c r="Y22" s="38">
        <v>115.0</v>
      </c>
      <c r="Z22" s="38" t="s">
        <v>172</v>
      </c>
      <c r="AA22" s="38" t="s">
        <v>152</v>
      </c>
      <c r="AB22" s="68">
        <v>46081.0</v>
      </c>
      <c r="AC22" s="38" t="s">
        <v>173</v>
      </c>
      <c r="AK22" s="38" t="str">
        <f>IFERROR(__xludf.DUMMYFUNCTION("""COMPUTED_VALUE"""),"Conservation Garden meeting")</f>
        <v>Conservation Garden meeting</v>
      </c>
      <c r="AP22" s="73">
        <v>46081.0</v>
      </c>
      <c r="AQ22" s="38" t="s">
        <v>64</v>
      </c>
      <c r="AR22" s="38" t="s">
        <v>170</v>
      </c>
      <c r="AS22" s="38" t="s">
        <v>60</v>
      </c>
      <c r="AT22" s="38" t="s">
        <v>48</v>
      </c>
      <c r="AU22" s="38" t="s">
        <v>44</v>
      </c>
      <c r="AV22" s="74">
        <v>0.375</v>
      </c>
      <c r="AW22" s="74">
        <v>0.16666666666666666</v>
      </c>
      <c r="AX22" s="38">
        <v>115.0</v>
      </c>
      <c r="AY22" s="38" t="s">
        <v>179</v>
      </c>
      <c r="AZ22" s="38" t="s">
        <v>179</v>
      </c>
      <c r="BA22" s="38" t="s">
        <v>179</v>
      </c>
      <c r="BB22" s="38" t="s">
        <v>179</v>
      </c>
      <c r="BC22" s="38" t="s">
        <v>172</v>
      </c>
      <c r="BD22" s="38" t="s">
        <v>152</v>
      </c>
      <c r="BE22" s="68">
        <v>46081.0</v>
      </c>
      <c r="BF22" s="38" t="s">
        <v>173</v>
      </c>
    </row>
    <row r="23">
      <c r="A23" s="62" t="s">
        <v>262</v>
      </c>
      <c r="B23" s="63"/>
      <c r="C23" s="62" t="s">
        <v>198</v>
      </c>
      <c r="D23" s="63"/>
      <c r="E23" s="62" t="s">
        <v>283</v>
      </c>
      <c r="F23" s="75" t="s">
        <v>284</v>
      </c>
      <c r="G23" s="63"/>
      <c r="H23" s="62" t="s">
        <v>195</v>
      </c>
      <c r="I23" s="63"/>
      <c r="J23" s="64">
        <v>46081.0</v>
      </c>
      <c r="K23" s="65">
        <v>0.3645833333333333</v>
      </c>
      <c r="L23" s="64">
        <v>46081.0</v>
      </c>
      <c r="M23" s="65">
        <v>0.42083333333333334</v>
      </c>
      <c r="N23" s="65">
        <v>0.05625</v>
      </c>
      <c r="O23" s="66">
        <v>1.35</v>
      </c>
      <c r="R23" s="67"/>
      <c r="S23" s="68">
        <v>46081.0</v>
      </c>
      <c r="T23" s="38" t="str">
        <f>IFERROR(__xludf.DUMMYFUNCTION("""COMPUTED_VALUE"""),"")</f>
        <v/>
      </c>
      <c r="U23" s="38" t="s">
        <v>197</v>
      </c>
      <c r="V23" s="38" t="s">
        <v>179</v>
      </c>
      <c r="W23" s="38" t="str">
        <f>IFERROR(__xludf.DUMMYFUNCTION("""COMPUTED_VALUE"""),"CASWJ Board Hours")</f>
        <v>CASWJ Board Hours</v>
      </c>
      <c r="X23" s="38" t="s">
        <v>44</v>
      </c>
      <c r="Y23" s="38">
        <v>1.35</v>
      </c>
      <c r="Z23" s="38" t="s">
        <v>195</v>
      </c>
      <c r="AA23" s="38" t="s">
        <v>152</v>
      </c>
      <c r="AB23" s="68">
        <v>46081.0</v>
      </c>
      <c r="AC23" s="38" t="s">
        <v>198</v>
      </c>
      <c r="AK23" s="38" t="str">
        <f>IFERROR(__xludf.DUMMYFUNCTION("""COMPUTED_VALUE"""),"Contacting schools for volunteers")</f>
        <v>Contacting schools for volunteers</v>
      </c>
      <c r="AN23" s="16" t="s">
        <v>60</v>
      </c>
      <c r="AP23" s="73">
        <v>46081.0</v>
      </c>
      <c r="AQ23" s="38" t="s">
        <v>179</v>
      </c>
      <c r="AR23" s="38" t="s">
        <v>197</v>
      </c>
      <c r="AS23" s="38" t="s">
        <v>179</v>
      </c>
      <c r="AT23" s="38" t="s">
        <v>32</v>
      </c>
      <c r="AU23" s="38" t="s">
        <v>44</v>
      </c>
      <c r="AV23" s="74">
        <v>0.3645833333333333</v>
      </c>
      <c r="AW23" s="74">
        <v>0.42083333333333334</v>
      </c>
      <c r="AX23" s="38">
        <v>1.35</v>
      </c>
      <c r="AY23" s="38" t="s">
        <v>179</v>
      </c>
      <c r="AZ23" s="38" t="s">
        <v>179</v>
      </c>
      <c r="BA23" s="38" t="s">
        <v>179</v>
      </c>
      <c r="BB23" s="38" t="s">
        <v>179</v>
      </c>
      <c r="BC23" s="38" t="s">
        <v>195</v>
      </c>
      <c r="BD23" s="38" t="s">
        <v>152</v>
      </c>
      <c r="BE23" s="68">
        <v>46081.0</v>
      </c>
      <c r="BF23" s="38" t="s">
        <v>198</v>
      </c>
    </row>
    <row r="24">
      <c r="A24" s="62" t="s">
        <v>262</v>
      </c>
      <c r="B24" s="63"/>
      <c r="C24" s="62" t="s">
        <v>202</v>
      </c>
      <c r="D24" s="63"/>
      <c r="E24" s="62" t="s">
        <v>285</v>
      </c>
      <c r="F24" s="75" t="s">
        <v>270</v>
      </c>
      <c r="G24" s="63"/>
      <c r="H24" s="75" t="s">
        <v>201</v>
      </c>
      <c r="I24" s="63"/>
      <c r="J24" s="64">
        <v>46081.0</v>
      </c>
      <c r="K24" s="65">
        <v>0.29791666666666666</v>
      </c>
      <c r="L24" s="64">
        <v>46081.0</v>
      </c>
      <c r="M24" s="65">
        <v>0.9645833333333333</v>
      </c>
      <c r="N24" s="65">
        <v>0.6666666666666666</v>
      </c>
      <c r="O24" s="66">
        <v>16.0</v>
      </c>
      <c r="R24" s="67"/>
      <c r="S24" s="68">
        <v>46081.0</v>
      </c>
      <c r="T24" s="38" t="str">
        <f>IFERROR(__xludf.DUMMYFUNCTION("""COMPUTED_VALUE"""),"General / No Specific Project")</f>
        <v>General / No Specific Project</v>
      </c>
      <c r="U24" s="38" t="s">
        <v>200</v>
      </c>
      <c r="V24" s="38" t="s">
        <v>33</v>
      </c>
      <c r="W24" s="38" t="str">
        <f>IFERROR(__xludf.DUMMYFUNCTION("""COMPUTED_VALUE"""),"CASWJ Board Hours")</f>
        <v>CASWJ Board Hours</v>
      </c>
      <c r="X24" s="38" t="s">
        <v>44</v>
      </c>
      <c r="Y24" s="38">
        <v>16.0</v>
      </c>
      <c r="Z24" s="38" t="s">
        <v>201</v>
      </c>
      <c r="AA24" s="38" t="s">
        <v>152</v>
      </c>
      <c r="AB24" s="68">
        <v>46081.0</v>
      </c>
      <c r="AC24" s="38" t="s">
        <v>202</v>
      </c>
      <c r="AK24" s="38" t="str">
        <f>IFERROR(__xludf.DUMMYFUNCTION("""COMPUTED_VALUE"""),"contacting volunteers")</f>
        <v>contacting volunteers</v>
      </c>
      <c r="AP24" s="73">
        <v>46081.0</v>
      </c>
      <c r="AQ24" s="38" t="s">
        <v>199</v>
      </c>
      <c r="AR24" s="38" t="s">
        <v>200</v>
      </c>
      <c r="AS24" s="38" t="s">
        <v>33</v>
      </c>
      <c r="AT24" s="38" t="s">
        <v>32</v>
      </c>
      <c r="AU24" s="38" t="s">
        <v>44</v>
      </c>
      <c r="AV24" s="74">
        <v>0.29791666666666666</v>
      </c>
      <c r="AW24" s="74">
        <v>0.9645833333333333</v>
      </c>
      <c r="AX24" s="38">
        <v>16.0</v>
      </c>
      <c r="AY24" s="38" t="s">
        <v>179</v>
      </c>
      <c r="AZ24" s="38" t="s">
        <v>179</v>
      </c>
      <c r="BA24" s="38" t="s">
        <v>179</v>
      </c>
      <c r="BB24" s="38" t="s">
        <v>179</v>
      </c>
      <c r="BC24" s="38" t="s">
        <v>201</v>
      </c>
      <c r="BD24" s="38" t="s">
        <v>152</v>
      </c>
      <c r="BE24" s="68">
        <v>46081.0</v>
      </c>
      <c r="BF24" s="38" t="s">
        <v>202</v>
      </c>
    </row>
    <row r="25">
      <c r="A25" s="62" t="s">
        <v>262</v>
      </c>
      <c r="B25" s="63"/>
      <c r="C25" s="62" t="s">
        <v>183</v>
      </c>
      <c r="D25" s="63"/>
      <c r="E25" s="62" t="s">
        <v>269</v>
      </c>
      <c r="F25" s="75" t="s">
        <v>65</v>
      </c>
      <c r="G25" s="63"/>
      <c r="H25" s="62" t="s">
        <v>168</v>
      </c>
      <c r="I25" s="63"/>
      <c r="J25" s="64">
        <v>46081.0</v>
      </c>
      <c r="K25" s="65">
        <v>0.17569444444444443</v>
      </c>
      <c r="L25" s="64">
        <v>46122.0</v>
      </c>
      <c r="M25" s="65">
        <v>0.8423611111111111</v>
      </c>
      <c r="N25" s="72">
        <v>41.625</v>
      </c>
      <c r="O25" s="66">
        <v>999.0</v>
      </c>
      <c r="R25" s="67"/>
      <c r="S25" s="68">
        <v>46081.0</v>
      </c>
      <c r="T25" s="38" t="str">
        <f>IFERROR(__xludf.DUMMYFUNCTION("""COMPUTED_VALUE"""),"General - West Jordan Youth Theatre")</f>
        <v>General - West Jordan Youth Theatre</v>
      </c>
      <c r="U25" s="38" t="s">
        <v>165</v>
      </c>
      <c r="V25" s="38" t="s">
        <v>65</v>
      </c>
      <c r="W25" s="38" t="str">
        <f>IFERROR(__xludf.DUMMYFUNCTION("""COMPUTED_VALUE"""),"")</f>
        <v/>
      </c>
      <c r="X25" s="38" t="s">
        <v>44</v>
      </c>
      <c r="Y25" s="38">
        <v>999.0</v>
      </c>
      <c r="Z25" s="38" t="s">
        <v>168</v>
      </c>
      <c r="AA25" s="38" t="s">
        <v>152</v>
      </c>
      <c r="AB25" s="68">
        <v>46081.0</v>
      </c>
      <c r="AC25" s="38" t="s">
        <v>183</v>
      </c>
      <c r="AK25" s="38" t="str">
        <f>IFERROR(__xludf.DUMMYFUNCTION("""COMPUTED_VALUE"""),"Conversation garden meeting")</f>
        <v>Conversation garden meeting</v>
      </c>
      <c r="AP25" s="73">
        <v>46081.0</v>
      </c>
      <c r="AQ25" s="38" t="s">
        <v>164</v>
      </c>
      <c r="AR25" s="38" t="s">
        <v>165</v>
      </c>
      <c r="AS25" s="38" t="s">
        <v>65</v>
      </c>
      <c r="AT25" s="38" t="s">
        <v>179</v>
      </c>
      <c r="AU25" s="38" t="s">
        <v>44</v>
      </c>
      <c r="AV25" s="74">
        <v>0.17569444444444443</v>
      </c>
      <c r="AW25" s="74">
        <v>0.8423611111111111</v>
      </c>
      <c r="AX25" s="38">
        <v>999.0</v>
      </c>
      <c r="AY25" s="38" t="s">
        <v>179</v>
      </c>
      <c r="AZ25" s="38" t="s">
        <v>179</v>
      </c>
      <c r="BA25" s="38" t="s">
        <v>179</v>
      </c>
      <c r="BB25" s="38" t="s">
        <v>179</v>
      </c>
      <c r="BC25" s="38" t="s">
        <v>168</v>
      </c>
      <c r="BD25" s="38" t="s">
        <v>152</v>
      </c>
      <c r="BE25" s="68">
        <v>46081.0</v>
      </c>
      <c r="BF25" s="38" t="s">
        <v>183</v>
      </c>
    </row>
    <row r="26">
      <c r="A26" s="62" t="s">
        <v>262</v>
      </c>
      <c r="B26" s="63"/>
      <c r="C26" s="62" t="s">
        <v>198</v>
      </c>
      <c r="D26" s="63"/>
      <c r="E26" s="62" t="s">
        <v>283</v>
      </c>
      <c r="F26" s="75" t="s">
        <v>33</v>
      </c>
      <c r="G26" s="63"/>
      <c r="H26" s="62" t="s">
        <v>195</v>
      </c>
      <c r="I26" s="63"/>
      <c r="J26" s="64">
        <v>46079.0</v>
      </c>
      <c r="K26" s="65">
        <v>0.40625</v>
      </c>
      <c r="L26" s="64">
        <v>46079.0</v>
      </c>
      <c r="M26" s="65">
        <v>0.4340277777777778</v>
      </c>
      <c r="N26" s="72">
        <v>0.027777777777777776</v>
      </c>
      <c r="O26" s="66">
        <v>0.666667</v>
      </c>
      <c r="R26" s="67"/>
      <c r="S26" s="68">
        <v>46079.0</v>
      </c>
      <c r="T26" s="38" t="str">
        <f>IFERROR(__xludf.DUMMYFUNCTION("""COMPUTED_VALUE"""),"")</f>
        <v/>
      </c>
      <c r="U26" s="38" t="s">
        <v>197</v>
      </c>
      <c r="V26" s="38" t="s">
        <v>179</v>
      </c>
      <c r="W26" s="38" t="str">
        <f>IFERROR(__xludf.DUMMYFUNCTION("""COMPUTED_VALUE"""),"CASWJ Board Hours")</f>
        <v>CASWJ Board Hours</v>
      </c>
      <c r="X26" s="38" t="s">
        <v>44</v>
      </c>
      <c r="Y26" s="38">
        <v>0.666667</v>
      </c>
      <c r="Z26" s="38" t="s">
        <v>195</v>
      </c>
      <c r="AA26" s="38" t="s">
        <v>152</v>
      </c>
      <c r="AB26" s="68">
        <v>46079.0</v>
      </c>
      <c r="AC26" s="38" t="s">
        <v>198</v>
      </c>
      <c r="AK26" s="38" t="str">
        <f>IFERROR(__xludf.DUMMYFUNCTION("""COMPUTED_VALUE"""),"Diana Larsen board hours June")</f>
        <v>Diana Larsen board hours June</v>
      </c>
      <c r="AP26" s="73">
        <v>46079.0</v>
      </c>
      <c r="AQ26" s="38" t="s">
        <v>179</v>
      </c>
      <c r="AR26" s="38" t="s">
        <v>197</v>
      </c>
      <c r="AS26" s="38" t="s">
        <v>179</v>
      </c>
      <c r="AT26" s="38" t="s">
        <v>32</v>
      </c>
      <c r="AU26" s="38" t="s">
        <v>44</v>
      </c>
      <c r="AV26" s="74">
        <v>0.40625</v>
      </c>
      <c r="AW26" s="74">
        <v>0.4340277777777778</v>
      </c>
      <c r="AX26" s="38">
        <v>0.666667</v>
      </c>
      <c r="AY26" s="38" t="s">
        <v>179</v>
      </c>
      <c r="AZ26" s="38" t="s">
        <v>179</v>
      </c>
      <c r="BA26" s="38" t="s">
        <v>179</v>
      </c>
      <c r="BB26" s="38" t="s">
        <v>179</v>
      </c>
      <c r="BC26" s="38" t="s">
        <v>195</v>
      </c>
      <c r="BD26" s="38" t="s">
        <v>152</v>
      </c>
      <c r="BE26" s="68">
        <v>46079.0</v>
      </c>
      <c r="BF26" s="38" t="s">
        <v>198</v>
      </c>
    </row>
    <row r="27">
      <c r="A27" s="62" t="s">
        <v>262</v>
      </c>
      <c r="B27" s="63"/>
      <c r="C27" s="62" t="s">
        <v>203</v>
      </c>
      <c r="D27" s="63"/>
      <c r="E27" s="62" t="s">
        <v>271</v>
      </c>
      <c r="F27" s="75" t="s">
        <v>53</v>
      </c>
      <c r="G27" s="63"/>
      <c r="H27" s="62" t="s">
        <v>176</v>
      </c>
      <c r="I27" s="63"/>
      <c r="J27" s="64">
        <v>46078.0</v>
      </c>
      <c r="K27" s="65">
        <v>0.49027777777777776</v>
      </c>
      <c r="L27" s="64">
        <v>46078.0</v>
      </c>
      <c r="M27" s="65">
        <v>0.5104166666666666</v>
      </c>
      <c r="N27" s="65">
        <v>0.02013888888888889</v>
      </c>
      <c r="O27" s="66">
        <v>0.483333</v>
      </c>
      <c r="R27" s="67"/>
      <c r="S27" s="68">
        <v>46078.0</v>
      </c>
      <c r="T27" s="38" t="str">
        <f>IFERROR(__xludf.DUMMYFUNCTION("""COMPUTED_VALUE"""),"Art in the Park 2026")</f>
        <v>Art in the Park 2026</v>
      </c>
      <c r="U27" s="38" t="s">
        <v>175</v>
      </c>
      <c r="V27" s="38" t="s">
        <v>53</v>
      </c>
      <c r="W27" s="38" t="str">
        <f>IFERROR(__xludf.DUMMYFUNCTION("""COMPUTED_VALUE"""),"Committee Member Hours")</f>
        <v>Committee Member Hours</v>
      </c>
      <c r="X27" s="38" t="s">
        <v>44</v>
      </c>
      <c r="Y27" s="38">
        <v>0.483333</v>
      </c>
      <c r="Z27" s="38" t="s">
        <v>176</v>
      </c>
      <c r="AA27" s="38" t="s">
        <v>152</v>
      </c>
      <c r="AB27" s="68">
        <v>46078.0</v>
      </c>
      <c r="AC27" s="38" t="s">
        <v>203</v>
      </c>
      <c r="AK27" s="38" t="str">
        <f>IFERROR(__xludf.DUMMYFUNCTION("""COMPUTED_VALUE"""),"Diana Larsen board hours March")</f>
        <v>Diana Larsen board hours March</v>
      </c>
      <c r="AP27" s="73">
        <v>46078.0</v>
      </c>
      <c r="AQ27" s="38" t="s">
        <v>174</v>
      </c>
      <c r="AR27" s="38" t="s">
        <v>175</v>
      </c>
      <c r="AS27" s="38" t="s">
        <v>53</v>
      </c>
      <c r="AT27" s="38" t="s">
        <v>42</v>
      </c>
      <c r="AU27" s="38" t="s">
        <v>44</v>
      </c>
      <c r="AV27" s="74">
        <v>0.49027777777777776</v>
      </c>
      <c r="AW27" s="74">
        <v>0.5104166666666666</v>
      </c>
      <c r="AX27" s="38">
        <v>0.483333</v>
      </c>
      <c r="AY27" s="38" t="s">
        <v>179</v>
      </c>
      <c r="AZ27" s="38" t="s">
        <v>179</v>
      </c>
      <c r="BA27" s="38" t="s">
        <v>179</v>
      </c>
      <c r="BB27" s="38" t="s">
        <v>179</v>
      </c>
      <c r="BC27" s="38" t="s">
        <v>176</v>
      </c>
      <c r="BD27" s="38" t="s">
        <v>152</v>
      </c>
      <c r="BE27" s="68">
        <v>46078.0</v>
      </c>
      <c r="BF27" s="38" t="s">
        <v>203</v>
      </c>
    </row>
    <row r="28">
      <c r="A28" s="62" t="s">
        <v>262</v>
      </c>
      <c r="B28" s="63"/>
      <c r="C28" s="62" t="s">
        <v>198</v>
      </c>
      <c r="D28" s="63"/>
      <c r="E28" s="62" t="s">
        <v>283</v>
      </c>
      <c r="F28" s="75" t="s">
        <v>33</v>
      </c>
      <c r="G28" s="63"/>
      <c r="H28" s="62" t="s">
        <v>195</v>
      </c>
      <c r="I28" s="63"/>
      <c r="J28" s="64">
        <v>46077.0</v>
      </c>
      <c r="K28" s="65">
        <v>0.3784722222222222</v>
      </c>
      <c r="L28" s="64">
        <v>46077.0</v>
      </c>
      <c r="M28" s="65">
        <v>0.40625</v>
      </c>
      <c r="N28" s="72">
        <v>0.027777777777777776</v>
      </c>
      <c r="O28" s="66">
        <v>0.666667</v>
      </c>
      <c r="R28" s="67"/>
      <c r="S28" s="68">
        <v>46077.0</v>
      </c>
      <c r="T28" s="38" t="str">
        <f>IFERROR(__xludf.DUMMYFUNCTION("""COMPUTED_VALUE"""),"")</f>
        <v/>
      </c>
      <c r="U28" s="38" t="s">
        <v>197</v>
      </c>
      <c r="V28" s="38" t="s">
        <v>179</v>
      </c>
      <c r="W28" s="38" t="str">
        <f>IFERROR(__xludf.DUMMYFUNCTION("""COMPUTED_VALUE"""),"CASWJ Board Hours")</f>
        <v>CASWJ Board Hours</v>
      </c>
      <c r="X28" s="38" t="s">
        <v>44</v>
      </c>
      <c r="Y28" s="38">
        <v>0.666667</v>
      </c>
      <c r="Z28" s="38" t="s">
        <v>195</v>
      </c>
      <c r="AA28" s="38" t="s">
        <v>152</v>
      </c>
      <c r="AB28" s="68">
        <v>46077.0</v>
      </c>
      <c r="AC28" s="38" t="s">
        <v>198</v>
      </c>
      <c r="AK28" s="38" t="str">
        <f>IFERROR(__xludf.DUMMYFUNCTION("""COMPUTED_VALUE"""),"Diana Larsen board hours May")</f>
        <v>Diana Larsen board hours May</v>
      </c>
      <c r="AP28" s="73">
        <v>46077.0</v>
      </c>
      <c r="AQ28" s="38" t="s">
        <v>179</v>
      </c>
      <c r="AR28" s="38" t="s">
        <v>197</v>
      </c>
      <c r="AS28" s="38" t="s">
        <v>179</v>
      </c>
      <c r="AT28" s="38" t="s">
        <v>32</v>
      </c>
      <c r="AU28" s="38" t="s">
        <v>44</v>
      </c>
      <c r="AV28" s="74">
        <v>0.3784722222222222</v>
      </c>
      <c r="AW28" s="74">
        <v>0.40625</v>
      </c>
      <c r="AX28" s="38">
        <v>0.666667</v>
      </c>
      <c r="AY28" s="38" t="s">
        <v>179</v>
      </c>
      <c r="AZ28" s="38" t="s">
        <v>179</v>
      </c>
      <c r="BA28" s="38" t="s">
        <v>179</v>
      </c>
      <c r="BB28" s="38" t="s">
        <v>179</v>
      </c>
      <c r="BC28" s="38" t="s">
        <v>195</v>
      </c>
      <c r="BD28" s="38" t="s">
        <v>152</v>
      </c>
      <c r="BE28" s="68">
        <v>46077.0</v>
      </c>
      <c r="BF28" s="38" t="s">
        <v>198</v>
      </c>
    </row>
    <row r="29">
      <c r="A29" s="62" t="s">
        <v>262</v>
      </c>
      <c r="B29" s="63"/>
      <c r="C29" s="62" t="s">
        <v>204</v>
      </c>
      <c r="D29" s="63"/>
      <c r="E29" s="62" t="s">
        <v>283</v>
      </c>
      <c r="F29" s="75" t="s">
        <v>33</v>
      </c>
      <c r="G29" s="63"/>
      <c r="H29" s="62" t="s">
        <v>195</v>
      </c>
      <c r="I29" s="63"/>
      <c r="J29" s="64">
        <v>46074.0</v>
      </c>
      <c r="K29" s="65">
        <v>0.5520833333333334</v>
      </c>
      <c r="L29" s="64">
        <v>46074.0</v>
      </c>
      <c r="M29" s="65">
        <v>0.6041666666666666</v>
      </c>
      <c r="N29" s="65">
        <v>0.052083333333333336</v>
      </c>
      <c r="O29" s="66">
        <v>1.25</v>
      </c>
      <c r="R29" s="67"/>
      <c r="S29" s="68">
        <v>46074.0</v>
      </c>
      <c r="T29" s="38" t="str">
        <f>IFERROR(__xludf.DUMMYFUNCTION("""COMPUTED_VALUE"""),"")</f>
        <v/>
      </c>
      <c r="U29" s="38" t="s">
        <v>197</v>
      </c>
      <c r="V29" s="38" t="s">
        <v>179</v>
      </c>
      <c r="W29" s="38" t="str">
        <f>IFERROR(__xludf.DUMMYFUNCTION("""COMPUTED_VALUE"""),"CASWJ Board Hours")</f>
        <v>CASWJ Board Hours</v>
      </c>
      <c r="X29" s="38" t="s">
        <v>44</v>
      </c>
      <c r="Y29" s="38">
        <v>1.25</v>
      </c>
      <c r="Z29" s="38" t="s">
        <v>195</v>
      </c>
      <c r="AA29" s="38" t="s">
        <v>152</v>
      </c>
      <c r="AB29" s="68">
        <v>46074.0</v>
      </c>
      <c r="AC29" s="38" t="s">
        <v>204</v>
      </c>
      <c r="AK29" s="38" t="str">
        <f>IFERROR(__xludf.DUMMYFUNCTION("""COMPUTED_VALUE"""),"Docusigning Code of Ethics")</f>
        <v>Docusigning Code of Ethics</v>
      </c>
      <c r="AP29" s="73">
        <v>46074.0</v>
      </c>
      <c r="AQ29" s="38" t="s">
        <v>179</v>
      </c>
      <c r="AR29" s="38" t="s">
        <v>197</v>
      </c>
      <c r="AS29" s="38" t="s">
        <v>179</v>
      </c>
      <c r="AT29" s="38" t="s">
        <v>32</v>
      </c>
      <c r="AU29" s="38" t="s">
        <v>44</v>
      </c>
      <c r="AV29" s="74">
        <v>0.5520833333333334</v>
      </c>
      <c r="AW29" s="74">
        <v>0.6041666666666666</v>
      </c>
      <c r="AX29" s="38">
        <v>1.25</v>
      </c>
      <c r="AY29" s="38" t="s">
        <v>179</v>
      </c>
      <c r="AZ29" s="38" t="s">
        <v>179</v>
      </c>
      <c r="BA29" s="38" t="s">
        <v>179</v>
      </c>
      <c r="BB29" s="38" t="s">
        <v>179</v>
      </c>
      <c r="BC29" s="38" t="s">
        <v>195</v>
      </c>
      <c r="BD29" s="38" t="s">
        <v>152</v>
      </c>
      <c r="BE29" s="68">
        <v>46074.0</v>
      </c>
      <c r="BF29" s="38" t="s">
        <v>204</v>
      </c>
    </row>
    <row r="30">
      <c r="A30" s="62" t="s">
        <v>262</v>
      </c>
      <c r="B30" s="63"/>
      <c r="C30" s="62" t="s">
        <v>205</v>
      </c>
      <c r="D30" s="63"/>
      <c r="E30" s="62" t="s">
        <v>283</v>
      </c>
      <c r="F30" s="75" t="s">
        <v>33</v>
      </c>
      <c r="G30" s="63"/>
      <c r="H30" s="62" t="s">
        <v>195</v>
      </c>
      <c r="I30" s="63"/>
      <c r="J30" s="64">
        <v>46074.0</v>
      </c>
      <c r="K30" s="65">
        <v>0.5</v>
      </c>
      <c r="L30" s="64">
        <v>46074.0</v>
      </c>
      <c r="M30" s="65">
        <v>0.5520833333333334</v>
      </c>
      <c r="N30" s="65">
        <v>0.052083333333333336</v>
      </c>
      <c r="O30" s="66">
        <v>1.25</v>
      </c>
      <c r="R30" s="67"/>
      <c r="S30" s="68">
        <v>46074.0</v>
      </c>
      <c r="T30" s="38" t="str">
        <f>IFERROR(__xludf.DUMMYFUNCTION("""COMPUTED_VALUE"""),"")</f>
        <v/>
      </c>
      <c r="U30" s="38" t="s">
        <v>197</v>
      </c>
      <c r="V30" s="38" t="s">
        <v>179</v>
      </c>
      <c r="W30" s="38" t="str">
        <f>IFERROR(__xludf.DUMMYFUNCTION("""COMPUTED_VALUE"""),"CASWJ Board Hours")</f>
        <v>CASWJ Board Hours</v>
      </c>
      <c r="X30" s="38" t="s">
        <v>44</v>
      </c>
      <c r="Y30" s="38">
        <v>1.25</v>
      </c>
      <c r="Z30" s="38" t="s">
        <v>195</v>
      </c>
      <c r="AA30" s="38" t="s">
        <v>152</v>
      </c>
      <c r="AB30" s="68">
        <v>46074.0</v>
      </c>
      <c r="AC30" s="38" t="s">
        <v>205</v>
      </c>
      <c r="AK30" s="38" t="str">
        <f>IFERROR(__xludf.DUMMYFUNCTION("""COMPUTED_VALUE"""),"email draft for artists")</f>
        <v>email draft for artists</v>
      </c>
      <c r="AP30" s="73">
        <v>46074.0</v>
      </c>
      <c r="AQ30" s="38" t="s">
        <v>179</v>
      </c>
      <c r="AR30" s="38" t="s">
        <v>197</v>
      </c>
      <c r="AS30" s="38" t="s">
        <v>179</v>
      </c>
      <c r="AT30" s="38" t="s">
        <v>32</v>
      </c>
      <c r="AU30" s="38" t="s">
        <v>44</v>
      </c>
      <c r="AV30" s="74">
        <v>0.5</v>
      </c>
      <c r="AW30" s="74">
        <v>0.5520833333333334</v>
      </c>
      <c r="AX30" s="38">
        <v>1.25</v>
      </c>
      <c r="AY30" s="38" t="s">
        <v>179</v>
      </c>
      <c r="AZ30" s="38" t="s">
        <v>179</v>
      </c>
      <c r="BA30" s="38" t="s">
        <v>179</v>
      </c>
      <c r="BB30" s="38" t="s">
        <v>179</v>
      </c>
      <c r="BC30" s="38" t="s">
        <v>195</v>
      </c>
      <c r="BD30" s="38" t="s">
        <v>152</v>
      </c>
      <c r="BE30" s="68">
        <v>46074.0</v>
      </c>
      <c r="BF30" s="38" t="s">
        <v>205</v>
      </c>
    </row>
    <row r="31">
      <c r="A31" s="62" t="s">
        <v>262</v>
      </c>
      <c r="B31" s="63"/>
      <c r="C31" s="62" t="s">
        <v>173</v>
      </c>
      <c r="D31" s="63"/>
      <c r="E31" s="62" t="s">
        <v>263</v>
      </c>
      <c r="F31" s="75" t="s">
        <v>60</v>
      </c>
      <c r="G31" s="63"/>
      <c r="H31" s="62" t="s">
        <v>172</v>
      </c>
      <c r="I31" s="63"/>
      <c r="J31" s="64">
        <v>46074.0</v>
      </c>
      <c r="K31" s="65">
        <v>0.375</v>
      </c>
      <c r="L31" s="64">
        <v>46079.0</v>
      </c>
      <c r="M31" s="65">
        <v>0.0625</v>
      </c>
      <c r="N31" s="65">
        <v>4.6875</v>
      </c>
      <c r="O31" s="66">
        <v>112.5</v>
      </c>
      <c r="R31" s="67"/>
      <c r="S31" s="68">
        <v>46074.0</v>
      </c>
      <c r="T31" s="38" t="str">
        <f>IFERROR(__xludf.DUMMYFUNCTION("""COMPUTED_VALUE"""),"General - West Jordan Symphony")</f>
        <v>General - West Jordan Symphony</v>
      </c>
      <c r="U31" s="38" t="s">
        <v>170</v>
      </c>
      <c r="V31" s="38" t="s">
        <v>60</v>
      </c>
      <c r="W31" s="38" t="str">
        <f>IFERROR(__xludf.DUMMYFUNCTION("""COMPUTED_VALUE"""),"Participant Hours")</f>
        <v>Participant Hours</v>
      </c>
      <c r="X31" s="38" t="s">
        <v>44</v>
      </c>
      <c r="Y31" s="38">
        <v>112.5</v>
      </c>
      <c r="Z31" s="38" t="s">
        <v>172</v>
      </c>
      <c r="AA31" s="38" t="s">
        <v>152</v>
      </c>
      <c r="AB31" s="68">
        <v>46074.0</v>
      </c>
      <c r="AC31" s="38" t="s">
        <v>173</v>
      </c>
      <c r="AK31" s="38" t="str">
        <f>IFERROR(__xludf.DUMMYFUNCTION("""COMPUTED_VALUE"""),"Email Responses")</f>
        <v>Email Responses</v>
      </c>
      <c r="AP31" s="73">
        <v>46074.0</v>
      </c>
      <c r="AQ31" s="38" t="s">
        <v>64</v>
      </c>
      <c r="AR31" s="38" t="s">
        <v>170</v>
      </c>
      <c r="AS31" s="38" t="s">
        <v>60</v>
      </c>
      <c r="AT31" s="38" t="s">
        <v>48</v>
      </c>
      <c r="AU31" s="38" t="s">
        <v>44</v>
      </c>
      <c r="AV31" s="74">
        <v>0.375</v>
      </c>
      <c r="AW31" s="74">
        <v>0.0625</v>
      </c>
      <c r="AX31" s="38">
        <v>112.5</v>
      </c>
      <c r="AY31" s="38" t="s">
        <v>179</v>
      </c>
      <c r="AZ31" s="38" t="s">
        <v>179</v>
      </c>
      <c r="BA31" s="38" t="s">
        <v>179</v>
      </c>
      <c r="BB31" s="38" t="s">
        <v>179</v>
      </c>
      <c r="BC31" s="38" t="s">
        <v>172</v>
      </c>
      <c r="BD31" s="38" t="s">
        <v>152</v>
      </c>
      <c r="BE31" s="68">
        <v>46074.0</v>
      </c>
      <c r="BF31" s="38" t="s">
        <v>173</v>
      </c>
    </row>
    <row r="32">
      <c r="A32" s="62" t="s">
        <v>262</v>
      </c>
      <c r="B32" s="63"/>
      <c r="C32" s="62" t="s">
        <v>203</v>
      </c>
      <c r="D32" s="63"/>
      <c r="E32" s="62" t="s">
        <v>271</v>
      </c>
      <c r="F32" s="75" t="s">
        <v>53</v>
      </c>
      <c r="G32" s="63"/>
      <c r="H32" s="62" t="s">
        <v>176</v>
      </c>
      <c r="I32" s="63"/>
      <c r="J32" s="64">
        <v>46071.0</v>
      </c>
      <c r="K32" s="65">
        <v>0.3958333333333333</v>
      </c>
      <c r="L32" s="64">
        <v>46071.0</v>
      </c>
      <c r="M32" s="65">
        <v>0.4173611111111111</v>
      </c>
      <c r="N32" s="65">
        <v>0.021527777777777778</v>
      </c>
      <c r="O32" s="66">
        <v>0.516667</v>
      </c>
      <c r="R32" s="67"/>
      <c r="S32" s="68">
        <v>46071.0</v>
      </c>
      <c r="T32" s="38" t="str">
        <f>IFERROR(__xludf.DUMMYFUNCTION("""COMPUTED_VALUE"""),"Art in the Park 2026")</f>
        <v>Art in the Park 2026</v>
      </c>
      <c r="U32" s="38" t="s">
        <v>175</v>
      </c>
      <c r="V32" s="38" t="s">
        <v>53</v>
      </c>
      <c r="W32" s="38" t="str">
        <f>IFERROR(__xludf.DUMMYFUNCTION("""COMPUTED_VALUE"""),"Committee Member Hours")</f>
        <v>Committee Member Hours</v>
      </c>
      <c r="X32" s="38" t="s">
        <v>44</v>
      </c>
      <c r="Y32" s="38">
        <v>0.516667</v>
      </c>
      <c r="Z32" s="38" t="s">
        <v>176</v>
      </c>
      <c r="AA32" s="38" t="s">
        <v>152</v>
      </c>
      <c r="AB32" s="68">
        <v>46071.0</v>
      </c>
      <c r="AC32" s="38" t="s">
        <v>203</v>
      </c>
      <c r="AK32" s="38" t="str">
        <f>IFERROR(__xludf.DUMMYFUNCTION("""COMPUTED_VALUE"""),"email responses and volunteer outreach")</f>
        <v>email responses and volunteer outreach</v>
      </c>
      <c r="AP32" s="73">
        <v>46071.0</v>
      </c>
      <c r="AQ32" s="38" t="s">
        <v>174</v>
      </c>
      <c r="AR32" s="38" t="s">
        <v>175</v>
      </c>
      <c r="AS32" s="38" t="s">
        <v>53</v>
      </c>
      <c r="AT32" s="38" t="s">
        <v>42</v>
      </c>
      <c r="AU32" s="38" t="s">
        <v>44</v>
      </c>
      <c r="AV32" s="74">
        <v>0.3958333333333333</v>
      </c>
      <c r="AW32" s="74">
        <v>0.4173611111111111</v>
      </c>
      <c r="AX32" s="38">
        <v>0.516667</v>
      </c>
      <c r="AY32" s="38" t="s">
        <v>179</v>
      </c>
      <c r="AZ32" s="38" t="s">
        <v>179</v>
      </c>
      <c r="BA32" s="38" t="s">
        <v>179</v>
      </c>
      <c r="BB32" s="38" t="s">
        <v>179</v>
      </c>
      <c r="BC32" s="38" t="s">
        <v>176</v>
      </c>
      <c r="BD32" s="38" t="s">
        <v>152</v>
      </c>
      <c r="BE32" s="68">
        <v>46071.0</v>
      </c>
      <c r="BF32" s="38" t="s">
        <v>203</v>
      </c>
    </row>
    <row r="33">
      <c r="A33" s="62" t="s">
        <v>262</v>
      </c>
      <c r="B33" s="63"/>
      <c r="C33" s="62" t="s">
        <v>173</v>
      </c>
      <c r="D33" s="63"/>
      <c r="E33" s="62" t="s">
        <v>263</v>
      </c>
      <c r="F33" s="75" t="s">
        <v>60</v>
      </c>
      <c r="G33" s="63"/>
      <c r="H33" s="62" t="s">
        <v>172</v>
      </c>
      <c r="I33" s="63"/>
      <c r="J33" s="64">
        <v>46067.0</v>
      </c>
      <c r="K33" s="65">
        <v>0.375</v>
      </c>
      <c r="L33" s="64">
        <v>46072.0</v>
      </c>
      <c r="M33" s="65">
        <v>0.4791666666666667</v>
      </c>
      <c r="N33" s="65">
        <v>5.104166666666667</v>
      </c>
      <c r="O33" s="66">
        <v>122.5</v>
      </c>
      <c r="R33" s="67"/>
      <c r="S33" s="68">
        <v>46067.0</v>
      </c>
      <c r="T33" s="38" t="str">
        <f>IFERROR(__xludf.DUMMYFUNCTION("""COMPUTED_VALUE"""),"General - West Jordan Symphony")</f>
        <v>General - West Jordan Symphony</v>
      </c>
      <c r="U33" s="38" t="s">
        <v>170</v>
      </c>
      <c r="V33" s="38" t="s">
        <v>60</v>
      </c>
      <c r="W33" s="38" t="str">
        <f>IFERROR(__xludf.DUMMYFUNCTION("""COMPUTED_VALUE"""),"Participant Hours")</f>
        <v>Participant Hours</v>
      </c>
      <c r="X33" s="38" t="s">
        <v>44</v>
      </c>
      <c r="Y33" s="38">
        <v>122.5</v>
      </c>
      <c r="Z33" s="38" t="s">
        <v>172</v>
      </c>
      <c r="AA33" s="38" t="s">
        <v>152</v>
      </c>
      <c r="AB33" s="68">
        <v>46067.0</v>
      </c>
      <c r="AC33" s="38" t="s">
        <v>173</v>
      </c>
      <c r="AK33" s="38" t="str">
        <f>IFERROR(__xludf.DUMMYFUNCTION("""COMPUTED_VALUE"""),"finish and print bingo flyers")</f>
        <v>finish and print bingo flyers</v>
      </c>
      <c r="AP33" s="73">
        <v>46067.0</v>
      </c>
      <c r="AQ33" s="38" t="s">
        <v>64</v>
      </c>
      <c r="AR33" s="38" t="s">
        <v>170</v>
      </c>
      <c r="AS33" s="38" t="s">
        <v>60</v>
      </c>
      <c r="AT33" s="38" t="s">
        <v>48</v>
      </c>
      <c r="AU33" s="38" t="s">
        <v>44</v>
      </c>
      <c r="AV33" s="74">
        <v>0.375</v>
      </c>
      <c r="AW33" s="74">
        <v>0.4791666666666667</v>
      </c>
      <c r="AX33" s="38">
        <v>122.5</v>
      </c>
      <c r="AY33" s="38" t="s">
        <v>179</v>
      </c>
      <c r="AZ33" s="38" t="s">
        <v>179</v>
      </c>
      <c r="BA33" s="38" t="s">
        <v>179</v>
      </c>
      <c r="BB33" s="38" t="s">
        <v>179</v>
      </c>
      <c r="BC33" s="38" t="s">
        <v>172</v>
      </c>
      <c r="BD33" s="38" t="s">
        <v>152</v>
      </c>
      <c r="BE33" s="68">
        <v>46067.0</v>
      </c>
      <c r="BF33" s="38" t="s">
        <v>173</v>
      </c>
    </row>
    <row r="34">
      <c r="A34" s="62" t="s">
        <v>262</v>
      </c>
      <c r="B34" s="63"/>
      <c r="C34" s="62" t="s">
        <v>208</v>
      </c>
      <c r="D34" s="63"/>
      <c r="E34" s="62" t="s">
        <v>292</v>
      </c>
      <c r="F34" s="75" t="s">
        <v>65</v>
      </c>
      <c r="G34" s="63"/>
      <c r="H34" s="62" t="s">
        <v>207</v>
      </c>
      <c r="I34" s="63"/>
      <c r="J34" s="64">
        <v>46066.0</v>
      </c>
      <c r="K34" s="65">
        <v>0.8034722222222223</v>
      </c>
      <c r="L34" s="64">
        <v>46066.0</v>
      </c>
      <c r="M34" s="65">
        <v>0.8590277777777777</v>
      </c>
      <c r="N34" s="65">
        <v>0.05555555555555555</v>
      </c>
      <c r="O34" s="66">
        <v>1.333333</v>
      </c>
      <c r="R34" s="67"/>
      <c r="S34" s="68">
        <v>46066.0</v>
      </c>
      <c r="T34" s="38" t="str">
        <f>IFERROR(__xludf.DUMMYFUNCTION("""COMPUTED_VALUE"""),"General - West Jordan Youth Theatre")</f>
        <v>General - West Jordan Youth Theatre</v>
      </c>
      <c r="U34" s="38" t="s">
        <v>272</v>
      </c>
      <c r="V34" s="38" t="s">
        <v>65</v>
      </c>
      <c r="W34" s="38" t="str">
        <f>IFERROR(__xludf.DUMMYFUNCTION("""COMPUTED_VALUE"""),"Committee Member Hours")</f>
        <v>Committee Member Hours</v>
      </c>
      <c r="X34" s="38" t="s">
        <v>44</v>
      </c>
      <c r="Y34" s="38">
        <v>1.333333</v>
      </c>
      <c r="Z34" s="38" t="s">
        <v>207</v>
      </c>
      <c r="AA34" s="38" t="s">
        <v>152</v>
      </c>
      <c r="AB34" s="68">
        <v>46066.0</v>
      </c>
      <c r="AC34" s="38" t="s">
        <v>208</v>
      </c>
      <c r="AK34" s="38" t="str">
        <f>IFERROR(__xludf.DUMMYFUNCTION("""COMPUTED_VALUE"""),"Google Meet with Dillon")</f>
        <v>Google Meet with Dillon</v>
      </c>
      <c r="AP34" s="73">
        <v>46066.0</v>
      </c>
      <c r="AQ34" s="38" t="s">
        <v>164</v>
      </c>
      <c r="AR34" s="38" t="s">
        <v>272</v>
      </c>
      <c r="AS34" s="38" t="s">
        <v>65</v>
      </c>
      <c r="AT34" s="38" t="s">
        <v>42</v>
      </c>
      <c r="AU34" s="38" t="s">
        <v>44</v>
      </c>
      <c r="AV34" s="74">
        <v>0.8034722222222223</v>
      </c>
      <c r="AW34" s="74">
        <v>0.8590277777777777</v>
      </c>
      <c r="AX34" s="38">
        <v>1.333333</v>
      </c>
      <c r="AY34" s="38" t="s">
        <v>179</v>
      </c>
      <c r="AZ34" s="38" t="s">
        <v>179</v>
      </c>
      <c r="BA34" s="38" t="s">
        <v>179</v>
      </c>
      <c r="BB34" s="38" t="s">
        <v>179</v>
      </c>
      <c r="BC34" s="38" t="s">
        <v>207</v>
      </c>
      <c r="BD34" s="38" t="s">
        <v>152</v>
      </c>
      <c r="BE34" s="68">
        <v>46066.0</v>
      </c>
      <c r="BF34" s="38" t="s">
        <v>208</v>
      </c>
    </row>
    <row r="35">
      <c r="A35" s="62" t="s">
        <v>262</v>
      </c>
      <c r="B35" s="63"/>
      <c r="C35" s="62" t="s">
        <v>203</v>
      </c>
      <c r="D35" s="63"/>
      <c r="E35" s="62" t="s">
        <v>271</v>
      </c>
      <c r="F35" s="75" t="s">
        <v>53</v>
      </c>
      <c r="G35" s="63"/>
      <c r="H35" s="62" t="s">
        <v>176</v>
      </c>
      <c r="I35" s="63"/>
      <c r="J35" s="64">
        <v>46064.0</v>
      </c>
      <c r="K35" s="65">
        <v>0.9027777777777778</v>
      </c>
      <c r="L35" s="64">
        <v>46064.0</v>
      </c>
      <c r="M35" s="65">
        <v>0.9208333333333333</v>
      </c>
      <c r="N35" s="65">
        <v>0.018055555555555554</v>
      </c>
      <c r="O35" s="66">
        <v>0.433333</v>
      </c>
      <c r="R35" s="67"/>
      <c r="S35" s="68">
        <v>46064.0</v>
      </c>
      <c r="T35" s="38" t="str">
        <f>IFERROR(__xludf.DUMMYFUNCTION("""COMPUTED_VALUE"""),"Art in the Park 2026")</f>
        <v>Art in the Park 2026</v>
      </c>
      <c r="U35" s="38" t="s">
        <v>175</v>
      </c>
      <c r="V35" s="38" t="s">
        <v>53</v>
      </c>
      <c r="W35" s="38" t="str">
        <f>IFERROR(__xludf.DUMMYFUNCTION("""COMPUTED_VALUE"""),"Committee Member Hours")</f>
        <v>Committee Member Hours</v>
      </c>
      <c r="X35" s="38" t="s">
        <v>44</v>
      </c>
      <c r="Y35" s="38">
        <v>0.433333</v>
      </c>
      <c r="Z35" s="38" t="s">
        <v>176</v>
      </c>
      <c r="AA35" s="38" t="s">
        <v>152</v>
      </c>
      <c r="AB35" s="68">
        <v>46064.0</v>
      </c>
      <c r="AC35" s="38" t="s">
        <v>203</v>
      </c>
      <c r="AK35" s="38" t="str">
        <f>IFERROR(__xludf.DUMMYFUNCTION("""COMPUTED_VALUE"""),"Marketing Meeting")</f>
        <v>Marketing Meeting</v>
      </c>
      <c r="AP35" s="73">
        <v>46064.0</v>
      </c>
      <c r="AQ35" s="38" t="s">
        <v>174</v>
      </c>
      <c r="AR35" s="38" t="s">
        <v>175</v>
      </c>
      <c r="AS35" s="38" t="s">
        <v>53</v>
      </c>
      <c r="AT35" s="38" t="s">
        <v>42</v>
      </c>
      <c r="AU35" s="38" t="s">
        <v>44</v>
      </c>
      <c r="AV35" s="74">
        <v>0.9027777777777778</v>
      </c>
      <c r="AW35" s="74">
        <v>0.9208333333333333</v>
      </c>
      <c r="AX35" s="38">
        <v>0.433333</v>
      </c>
      <c r="AY35" s="38" t="s">
        <v>179</v>
      </c>
      <c r="AZ35" s="38" t="s">
        <v>179</v>
      </c>
      <c r="BA35" s="38" t="s">
        <v>179</v>
      </c>
      <c r="BB35" s="38" t="s">
        <v>179</v>
      </c>
      <c r="BC35" s="38" t="s">
        <v>176</v>
      </c>
      <c r="BD35" s="38" t="s">
        <v>152</v>
      </c>
      <c r="BE35" s="68">
        <v>46064.0</v>
      </c>
      <c r="BF35" s="38" t="s">
        <v>203</v>
      </c>
    </row>
    <row r="36">
      <c r="A36" s="62" t="s">
        <v>262</v>
      </c>
      <c r="B36" s="63"/>
      <c r="C36" s="62" t="s">
        <v>210</v>
      </c>
      <c r="D36" s="63"/>
      <c r="E36" s="62" t="s">
        <v>149</v>
      </c>
      <c r="F36" s="75" t="s">
        <v>60</v>
      </c>
      <c r="G36" s="63"/>
      <c r="H36" s="75" t="s">
        <v>187</v>
      </c>
      <c r="I36" s="63"/>
      <c r="J36" s="64">
        <v>46064.0</v>
      </c>
      <c r="K36" s="65">
        <v>0.46111111111111114</v>
      </c>
      <c r="L36" s="64">
        <v>46064.0</v>
      </c>
      <c r="M36" s="65">
        <v>0.46875</v>
      </c>
      <c r="N36" s="65">
        <v>0.007638888888888889</v>
      </c>
      <c r="O36" s="66">
        <v>0.183333</v>
      </c>
      <c r="R36" s="67"/>
      <c r="S36" s="68">
        <v>46064.0</v>
      </c>
      <c r="T36" s="38" t="str">
        <f>IFERROR(__xludf.DUMMYFUNCTION("""COMPUTED_VALUE"""),"General - West Jordan Symphony")</f>
        <v>General - West Jordan Symphony</v>
      </c>
      <c r="U36" s="38" t="s">
        <v>209</v>
      </c>
      <c r="V36" s="38" t="s">
        <v>60</v>
      </c>
      <c r="W36" s="38" t="str">
        <f>IFERROR(__xludf.DUMMYFUNCTION("""COMPUTED_VALUE"""),"Committee Member Hours")</f>
        <v>Committee Member Hours</v>
      </c>
      <c r="X36" s="38" t="s">
        <v>44</v>
      </c>
      <c r="Y36" s="38">
        <v>0.183333</v>
      </c>
      <c r="Z36" s="38" t="s">
        <v>187</v>
      </c>
      <c r="AA36" s="38" t="s">
        <v>152</v>
      </c>
      <c r="AB36" s="68">
        <v>46064.0</v>
      </c>
      <c r="AC36" s="38" t="s">
        <v>210</v>
      </c>
      <c r="AK36" s="38" t="str">
        <f>IFERROR(__xludf.DUMMYFUNCTION("""COMPUTED_VALUE"""),"Marketing meeting")</f>
        <v>Marketing meeting</v>
      </c>
      <c r="AP36" s="73">
        <v>46064.0</v>
      </c>
      <c r="AQ36" s="38" t="s">
        <v>64</v>
      </c>
      <c r="AR36" s="38" t="s">
        <v>209</v>
      </c>
      <c r="AS36" s="38" t="s">
        <v>60</v>
      </c>
      <c r="AT36" s="38" t="s">
        <v>42</v>
      </c>
      <c r="AU36" s="38" t="s">
        <v>44</v>
      </c>
      <c r="AV36" s="74">
        <v>0.46111111111111114</v>
      </c>
      <c r="AW36" s="74">
        <v>0.46875</v>
      </c>
      <c r="AX36" s="38">
        <v>0.183333</v>
      </c>
      <c r="AY36" s="38" t="s">
        <v>179</v>
      </c>
      <c r="AZ36" s="38" t="s">
        <v>179</v>
      </c>
      <c r="BA36" s="38" t="s">
        <v>179</v>
      </c>
      <c r="BB36" s="38" t="s">
        <v>179</v>
      </c>
      <c r="BC36" s="38" t="s">
        <v>187</v>
      </c>
      <c r="BD36" s="38" t="s">
        <v>152</v>
      </c>
      <c r="BE36" s="68">
        <v>46064.0</v>
      </c>
      <c r="BF36" s="38" t="s">
        <v>210</v>
      </c>
    </row>
    <row r="37">
      <c r="A37" s="62" t="s">
        <v>262</v>
      </c>
      <c r="B37" s="63"/>
      <c r="C37" s="62" t="s">
        <v>210</v>
      </c>
      <c r="D37" s="63"/>
      <c r="E37" s="62" t="s">
        <v>149</v>
      </c>
      <c r="F37" s="75" t="s">
        <v>60</v>
      </c>
      <c r="G37" s="63"/>
      <c r="H37" s="75" t="s">
        <v>187</v>
      </c>
      <c r="I37" s="63"/>
      <c r="J37" s="64">
        <v>46064.0</v>
      </c>
      <c r="K37" s="65">
        <v>0.44305555555555554</v>
      </c>
      <c r="L37" s="64">
        <v>46064.0</v>
      </c>
      <c r="M37" s="65">
        <v>0.45416666666666666</v>
      </c>
      <c r="N37" s="65">
        <v>0.011111111111111112</v>
      </c>
      <c r="O37" s="66">
        <v>0.266667</v>
      </c>
      <c r="R37" s="67"/>
      <c r="S37" s="68">
        <v>46064.0</v>
      </c>
      <c r="T37" s="38" t="str">
        <f>IFERROR(__xludf.DUMMYFUNCTION("""COMPUTED_VALUE"""),"General - West Jordan Symphony")</f>
        <v>General - West Jordan Symphony</v>
      </c>
      <c r="U37" s="38" t="s">
        <v>209</v>
      </c>
      <c r="V37" s="38" t="s">
        <v>60</v>
      </c>
      <c r="W37" s="38" t="str">
        <f>IFERROR(__xludf.DUMMYFUNCTION("""COMPUTED_VALUE"""),"Committee Member Hours")</f>
        <v>Committee Member Hours</v>
      </c>
      <c r="X37" s="38" t="s">
        <v>44</v>
      </c>
      <c r="Y37" s="38">
        <v>0.266667</v>
      </c>
      <c r="Z37" s="38" t="s">
        <v>187</v>
      </c>
      <c r="AA37" s="38" t="s">
        <v>152</v>
      </c>
      <c r="AB37" s="68">
        <v>46064.0</v>
      </c>
      <c r="AC37" s="38" t="s">
        <v>210</v>
      </c>
      <c r="AK37" s="38" t="str">
        <f>IFERROR(__xludf.DUMMYFUNCTION("""COMPUTED_VALUE"""),"Meeting")</f>
        <v>Meeting</v>
      </c>
      <c r="AP37" s="73">
        <v>46064.0</v>
      </c>
      <c r="AQ37" s="38" t="s">
        <v>64</v>
      </c>
      <c r="AR37" s="38" t="s">
        <v>209</v>
      </c>
      <c r="AS37" s="38" t="s">
        <v>60</v>
      </c>
      <c r="AT37" s="38" t="s">
        <v>42</v>
      </c>
      <c r="AU37" s="38" t="s">
        <v>44</v>
      </c>
      <c r="AV37" s="74">
        <v>0.44305555555555554</v>
      </c>
      <c r="AW37" s="74">
        <v>0.45416666666666666</v>
      </c>
      <c r="AX37" s="38">
        <v>0.266667</v>
      </c>
      <c r="AY37" s="38" t="s">
        <v>179</v>
      </c>
      <c r="AZ37" s="38" t="s">
        <v>179</v>
      </c>
      <c r="BA37" s="38" t="s">
        <v>179</v>
      </c>
      <c r="BB37" s="38" t="s">
        <v>179</v>
      </c>
      <c r="BC37" s="38" t="s">
        <v>187</v>
      </c>
      <c r="BD37" s="38" t="s">
        <v>152</v>
      </c>
      <c r="BE37" s="68">
        <v>46064.0</v>
      </c>
      <c r="BF37" s="38" t="s">
        <v>210</v>
      </c>
    </row>
    <row r="38">
      <c r="A38" s="62" t="s">
        <v>262</v>
      </c>
      <c r="B38" s="63"/>
      <c r="C38" s="62" t="s">
        <v>211</v>
      </c>
      <c r="D38" s="63"/>
      <c r="E38" s="62" t="s">
        <v>149</v>
      </c>
      <c r="F38" s="75" t="s">
        <v>60</v>
      </c>
      <c r="G38" s="63"/>
      <c r="H38" s="75" t="s">
        <v>187</v>
      </c>
      <c r="I38" s="63"/>
      <c r="J38" s="64">
        <v>46064.0</v>
      </c>
      <c r="K38" s="65">
        <v>0.43680555555555556</v>
      </c>
      <c r="L38" s="64">
        <v>46064.0</v>
      </c>
      <c r="M38" s="65">
        <v>0.4409722222222222</v>
      </c>
      <c r="N38" s="65">
        <v>0.004166666666666667</v>
      </c>
      <c r="O38" s="66">
        <v>0.1</v>
      </c>
      <c r="R38" s="67"/>
      <c r="S38" s="68">
        <v>46064.0</v>
      </c>
      <c r="T38" s="38" t="str">
        <f>IFERROR(__xludf.DUMMYFUNCTION("""COMPUTED_VALUE"""),"General - West Jordan Symphony")</f>
        <v>General - West Jordan Symphony</v>
      </c>
      <c r="U38" s="38" t="s">
        <v>209</v>
      </c>
      <c r="V38" s="38" t="s">
        <v>60</v>
      </c>
      <c r="W38" s="38" t="str">
        <f>IFERROR(__xludf.DUMMYFUNCTION("""COMPUTED_VALUE"""),"Committee Member Hours")</f>
        <v>Committee Member Hours</v>
      </c>
      <c r="X38" s="38" t="s">
        <v>44</v>
      </c>
      <c r="Y38" s="38">
        <v>0.1</v>
      </c>
      <c r="Z38" s="38" t="s">
        <v>187</v>
      </c>
      <c r="AA38" s="38" t="s">
        <v>152</v>
      </c>
      <c r="AB38" s="68">
        <v>46064.0</v>
      </c>
      <c r="AC38" s="38" t="s">
        <v>211</v>
      </c>
      <c r="AK38" s="38" t="str">
        <f>IFERROR(__xludf.DUMMYFUNCTION("""COMPUTED_VALUE"""),"meeting and volunteer outreach")</f>
        <v>meeting and volunteer outreach</v>
      </c>
      <c r="AP38" s="73">
        <v>46064.0</v>
      </c>
      <c r="AQ38" s="38" t="s">
        <v>64</v>
      </c>
      <c r="AR38" s="38" t="s">
        <v>209</v>
      </c>
      <c r="AS38" s="38" t="s">
        <v>60</v>
      </c>
      <c r="AT38" s="38" t="s">
        <v>42</v>
      </c>
      <c r="AU38" s="38" t="s">
        <v>44</v>
      </c>
      <c r="AV38" s="74">
        <v>0.43680555555555556</v>
      </c>
      <c r="AW38" s="74">
        <v>0.4409722222222222</v>
      </c>
      <c r="AX38" s="38">
        <v>0.1</v>
      </c>
      <c r="AY38" s="38" t="s">
        <v>179</v>
      </c>
      <c r="AZ38" s="38" t="s">
        <v>179</v>
      </c>
      <c r="BA38" s="38" t="s">
        <v>179</v>
      </c>
      <c r="BB38" s="38" t="s">
        <v>179</v>
      </c>
      <c r="BC38" s="38" t="s">
        <v>187</v>
      </c>
      <c r="BD38" s="38" t="s">
        <v>152</v>
      </c>
      <c r="BE38" s="68">
        <v>46064.0</v>
      </c>
      <c r="BF38" s="38" t="s">
        <v>211</v>
      </c>
    </row>
    <row r="39">
      <c r="A39" s="62" t="s">
        <v>262</v>
      </c>
      <c r="B39" s="63"/>
      <c r="C39" s="62" t="s">
        <v>212</v>
      </c>
      <c r="D39" s="63"/>
      <c r="E39" s="62" t="s">
        <v>149</v>
      </c>
      <c r="F39" s="75" t="s">
        <v>60</v>
      </c>
      <c r="G39" s="63"/>
      <c r="H39" s="62" t="s">
        <v>151</v>
      </c>
      <c r="I39" s="63"/>
      <c r="J39" s="64">
        <v>46064.0</v>
      </c>
      <c r="K39" s="65">
        <v>0.43194444444444446</v>
      </c>
      <c r="L39" s="64">
        <v>46064.0</v>
      </c>
      <c r="M39" s="65">
        <v>0.4361111111111111</v>
      </c>
      <c r="N39" s="65">
        <v>0.004166666666666667</v>
      </c>
      <c r="O39" s="66">
        <v>0.1</v>
      </c>
      <c r="R39" s="67"/>
      <c r="S39" s="68">
        <v>46064.0</v>
      </c>
      <c r="T39" s="38" t="str">
        <f>IFERROR(__xludf.DUMMYFUNCTION("""COMPUTED_VALUE"""),"General - West Jordan Symphony")</f>
        <v>General - West Jordan Symphony</v>
      </c>
      <c r="U39" s="38" t="s">
        <v>209</v>
      </c>
      <c r="V39" s="38" t="s">
        <v>60</v>
      </c>
      <c r="W39" s="38" t="str">
        <f>IFERROR(__xludf.DUMMYFUNCTION("""COMPUTED_VALUE"""),"Committee Member Hours")</f>
        <v>Committee Member Hours</v>
      </c>
      <c r="X39" s="38" t="s">
        <v>44</v>
      </c>
      <c r="Y39" s="38">
        <v>0.1</v>
      </c>
      <c r="Z39" s="38" t="s">
        <v>151</v>
      </c>
      <c r="AA39" s="38" t="s">
        <v>152</v>
      </c>
      <c r="AB39" s="68">
        <v>46064.0</v>
      </c>
      <c r="AC39" s="38" t="s">
        <v>212</v>
      </c>
      <c r="AK39" s="38" t="str">
        <f>IFERROR(__xludf.DUMMYFUNCTION("""COMPUTED_VALUE"""),"Meeting with Dillon, map, reminder emails")</f>
        <v>Meeting with Dillon, map, reminder emails</v>
      </c>
      <c r="AP39" s="73">
        <v>46064.0</v>
      </c>
      <c r="AQ39" s="38" t="s">
        <v>64</v>
      </c>
      <c r="AR39" s="38" t="s">
        <v>209</v>
      </c>
      <c r="AS39" s="38" t="s">
        <v>60</v>
      </c>
      <c r="AT39" s="38" t="s">
        <v>42</v>
      </c>
      <c r="AU39" s="38" t="s">
        <v>44</v>
      </c>
      <c r="AV39" s="74">
        <v>0.43194444444444446</v>
      </c>
      <c r="AW39" s="74">
        <v>0.4361111111111111</v>
      </c>
      <c r="AX39" s="38">
        <v>0.1</v>
      </c>
      <c r="AY39" s="38" t="s">
        <v>179</v>
      </c>
      <c r="AZ39" s="38" t="s">
        <v>179</v>
      </c>
      <c r="BA39" s="38" t="s">
        <v>179</v>
      </c>
      <c r="BB39" s="38" t="s">
        <v>179</v>
      </c>
      <c r="BC39" s="38" t="s">
        <v>151</v>
      </c>
      <c r="BD39" s="38" t="s">
        <v>152</v>
      </c>
      <c r="BE39" s="68">
        <v>46064.0</v>
      </c>
      <c r="BF39" s="38" t="s">
        <v>212</v>
      </c>
    </row>
    <row r="40">
      <c r="A40" s="62" t="s">
        <v>262</v>
      </c>
      <c r="B40" s="63"/>
      <c r="C40" s="62" t="s">
        <v>215</v>
      </c>
      <c r="D40" s="63"/>
      <c r="E40" s="62" t="s">
        <v>142</v>
      </c>
      <c r="F40" s="75" t="s">
        <v>60</v>
      </c>
      <c r="G40" s="63"/>
      <c r="H40" s="62" t="s">
        <v>214</v>
      </c>
      <c r="I40" s="63"/>
      <c r="J40" s="64">
        <v>46063.0</v>
      </c>
      <c r="K40" s="65">
        <v>0.75</v>
      </c>
      <c r="L40" s="64">
        <v>46063.0</v>
      </c>
      <c r="M40" s="65">
        <v>0.8020833333333334</v>
      </c>
      <c r="N40" s="65">
        <v>0.052083333333333336</v>
      </c>
      <c r="O40" s="66">
        <v>1.25</v>
      </c>
      <c r="R40" s="67"/>
      <c r="S40" s="68">
        <v>46063.0</v>
      </c>
      <c r="T40" s="38" t="str">
        <f>IFERROR(__xludf.DUMMYFUNCTION("""COMPUTED_VALUE"""),"General - West Jordan Symphony")</f>
        <v>General - West Jordan Symphony</v>
      </c>
      <c r="U40" s="38" t="s">
        <v>213</v>
      </c>
      <c r="V40" s="38" t="s">
        <v>60</v>
      </c>
      <c r="W40" s="38" t="str">
        <f>IFERROR(__xludf.DUMMYFUNCTION("""COMPUTED_VALUE"""),"Volunteer Hours")</f>
        <v>Volunteer Hours</v>
      </c>
      <c r="X40" s="38" t="s">
        <v>44</v>
      </c>
      <c r="Y40" s="38">
        <v>1.25</v>
      </c>
      <c r="Z40" s="38" t="s">
        <v>214</v>
      </c>
      <c r="AA40" s="38" t="s">
        <v>152</v>
      </c>
      <c r="AB40" s="68">
        <v>46063.0</v>
      </c>
      <c r="AC40" s="38" t="s">
        <v>215</v>
      </c>
      <c r="AK40" s="38" t="str">
        <f>IFERROR(__xludf.DUMMYFUNCTION("""COMPUTED_VALUE"""),"Meeting with Michael")</f>
        <v>Meeting with Michael</v>
      </c>
      <c r="AP40" s="73">
        <v>46063.0</v>
      </c>
      <c r="AQ40" s="38" t="s">
        <v>64</v>
      </c>
      <c r="AR40" s="38" t="s">
        <v>213</v>
      </c>
      <c r="AS40" s="38" t="s">
        <v>60</v>
      </c>
      <c r="AT40" s="38" t="s">
        <v>52</v>
      </c>
      <c r="AU40" s="38" t="s">
        <v>44</v>
      </c>
      <c r="AV40" s="74">
        <v>0.75</v>
      </c>
      <c r="AW40" s="74">
        <v>0.8020833333333334</v>
      </c>
      <c r="AX40" s="38">
        <v>1.25</v>
      </c>
      <c r="AY40" s="38" t="s">
        <v>179</v>
      </c>
      <c r="AZ40" s="38" t="s">
        <v>179</v>
      </c>
      <c r="BA40" s="38" t="s">
        <v>179</v>
      </c>
      <c r="BB40" s="38" t="s">
        <v>179</v>
      </c>
      <c r="BC40" s="38" t="s">
        <v>214</v>
      </c>
      <c r="BD40" s="38" t="s">
        <v>152</v>
      </c>
      <c r="BE40" s="68">
        <v>46063.0</v>
      </c>
      <c r="BF40" s="38" t="s">
        <v>215</v>
      </c>
    </row>
    <row r="41">
      <c r="A41" s="62" t="s">
        <v>262</v>
      </c>
      <c r="B41" s="63"/>
      <c r="C41" s="62" t="s">
        <v>216</v>
      </c>
      <c r="D41" s="63"/>
      <c r="E41" s="62" t="s">
        <v>282</v>
      </c>
      <c r="F41" s="75" t="s">
        <v>270</v>
      </c>
      <c r="G41" s="63"/>
      <c r="H41" s="62" t="s">
        <v>195</v>
      </c>
      <c r="I41" s="63"/>
      <c r="J41" s="64">
        <v>46061.0</v>
      </c>
      <c r="K41" s="65">
        <v>0.7916666666666666</v>
      </c>
      <c r="L41" s="64">
        <v>46062.0</v>
      </c>
      <c r="M41" s="65">
        <v>0.375</v>
      </c>
      <c r="N41" s="65">
        <v>0.5833333333333334</v>
      </c>
      <c r="O41" s="66">
        <v>14.0</v>
      </c>
      <c r="R41" s="67"/>
      <c r="S41" s="68">
        <v>46061.0</v>
      </c>
      <c r="T41" s="38" t="str">
        <f>IFERROR(__xludf.DUMMYFUNCTION("""COMPUTED_VALUE"""),"General / No Specific Project")</f>
        <v>General / No Specific Project</v>
      </c>
      <c r="U41" s="38" t="s">
        <v>194</v>
      </c>
      <c r="V41" s="38" t="s">
        <v>33</v>
      </c>
      <c r="W41" s="38" t="str">
        <f>IFERROR(__xludf.DUMMYFUNCTION("""COMPUTED_VALUE"""),"CASWJ Board Hours")</f>
        <v>CASWJ Board Hours</v>
      </c>
      <c r="X41" s="38" t="s">
        <v>44</v>
      </c>
      <c r="Y41" s="38">
        <v>14.0</v>
      </c>
      <c r="Z41" s="38" t="s">
        <v>195</v>
      </c>
      <c r="AA41" s="38" t="s">
        <v>152</v>
      </c>
      <c r="AB41" s="68">
        <v>46061.0</v>
      </c>
      <c r="AC41" s="38" t="s">
        <v>216</v>
      </c>
      <c r="AK41" s="38" t="str">
        <f>IFERROR(__xludf.DUMMYFUNCTION("""COMPUTED_VALUE"""),"Membership emails")</f>
        <v>Membership emails</v>
      </c>
      <c r="AP41" s="73">
        <v>46061.0</v>
      </c>
      <c r="AQ41" s="38" t="s">
        <v>199</v>
      </c>
      <c r="AR41" s="38" t="s">
        <v>194</v>
      </c>
      <c r="AS41" s="38" t="s">
        <v>33</v>
      </c>
      <c r="AT41" s="38" t="s">
        <v>32</v>
      </c>
      <c r="AU41" s="38" t="s">
        <v>44</v>
      </c>
      <c r="AV41" s="74">
        <v>0.7916666666666666</v>
      </c>
      <c r="AW41" s="74">
        <v>0.375</v>
      </c>
      <c r="AX41" s="38">
        <v>14.0</v>
      </c>
      <c r="AY41" s="38" t="s">
        <v>179</v>
      </c>
      <c r="AZ41" s="38" t="s">
        <v>179</v>
      </c>
      <c r="BA41" s="38" t="s">
        <v>179</v>
      </c>
      <c r="BB41" s="38" t="s">
        <v>179</v>
      </c>
      <c r="BC41" s="38" t="s">
        <v>195</v>
      </c>
      <c r="BD41" s="38" t="s">
        <v>152</v>
      </c>
      <c r="BE41" s="68">
        <v>46061.0</v>
      </c>
      <c r="BF41" s="38" t="s">
        <v>216</v>
      </c>
    </row>
    <row r="42">
      <c r="A42" s="62" t="s">
        <v>262</v>
      </c>
      <c r="B42" s="63"/>
      <c r="C42" s="62" t="s">
        <v>173</v>
      </c>
      <c r="D42" s="63"/>
      <c r="E42" s="62" t="s">
        <v>263</v>
      </c>
      <c r="F42" s="75" t="s">
        <v>60</v>
      </c>
      <c r="G42" s="63"/>
      <c r="H42" s="62" t="s">
        <v>172</v>
      </c>
      <c r="I42" s="63"/>
      <c r="J42" s="64">
        <v>46060.0</v>
      </c>
      <c r="K42" s="65">
        <v>0.375</v>
      </c>
      <c r="L42" s="64">
        <v>46064.0</v>
      </c>
      <c r="M42" s="65">
        <v>0.8541666666666666</v>
      </c>
      <c r="N42" s="65">
        <v>4.479166666666667</v>
      </c>
      <c r="O42" s="66">
        <v>107.5</v>
      </c>
      <c r="R42" s="67"/>
      <c r="S42" s="68">
        <v>46060.0</v>
      </c>
      <c r="T42" s="38" t="str">
        <f>IFERROR(__xludf.DUMMYFUNCTION("""COMPUTED_VALUE"""),"General - West Jordan Symphony")</f>
        <v>General - West Jordan Symphony</v>
      </c>
      <c r="U42" s="38" t="s">
        <v>170</v>
      </c>
      <c r="V42" s="38" t="s">
        <v>60</v>
      </c>
      <c r="W42" s="38" t="str">
        <f>IFERROR(__xludf.DUMMYFUNCTION("""COMPUTED_VALUE"""),"Participant Hours")</f>
        <v>Participant Hours</v>
      </c>
      <c r="X42" s="38" t="s">
        <v>44</v>
      </c>
      <c r="Y42" s="38">
        <v>107.5</v>
      </c>
      <c r="Z42" s="38" t="s">
        <v>172</v>
      </c>
      <c r="AA42" s="38" t="s">
        <v>152</v>
      </c>
      <c r="AB42" s="68">
        <v>46060.0</v>
      </c>
      <c r="AC42" s="38" t="s">
        <v>173</v>
      </c>
      <c r="AK42" s="38" t="str">
        <f>IFERROR(__xludf.DUMMYFUNCTION("""COMPUTED_VALUE"""),"Midsummer box office")</f>
        <v>Midsummer box office</v>
      </c>
      <c r="AP42" s="73">
        <v>46060.0</v>
      </c>
      <c r="AQ42" s="38" t="s">
        <v>64</v>
      </c>
      <c r="AR42" s="38" t="s">
        <v>170</v>
      </c>
      <c r="AS42" s="38" t="s">
        <v>60</v>
      </c>
      <c r="AT42" s="38" t="s">
        <v>48</v>
      </c>
      <c r="AU42" s="38" t="s">
        <v>44</v>
      </c>
      <c r="AV42" s="74">
        <v>0.375</v>
      </c>
      <c r="AW42" s="74">
        <v>0.8541666666666666</v>
      </c>
      <c r="AX42" s="38">
        <v>107.5</v>
      </c>
      <c r="AY42" s="38" t="s">
        <v>179</v>
      </c>
      <c r="AZ42" s="38" t="s">
        <v>179</v>
      </c>
      <c r="BA42" s="38" t="s">
        <v>179</v>
      </c>
      <c r="BB42" s="38" t="s">
        <v>179</v>
      </c>
      <c r="BC42" s="38" t="s">
        <v>172</v>
      </c>
      <c r="BD42" s="38" t="s">
        <v>152</v>
      </c>
      <c r="BE42" s="68">
        <v>46060.0</v>
      </c>
      <c r="BF42" s="38" t="s">
        <v>173</v>
      </c>
    </row>
    <row r="43">
      <c r="A43" s="62" t="s">
        <v>262</v>
      </c>
      <c r="B43" s="63"/>
      <c r="C43" s="62" t="s">
        <v>218</v>
      </c>
      <c r="D43" s="63"/>
      <c r="E43" s="62" t="s">
        <v>281</v>
      </c>
      <c r="F43" s="75" t="s">
        <v>53</v>
      </c>
      <c r="G43" s="63"/>
      <c r="H43" s="62" t="s">
        <v>217</v>
      </c>
      <c r="I43" s="63"/>
      <c r="J43" s="64">
        <v>46059.0</v>
      </c>
      <c r="K43" s="65">
        <v>0.5</v>
      </c>
      <c r="L43" s="64">
        <v>46059.0</v>
      </c>
      <c r="M43" s="65">
        <v>0.5833333333333334</v>
      </c>
      <c r="N43" s="65">
        <v>0.08333333333333333</v>
      </c>
      <c r="O43" s="66">
        <v>2.0</v>
      </c>
      <c r="R43" s="67"/>
      <c r="S43" s="68">
        <v>46059.0</v>
      </c>
      <c r="T43" s="38" t="str">
        <f>IFERROR(__xludf.DUMMYFUNCTION("""COMPUTED_VALUE"""),"General - Visual Arts Society")</f>
        <v>General - Visual Arts Society</v>
      </c>
      <c r="U43" s="38" t="s">
        <v>189</v>
      </c>
      <c r="V43" s="38" t="s">
        <v>53</v>
      </c>
      <c r="W43" s="38" t="str">
        <f>IFERROR(__xludf.DUMMYFUNCTION("""COMPUTED_VALUE"""),"Committee Member Hours")</f>
        <v>Committee Member Hours</v>
      </c>
      <c r="X43" s="38" t="s">
        <v>44</v>
      </c>
      <c r="Y43" s="38">
        <v>2.0</v>
      </c>
      <c r="Z43" s="38" t="s">
        <v>217</v>
      </c>
      <c r="AA43" s="38" t="s">
        <v>152</v>
      </c>
      <c r="AB43" s="68">
        <v>46059.0</v>
      </c>
      <c r="AC43" s="38" t="s">
        <v>218</v>
      </c>
      <c r="AK43" s="38" t="str">
        <f>IFERROR(__xludf.DUMMYFUNCTION("""COMPUTED_VALUE"""),"Midsummer box office and strike")</f>
        <v>Midsummer box office and strike</v>
      </c>
      <c r="AP43" s="73">
        <v>46059.0</v>
      </c>
      <c r="AQ43" s="38" t="s">
        <v>185</v>
      </c>
      <c r="AR43" s="38" t="s">
        <v>189</v>
      </c>
      <c r="AS43" s="38" t="s">
        <v>53</v>
      </c>
      <c r="AT43" s="38" t="s">
        <v>42</v>
      </c>
      <c r="AU43" s="38" t="s">
        <v>44</v>
      </c>
      <c r="AV43" s="74">
        <v>0.5</v>
      </c>
      <c r="AW43" s="74">
        <v>0.5833333333333334</v>
      </c>
      <c r="AX43" s="38">
        <v>2.0</v>
      </c>
      <c r="AY43" s="38" t="s">
        <v>179</v>
      </c>
      <c r="AZ43" s="38" t="s">
        <v>179</v>
      </c>
      <c r="BA43" s="38" t="s">
        <v>179</v>
      </c>
      <c r="BB43" s="38" t="s">
        <v>179</v>
      </c>
      <c r="BC43" s="38" t="s">
        <v>217</v>
      </c>
      <c r="BD43" s="38" t="s">
        <v>152</v>
      </c>
      <c r="BE43" s="68">
        <v>46059.0</v>
      </c>
      <c r="BF43" s="38" t="s">
        <v>218</v>
      </c>
    </row>
    <row r="44">
      <c r="A44" s="62" t="s">
        <v>262</v>
      </c>
      <c r="B44" s="63"/>
      <c r="C44" s="62" t="s">
        <v>203</v>
      </c>
      <c r="D44" s="63"/>
      <c r="E44" s="62" t="s">
        <v>271</v>
      </c>
      <c r="F44" s="75" t="s">
        <v>53</v>
      </c>
      <c r="G44" s="63"/>
      <c r="H44" s="62" t="s">
        <v>178</v>
      </c>
      <c r="I44" s="63"/>
      <c r="J44" s="64">
        <v>46058.0</v>
      </c>
      <c r="K44" s="65">
        <v>0.5833333333333334</v>
      </c>
      <c r="L44" s="64">
        <v>46058.0</v>
      </c>
      <c r="M44" s="65">
        <v>0.6069444444444444</v>
      </c>
      <c r="N44" s="65">
        <v>0.02361111111111111</v>
      </c>
      <c r="O44" s="66">
        <v>0.566667</v>
      </c>
      <c r="R44" s="67"/>
      <c r="S44" s="68">
        <v>46058.0</v>
      </c>
      <c r="T44" s="38" t="str">
        <f>IFERROR(__xludf.DUMMYFUNCTION("""COMPUTED_VALUE"""),"Art in the Park 2026")</f>
        <v>Art in the Park 2026</v>
      </c>
      <c r="U44" s="38" t="s">
        <v>175</v>
      </c>
      <c r="V44" s="38" t="s">
        <v>53</v>
      </c>
      <c r="W44" s="38" t="str">
        <f>IFERROR(__xludf.DUMMYFUNCTION("""COMPUTED_VALUE"""),"Committee Member Hours")</f>
        <v>Committee Member Hours</v>
      </c>
      <c r="X44" s="38" t="s">
        <v>44</v>
      </c>
      <c r="Y44" s="38">
        <v>0.566667</v>
      </c>
      <c r="Z44" s="38" t="s">
        <v>178</v>
      </c>
      <c r="AA44" s="38" t="s">
        <v>152</v>
      </c>
      <c r="AB44" s="68">
        <v>46058.0</v>
      </c>
      <c r="AC44" s="38" t="s">
        <v>203</v>
      </c>
      <c r="AK44" s="38" t="str">
        <f>IFERROR(__xludf.DUMMYFUNCTION("""COMPUTED_VALUE"""),"Midsummer program")</f>
        <v>Midsummer program</v>
      </c>
      <c r="AP44" s="73">
        <v>46058.0</v>
      </c>
      <c r="AQ44" s="38" t="s">
        <v>174</v>
      </c>
      <c r="AR44" s="38" t="s">
        <v>175</v>
      </c>
      <c r="AS44" s="38" t="s">
        <v>53</v>
      </c>
      <c r="AT44" s="38" t="s">
        <v>42</v>
      </c>
      <c r="AU44" s="38" t="s">
        <v>44</v>
      </c>
      <c r="AV44" s="74">
        <v>0.5833333333333334</v>
      </c>
      <c r="AW44" s="74">
        <v>0.6069444444444444</v>
      </c>
      <c r="AX44" s="38">
        <v>0.566667</v>
      </c>
      <c r="AY44" s="38" t="s">
        <v>179</v>
      </c>
      <c r="AZ44" s="38" t="s">
        <v>179</v>
      </c>
      <c r="BA44" s="38" t="s">
        <v>179</v>
      </c>
      <c r="BB44" s="38" t="s">
        <v>179</v>
      </c>
      <c r="BC44" s="38" t="s">
        <v>178</v>
      </c>
      <c r="BD44" s="38" t="s">
        <v>152</v>
      </c>
      <c r="BE44" s="68">
        <v>46058.0</v>
      </c>
      <c r="BF44" s="38" t="s">
        <v>203</v>
      </c>
    </row>
    <row r="45">
      <c r="A45" s="62" t="s">
        <v>262</v>
      </c>
      <c r="B45" s="63"/>
      <c r="C45" s="62" t="s">
        <v>219</v>
      </c>
      <c r="D45" s="63"/>
      <c r="E45" s="62" t="s">
        <v>271</v>
      </c>
      <c r="F45" s="75" t="s">
        <v>53</v>
      </c>
      <c r="G45" s="63"/>
      <c r="H45" s="62" t="s">
        <v>176</v>
      </c>
      <c r="I45" s="63"/>
      <c r="J45" s="64">
        <v>46058.0</v>
      </c>
      <c r="K45" s="65">
        <v>0.5</v>
      </c>
      <c r="L45" s="64">
        <v>46058.0</v>
      </c>
      <c r="M45" s="65">
        <v>0.5625</v>
      </c>
      <c r="N45" s="65">
        <v>0.0625</v>
      </c>
      <c r="O45" s="66">
        <v>1.5</v>
      </c>
      <c r="R45" s="67"/>
      <c r="S45" s="68">
        <v>46058.0</v>
      </c>
      <c r="T45" s="38" t="str">
        <f>IFERROR(__xludf.DUMMYFUNCTION("""COMPUTED_VALUE"""),"Art in the Park 2026")</f>
        <v>Art in the Park 2026</v>
      </c>
      <c r="U45" s="38" t="s">
        <v>175</v>
      </c>
      <c r="V45" s="38" t="s">
        <v>53</v>
      </c>
      <c r="W45" s="38" t="str">
        <f>IFERROR(__xludf.DUMMYFUNCTION("""COMPUTED_VALUE"""),"Committee Member Hours")</f>
        <v>Committee Member Hours</v>
      </c>
      <c r="X45" s="38" t="s">
        <v>44</v>
      </c>
      <c r="Y45" s="38">
        <v>1.5</v>
      </c>
      <c r="Z45" s="38" t="s">
        <v>176</v>
      </c>
      <c r="AA45" s="38" t="s">
        <v>152</v>
      </c>
      <c r="AB45" s="68">
        <v>46058.0</v>
      </c>
      <c r="AC45" s="38" t="s">
        <v>219</v>
      </c>
      <c r="AK45" s="38" t="str">
        <f>IFERROR(__xludf.DUMMYFUNCTION("""COMPUTED_VALUE"""),"picking up t shirts")</f>
        <v>picking up t shirts</v>
      </c>
      <c r="AP45" s="73">
        <v>46058.0</v>
      </c>
      <c r="AQ45" s="38" t="s">
        <v>174</v>
      </c>
      <c r="AR45" s="38" t="s">
        <v>175</v>
      </c>
      <c r="AS45" s="38" t="s">
        <v>53</v>
      </c>
      <c r="AT45" s="38" t="s">
        <v>42</v>
      </c>
      <c r="AU45" s="38" t="s">
        <v>44</v>
      </c>
      <c r="AV45" s="74">
        <v>0.5</v>
      </c>
      <c r="AW45" s="74">
        <v>0.5625</v>
      </c>
      <c r="AX45" s="38">
        <v>1.5</v>
      </c>
      <c r="AY45" s="38" t="s">
        <v>179</v>
      </c>
      <c r="AZ45" s="38" t="s">
        <v>179</v>
      </c>
      <c r="BA45" s="38" t="s">
        <v>179</v>
      </c>
      <c r="BB45" s="38" t="s">
        <v>179</v>
      </c>
      <c r="BC45" s="38" t="s">
        <v>176</v>
      </c>
      <c r="BD45" s="38" t="s">
        <v>152</v>
      </c>
      <c r="BE45" s="68">
        <v>46058.0</v>
      </c>
      <c r="BF45" s="38" t="s">
        <v>219</v>
      </c>
    </row>
    <row r="46">
      <c r="A46" s="62" t="s">
        <v>262</v>
      </c>
      <c r="B46" s="63"/>
      <c r="C46" s="62" t="s">
        <v>221</v>
      </c>
      <c r="D46" s="63"/>
      <c r="E46" s="62" t="s">
        <v>298</v>
      </c>
      <c r="F46" s="75" t="s">
        <v>270</v>
      </c>
      <c r="G46" s="63"/>
      <c r="H46" s="62" t="s">
        <v>195</v>
      </c>
      <c r="I46" s="63"/>
      <c r="J46" s="64">
        <v>46056.0</v>
      </c>
      <c r="K46" s="65">
        <v>0.3506944444444444</v>
      </c>
      <c r="L46" s="64">
        <v>46056.0</v>
      </c>
      <c r="M46" s="65">
        <v>0.3923611111111111</v>
      </c>
      <c r="N46" s="65">
        <v>0.041666666666666664</v>
      </c>
      <c r="O46" s="66">
        <v>1.0</v>
      </c>
      <c r="R46" s="67"/>
      <c r="S46" s="68">
        <v>46056.0</v>
      </c>
      <c r="T46" s="38" t="str">
        <f>IFERROR(__xludf.DUMMYFUNCTION("""COMPUTED_VALUE"""),"General / No Specific Project")</f>
        <v>General / No Specific Project</v>
      </c>
      <c r="U46" s="38" t="s">
        <v>220</v>
      </c>
      <c r="V46" s="38" t="s">
        <v>33</v>
      </c>
      <c r="W46" s="38" t="str">
        <f>IFERROR(__xludf.DUMMYFUNCTION("""COMPUTED_VALUE"""),"CASWJ Board Hours")</f>
        <v>CASWJ Board Hours</v>
      </c>
      <c r="X46" s="38" t="s">
        <v>44</v>
      </c>
      <c r="Y46" s="38">
        <v>1.0</v>
      </c>
      <c r="Z46" s="38" t="s">
        <v>195</v>
      </c>
      <c r="AA46" s="38" t="s">
        <v>152</v>
      </c>
      <c r="AB46" s="68">
        <v>46056.0</v>
      </c>
      <c r="AC46" s="38" t="s">
        <v>221</v>
      </c>
      <c r="AK46" s="38" t="str">
        <f>IFERROR(__xludf.DUMMYFUNCTION("""COMPUTED_VALUE"""),"Plein air")</f>
        <v>Plein air</v>
      </c>
      <c r="AP46" s="73">
        <v>46056.0</v>
      </c>
      <c r="AQ46" s="38" t="s">
        <v>199</v>
      </c>
      <c r="AR46" s="38" t="s">
        <v>220</v>
      </c>
      <c r="AS46" s="38" t="s">
        <v>33</v>
      </c>
      <c r="AT46" s="38" t="s">
        <v>32</v>
      </c>
      <c r="AU46" s="38" t="s">
        <v>44</v>
      </c>
      <c r="AV46" s="74">
        <v>0.3506944444444444</v>
      </c>
      <c r="AW46" s="74">
        <v>0.3923611111111111</v>
      </c>
      <c r="AX46" s="38">
        <v>1.0</v>
      </c>
      <c r="AY46" s="38" t="s">
        <v>179</v>
      </c>
      <c r="AZ46" s="38" t="s">
        <v>179</v>
      </c>
      <c r="BA46" s="38" t="s">
        <v>179</v>
      </c>
      <c r="BB46" s="38" t="s">
        <v>179</v>
      </c>
      <c r="BC46" s="38" t="s">
        <v>195</v>
      </c>
      <c r="BD46" s="38" t="s">
        <v>152</v>
      </c>
      <c r="BE46" s="68">
        <v>46056.0</v>
      </c>
      <c r="BF46" s="38" t="s">
        <v>221</v>
      </c>
    </row>
    <row r="47">
      <c r="A47" s="62" t="s">
        <v>262</v>
      </c>
      <c r="B47" s="63"/>
      <c r="C47" s="62" t="s">
        <v>222</v>
      </c>
      <c r="D47" s="63"/>
      <c r="E47" s="62" t="s">
        <v>269</v>
      </c>
      <c r="F47" s="75" t="s">
        <v>65</v>
      </c>
      <c r="G47" s="63"/>
      <c r="H47" s="62" t="s">
        <v>168</v>
      </c>
      <c r="I47" s="63"/>
      <c r="J47" s="64">
        <v>46112.0</v>
      </c>
      <c r="K47" s="65">
        <v>0.8486111111111111</v>
      </c>
      <c r="L47" s="64">
        <v>46154.0</v>
      </c>
      <c r="M47" s="65">
        <v>0.4736111111111111</v>
      </c>
      <c r="N47" s="65">
        <v>41.625</v>
      </c>
      <c r="O47" s="66">
        <v>999.0</v>
      </c>
      <c r="R47" s="67"/>
      <c r="S47" s="68">
        <v>46112.0</v>
      </c>
      <c r="T47" s="38" t="str">
        <f>IFERROR(__xludf.DUMMYFUNCTION("""COMPUTED_VALUE"""),"General - West Jordan Youth Theatre")</f>
        <v>General - West Jordan Youth Theatre</v>
      </c>
      <c r="U47" s="38" t="s">
        <v>165</v>
      </c>
      <c r="V47" s="38" t="s">
        <v>65</v>
      </c>
      <c r="W47" s="38" t="str">
        <f>IFERROR(__xludf.DUMMYFUNCTION("""COMPUTED_VALUE"""),"")</f>
        <v/>
      </c>
      <c r="X47" s="38" t="s">
        <v>44</v>
      </c>
      <c r="Y47" s="38">
        <v>999.0</v>
      </c>
      <c r="Z47" s="38" t="s">
        <v>168</v>
      </c>
      <c r="AA47" s="38" t="s">
        <v>152</v>
      </c>
      <c r="AB47" s="68">
        <v>46112.0</v>
      </c>
      <c r="AC47" s="38" t="s">
        <v>222</v>
      </c>
      <c r="AK47" s="38" t="str">
        <f>IFERROR(__xludf.DUMMYFUNCTION("""COMPUTED_VALUE"""),"Plein Air Bingo")</f>
        <v>Plein Air Bingo</v>
      </c>
      <c r="AP47" s="73">
        <v>46112.0</v>
      </c>
      <c r="AQ47" s="38" t="s">
        <v>164</v>
      </c>
      <c r="AR47" s="38" t="s">
        <v>165</v>
      </c>
      <c r="AS47" s="38" t="s">
        <v>65</v>
      </c>
      <c r="AT47" s="38" t="s">
        <v>179</v>
      </c>
      <c r="AU47" s="38" t="s">
        <v>44</v>
      </c>
      <c r="AV47" s="74">
        <v>0.8486111111111111</v>
      </c>
      <c r="AW47" s="74">
        <v>0.4736111111111111</v>
      </c>
      <c r="AX47" s="38">
        <v>999.0</v>
      </c>
      <c r="AY47" s="38" t="s">
        <v>179</v>
      </c>
      <c r="AZ47" s="38" t="s">
        <v>179</v>
      </c>
      <c r="BA47" s="38" t="s">
        <v>179</v>
      </c>
      <c r="BB47" s="38" t="s">
        <v>179</v>
      </c>
      <c r="BC47" s="38" t="s">
        <v>168</v>
      </c>
      <c r="BD47" s="38" t="s">
        <v>152</v>
      </c>
      <c r="BE47" s="68">
        <v>46112.0</v>
      </c>
      <c r="BF47" s="38" t="s">
        <v>222</v>
      </c>
    </row>
    <row r="48">
      <c r="A48" s="62" t="s">
        <v>262</v>
      </c>
      <c r="B48" s="63"/>
      <c r="C48" s="62" t="s">
        <v>223</v>
      </c>
      <c r="D48" s="63"/>
      <c r="E48" s="62" t="s">
        <v>269</v>
      </c>
      <c r="F48" s="75" t="s">
        <v>65</v>
      </c>
      <c r="G48" s="63"/>
      <c r="H48" s="62" t="s">
        <v>168</v>
      </c>
      <c r="I48" s="63"/>
      <c r="J48" s="64">
        <v>46112.0</v>
      </c>
      <c r="K48" s="65">
        <v>0.5152777777777777</v>
      </c>
      <c r="L48" s="64">
        <v>46127.0</v>
      </c>
      <c r="M48" s="65">
        <v>0.5986111111111111</v>
      </c>
      <c r="N48" s="65">
        <v>15.083333333333334</v>
      </c>
      <c r="O48" s="66">
        <v>362.0</v>
      </c>
      <c r="R48" s="67"/>
      <c r="S48" s="68">
        <v>46112.0</v>
      </c>
      <c r="T48" s="38" t="str">
        <f>IFERROR(__xludf.DUMMYFUNCTION("""COMPUTED_VALUE"""),"General - West Jordan Youth Theatre")</f>
        <v>General - West Jordan Youth Theatre</v>
      </c>
      <c r="U48" s="38" t="s">
        <v>165</v>
      </c>
      <c r="V48" s="38" t="s">
        <v>65</v>
      </c>
      <c r="W48" s="38" t="str">
        <f>IFERROR(__xludf.DUMMYFUNCTION("""COMPUTED_VALUE"""),"")</f>
        <v/>
      </c>
      <c r="X48" s="38" t="s">
        <v>44</v>
      </c>
      <c r="Y48" s="38">
        <v>362.0</v>
      </c>
      <c r="Z48" s="38" t="s">
        <v>168</v>
      </c>
      <c r="AA48" s="38" t="s">
        <v>152</v>
      </c>
      <c r="AB48" s="68">
        <v>46112.0</v>
      </c>
      <c r="AC48" s="38" t="s">
        <v>223</v>
      </c>
      <c r="AK48" s="38" t="str">
        <f>IFERROR(__xludf.DUMMYFUNCTION("""COMPUTED_VALUE"""),"Plein Air Festival")</f>
        <v>Plein Air Festival</v>
      </c>
      <c r="AP48" s="73">
        <v>46112.0</v>
      </c>
      <c r="AQ48" s="38" t="s">
        <v>164</v>
      </c>
      <c r="AR48" s="38" t="s">
        <v>165</v>
      </c>
      <c r="AS48" s="38" t="s">
        <v>65</v>
      </c>
      <c r="AT48" s="38" t="s">
        <v>179</v>
      </c>
      <c r="AU48" s="38" t="s">
        <v>44</v>
      </c>
      <c r="AV48" s="74">
        <v>0.5152777777777777</v>
      </c>
      <c r="AW48" s="74">
        <v>0.5986111111111111</v>
      </c>
      <c r="AX48" s="38">
        <v>362.0</v>
      </c>
      <c r="AY48" s="38" t="s">
        <v>179</v>
      </c>
      <c r="AZ48" s="38" t="s">
        <v>179</v>
      </c>
      <c r="BA48" s="38" t="s">
        <v>179</v>
      </c>
      <c r="BB48" s="38" t="s">
        <v>179</v>
      </c>
      <c r="BC48" s="38" t="s">
        <v>168</v>
      </c>
      <c r="BD48" s="38" t="s">
        <v>152</v>
      </c>
      <c r="BE48" s="68">
        <v>46112.0</v>
      </c>
      <c r="BF48" s="38" t="s">
        <v>223</v>
      </c>
    </row>
    <row r="49">
      <c r="A49" s="62" t="s">
        <v>262</v>
      </c>
      <c r="B49" s="63"/>
      <c r="C49" s="62" t="s">
        <v>225</v>
      </c>
      <c r="D49" s="63"/>
      <c r="E49" s="62" t="s">
        <v>285</v>
      </c>
      <c r="F49" s="75" t="s">
        <v>270</v>
      </c>
      <c r="G49" s="63"/>
      <c r="H49" s="62" t="s">
        <v>224</v>
      </c>
      <c r="I49" s="63"/>
      <c r="J49" s="64">
        <v>46112.0</v>
      </c>
      <c r="K49" s="65">
        <v>0.4513888888888889</v>
      </c>
      <c r="L49" s="64">
        <v>46112.0</v>
      </c>
      <c r="M49" s="65">
        <v>0.46875</v>
      </c>
      <c r="N49" s="65">
        <v>0.017361111111111112</v>
      </c>
      <c r="O49" s="66">
        <v>0.416667</v>
      </c>
      <c r="R49" s="67"/>
      <c r="S49" s="68">
        <v>46112.0</v>
      </c>
      <c r="T49" s="38" t="str">
        <f>IFERROR(__xludf.DUMMYFUNCTION("""COMPUTED_VALUE"""),"General / No Specific Project")</f>
        <v>General / No Specific Project</v>
      </c>
      <c r="U49" s="38" t="s">
        <v>200</v>
      </c>
      <c r="V49" s="38" t="s">
        <v>33</v>
      </c>
      <c r="W49" s="38" t="str">
        <f>IFERROR(__xludf.DUMMYFUNCTION("""COMPUTED_VALUE"""),"CASWJ Board Hours")</f>
        <v>CASWJ Board Hours</v>
      </c>
      <c r="X49" s="38" t="s">
        <v>44</v>
      </c>
      <c r="Y49" s="38">
        <v>0.416667</v>
      </c>
      <c r="Z49" s="38" t="s">
        <v>224</v>
      </c>
      <c r="AA49" s="38" t="s">
        <v>152</v>
      </c>
      <c r="AB49" s="68">
        <v>46112.0</v>
      </c>
      <c r="AC49" s="38" t="s">
        <v>225</v>
      </c>
      <c r="AK49" s="38" t="str">
        <f>IFERROR(__xludf.DUMMYFUNCTION("""COMPUTED_VALUE"""),"Plein Air Festival emails")</f>
        <v>Plein Air Festival emails</v>
      </c>
      <c r="AP49" s="73">
        <v>46112.0</v>
      </c>
      <c r="AQ49" s="38" t="s">
        <v>199</v>
      </c>
      <c r="AR49" s="38" t="s">
        <v>200</v>
      </c>
      <c r="AS49" s="38" t="s">
        <v>33</v>
      </c>
      <c r="AT49" s="38" t="s">
        <v>32</v>
      </c>
      <c r="AU49" s="38" t="s">
        <v>44</v>
      </c>
      <c r="AV49" s="74">
        <v>0.4513888888888889</v>
      </c>
      <c r="AW49" s="74">
        <v>0.46875</v>
      </c>
      <c r="AX49" s="38">
        <v>0.416667</v>
      </c>
      <c r="AY49" s="38" t="s">
        <v>179</v>
      </c>
      <c r="AZ49" s="38" t="s">
        <v>179</v>
      </c>
      <c r="BA49" s="38" t="s">
        <v>179</v>
      </c>
      <c r="BB49" s="38" t="s">
        <v>179</v>
      </c>
      <c r="BC49" s="38" t="s">
        <v>224</v>
      </c>
      <c r="BD49" s="38" t="s">
        <v>152</v>
      </c>
      <c r="BE49" s="68">
        <v>46112.0</v>
      </c>
      <c r="BF49" s="38" t="s">
        <v>225</v>
      </c>
    </row>
    <row r="50">
      <c r="A50" s="62" t="s">
        <v>262</v>
      </c>
      <c r="B50" s="63"/>
      <c r="C50" s="62" t="s">
        <v>32</v>
      </c>
      <c r="D50" s="63"/>
      <c r="E50" s="62" t="s">
        <v>282</v>
      </c>
      <c r="F50" s="75" t="s">
        <v>33</v>
      </c>
      <c r="G50" s="63"/>
      <c r="H50" s="62" t="s">
        <v>195</v>
      </c>
      <c r="I50" s="63"/>
      <c r="J50" s="64">
        <v>46112.0</v>
      </c>
      <c r="K50" s="65">
        <v>0.375</v>
      </c>
      <c r="L50" s="64">
        <v>46112.0</v>
      </c>
      <c r="M50" s="65">
        <v>0.5</v>
      </c>
      <c r="N50" s="65">
        <v>0.125</v>
      </c>
      <c r="O50" s="66">
        <v>3.0</v>
      </c>
      <c r="R50" s="67"/>
      <c r="S50" s="68">
        <v>46112.0</v>
      </c>
      <c r="T50" s="38" t="str">
        <f>IFERROR(__xludf.DUMMYFUNCTION("""COMPUTED_VALUE"""),"")</f>
        <v/>
      </c>
      <c r="U50" s="38" t="s">
        <v>194</v>
      </c>
      <c r="V50" s="38" t="s">
        <v>179</v>
      </c>
      <c r="W50" s="38" t="str">
        <f>IFERROR(__xludf.DUMMYFUNCTION("""COMPUTED_VALUE"""),"CASWJ Board Hours")</f>
        <v>CASWJ Board Hours</v>
      </c>
      <c r="X50" s="38" t="s">
        <v>44</v>
      </c>
      <c r="Y50" s="38">
        <v>3.0</v>
      </c>
      <c r="Z50" s="38" t="s">
        <v>195</v>
      </c>
      <c r="AA50" s="38" t="s">
        <v>152</v>
      </c>
      <c r="AB50" s="68">
        <v>46112.0</v>
      </c>
      <c r="AC50" s="38" t="s">
        <v>32</v>
      </c>
      <c r="AK50" s="38" t="str">
        <f>IFERROR(__xludf.DUMMYFUNCTION("""COMPUTED_VALUE"""),"Plein Air Festival onboarding forms")</f>
        <v>Plein Air Festival onboarding forms</v>
      </c>
      <c r="AP50" s="73">
        <v>46112.0</v>
      </c>
      <c r="AQ50" s="38" t="s">
        <v>179</v>
      </c>
      <c r="AR50" s="38" t="s">
        <v>194</v>
      </c>
      <c r="AS50" s="38" t="s">
        <v>179</v>
      </c>
      <c r="AT50" s="38" t="s">
        <v>32</v>
      </c>
      <c r="AU50" s="38" t="s">
        <v>44</v>
      </c>
      <c r="AV50" s="74">
        <v>0.375</v>
      </c>
      <c r="AW50" s="74">
        <v>0.5</v>
      </c>
      <c r="AX50" s="38">
        <v>3.0</v>
      </c>
      <c r="AY50" s="38" t="s">
        <v>179</v>
      </c>
      <c r="AZ50" s="38" t="s">
        <v>179</v>
      </c>
      <c r="BA50" s="38" t="s">
        <v>179</v>
      </c>
      <c r="BB50" s="38" t="s">
        <v>179</v>
      </c>
      <c r="BC50" s="38" t="s">
        <v>195</v>
      </c>
      <c r="BD50" s="38" t="s">
        <v>152</v>
      </c>
      <c r="BE50" s="68">
        <v>46112.0</v>
      </c>
      <c r="BF50" s="38" t="s">
        <v>32</v>
      </c>
    </row>
    <row r="51">
      <c r="A51" s="62" t="s">
        <v>262</v>
      </c>
      <c r="B51" s="63"/>
      <c r="C51" s="62" t="s">
        <v>196</v>
      </c>
      <c r="D51" s="63"/>
      <c r="E51" s="62" t="s">
        <v>282</v>
      </c>
      <c r="F51" s="75" t="s">
        <v>53</v>
      </c>
      <c r="G51" s="63"/>
      <c r="H51" s="75" t="s">
        <v>187</v>
      </c>
      <c r="I51" s="63"/>
      <c r="J51" s="64">
        <v>46112.0</v>
      </c>
      <c r="K51" s="65">
        <v>0.375</v>
      </c>
      <c r="L51" s="64">
        <v>46112.0</v>
      </c>
      <c r="M51" s="65">
        <v>0.7916666666666666</v>
      </c>
      <c r="N51" s="72">
        <v>0.4166666666666667</v>
      </c>
      <c r="O51" s="66">
        <v>10.0</v>
      </c>
      <c r="R51" s="67"/>
      <c r="S51" s="68">
        <v>46112.0</v>
      </c>
      <c r="T51" s="38" t="str">
        <f>IFERROR(__xludf.DUMMYFUNCTION("""COMPUTED_VALUE"""),"General - Visual Arts Society")</f>
        <v>General - Visual Arts Society</v>
      </c>
      <c r="U51" s="38" t="s">
        <v>194</v>
      </c>
      <c r="V51" s="38" t="s">
        <v>53</v>
      </c>
      <c r="W51" s="38" t="str">
        <f>IFERROR(__xludf.DUMMYFUNCTION("""COMPUTED_VALUE"""),"Committee Member Hours")</f>
        <v>Committee Member Hours</v>
      </c>
      <c r="X51" s="38" t="s">
        <v>44</v>
      </c>
      <c r="Y51" s="38">
        <v>10.0</v>
      </c>
      <c r="Z51" s="38" t="s">
        <v>187</v>
      </c>
      <c r="AA51" s="38" t="s">
        <v>152</v>
      </c>
      <c r="AB51" s="68">
        <v>46112.0</v>
      </c>
      <c r="AC51" s="38" t="s">
        <v>196</v>
      </c>
      <c r="AK51" s="38" t="str">
        <f>IFERROR(__xludf.DUMMYFUNCTION("""COMPUTED_VALUE"""),"Plein Air Festival Planning Meeting")</f>
        <v>Plein Air Festival Planning Meeting</v>
      </c>
      <c r="AP51" s="73">
        <v>46112.0</v>
      </c>
      <c r="AQ51" s="38" t="s">
        <v>185</v>
      </c>
      <c r="AR51" s="38" t="s">
        <v>194</v>
      </c>
      <c r="AS51" s="38" t="s">
        <v>53</v>
      </c>
      <c r="AT51" s="38" t="s">
        <v>42</v>
      </c>
      <c r="AU51" s="38" t="s">
        <v>44</v>
      </c>
      <c r="AV51" s="74">
        <v>0.375</v>
      </c>
      <c r="AW51" s="74">
        <v>0.7916666666666666</v>
      </c>
      <c r="AX51" s="38">
        <v>10.0</v>
      </c>
      <c r="AY51" s="38" t="s">
        <v>179</v>
      </c>
      <c r="AZ51" s="38" t="s">
        <v>179</v>
      </c>
      <c r="BA51" s="38" t="s">
        <v>179</v>
      </c>
      <c r="BB51" s="38" t="s">
        <v>179</v>
      </c>
      <c r="BC51" s="38" t="s">
        <v>187</v>
      </c>
      <c r="BD51" s="38" t="s">
        <v>152</v>
      </c>
      <c r="BE51" s="68">
        <v>46112.0</v>
      </c>
      <c r="BF51" s="38" t="s">
        <v>196</v>
      </c>
    </row>
    <row r="52">
      <c r="A52" s="62" t="s">
        <v>262</v>
      </c>
      <c r="B52" s="63"/>
      <c r="C52" s="62" t="s">
        <v>225</v>
      </c>
      <c r="D52" s="63"/>
      <c r="E52" s="62" t="s">
        <v>285</v>
      </c>
      <c r="F52" s="75" t="s">
        <v>270</v>
      </c>
      <c r="G52" s="63"/>
      <c r="H52" s="62" t="s">
        <v>224</v>
      </c>
      <c r="I52" s="63"/>
      <c r="J52" s="64">
        <v>46111.0</v>
      </c>
      <c r="K52" s="65">
        <v>0.4895833333333333</v>
      </c>
      <c r="L52" s="64">
        <v>46111.0</v>
      </c>
      <c r="M52" s="65">
        <v>0.5104166666666666</v>
      </c>
      <c r="N52" s="72">
        <v>0.020833333333333332</v>
      </c>
      <c r="O52" s="66">
        <v>0.5</v>
      </c>
      <c r="R52" s="67"/>
      <c r="S52" s="68">
        <v>46111.0</v>
      </c>
      <c r="T52" s="38" t="str">
        <f>IFERROR(__xludf.DUMMYFUNCTION("""COMPUTED_VALUE"""),"General / No Specific Project")</f>
        <v>General / No Specific Project</v>
      </c>
      <c r="U52" s="38" t="s">
        <v>200</v>
      </c>
      <c r="V52" s="38" t="s">
        <v>33</v>
      </c>
      <c r="W52" s="38" t="str">
        <f>IFERROR(__xludf.DUMMYFUNCTION("""COMPUTED_VALUE"""),"CASWJ Board Hours")</f>
        <v>CASWJ Board Hours</v>
      </c>
      <c r="X52" s="38" t="s">
        <v>44</v>
      </c>
      <c r="Y52" s="38">
        <v>0.5</v>
      </c>
      <c r="Z52" s="38" t="s">
        <v>224</v>
      </c>
      <c r="AA52" s="38" t="s">
        <v>152</v>
      </c>
      <c r="AB52" s="68">
        <v>46111.0</v>
      </c>
      <c r="AC52" s="38" t="s">
        <v>225</v>
      </c>
      <c r="AK52" s="38" t="str">
        <f>IFERROR(__xludf.DUMMYFUNCTION("""COMPUTED_VALUE"""),"Plein Air meeting")</f>
        <v>Plein Air meeting</v>
      </c>
      <c r="AP52" s="73">
        <v>46111.0</v>
      </c>
      <c r="AQ52" s="38" t="s">
        <v>199</v>
      </c>
      <c r="AR52" s="38" t="s">
        <v>200</v>
      </c>
      <c r="AS52" s="38" t="s">
        <v>33</v>
      </c>
      <c r="AT52" s="38" t="s">
        <v>32</v>
      </c>
      <c r="AU52" s="38" t="s">
        <v>44</v>
      </c>
      <c r="AV52" s="74">
        <v>0.4895833333333333</v>
      </c>
      <c r="AW52" s="74">
        <v>0.5104166666666666</v>
      </c>
      <c r="AX52" s="38">
        <v>0.5</v>
      </c>
      <c r="AY52" s="38" t="s">
        <v>179</v>
      </c>
      <c r="AZ52" s="38" t="s">
        <v>179</v>
      </c>
      <c r="BA52" s="38" t="s">
        <v>179</v>
      </c>
      <c r="BB52" s="38" t="s">
        <v>179</v>
      </c>
      <c r="BC52" s="38" t="s">
        <v>224</v>
      </c>
      <c r="BD52" s="38" t="s">
        <v>152</v>
      </c>
      <c r="BE52" s="68">
        <v>46111.0</v>
      </c>
      <c r="BF52" s="38" t="s">
        <v>225</v>
      </c>
    </row>
    <row r="53">
      <c r="A53" s="62" t="s">
        <v>262</v>
      </c>
      <c r="B53" s="63"/>
      <c r="C53" s="62" t="s">
        <v>226</v>
      </c>
      <c r="D53" s="63"/>
      <c r="E53" s="62" t="s">
        <v>186</v>
      </c>
      <c r="F53" s="75" t="s">
        <v>53</v>
      </c>
      <c r="G53" s="63"/>
      <c r="H53" s="75" t="s">
        <v>187</v>
      </c>
      <c r="I53" s="63"/>
      <c r="J53" s="64">
        <v>46111.0</v>
      </c>
      <c r="K53" s="65">
        <v>0.3888888888888889</v>
      </c>
      <c r="L53" s="64">
        <v>46111.0</v>
      </c>
      <c r="M53" s="65">
        <v>0.4236111111111111</v>
      </c>
      <c r="N53" s="72">
        <v>0.034722222222222224</v>
      </c>
      <c r="O53" s="66">
        <v>0.833333</v>
      </c>
      <c r="R53" s="67"/>
      <c r="S53" s="68">
        <v>46111.0</v>
      </c>
      <c r="T53" s="38" t="str">
        <f>IFERROR(__xludf.DUMMYFUNCTION("""COMPUTED_VALUE"""),"General - Visual Arts Society")</f>
        <v>General - Visual Arts Society</v>
      </c>
      <c r="U53" s="38" t="s">
        <v>186</v>
      </c>
      <c r="V53" s="38" t="s">
        <v>53</v>
      </c>
      <c r="W53" s="38" t="str">
        <f>IFERROR(__xludf.DUMMYFUNCTION("""COMPUTED_VALUE"""),"Committee Member Hours")</f>
        <v>Committee Member Hours</v>
      </c>
      <c r="X53" s="38" t="s">
        <v>44</v>
      </c>
      <c r="Y53" s="38">
        <v>0.833333</v>
      </c>
      <c r="Z53" s="38" t="s">
        <v>187</v>
      </c>
      <c r="AA53" s="38" t="s">
        <v>152</v>
      </c>
      <c r="AB53" s="68">
        <v>46111.0</v>
      </c>
      <c r="AC53" s="38" t="s">
        <v>226</v>
      </c>
      <c r="AK53" s="38" t="str">
        <f>IFERROR(__xludf.DUMMYFUNCTION("""COMPUTED_VALUE"""),"Plein air meeting and partner requests")</f>
        <v>Plein air meeting and partner requests</v>
      </c>
      <c r="AP53" s="73">
        <v>46111.0</v>
      </c>
      <c r="AQ53" s="38" t="s">
        <v>185</v>
      </c>
      <c r="AR53" s="38" t="s">
        <v>186</v>
      </c>
      <c r="AS53" s="38" t="s">
        <v>53</v>
      </c>
      <c r="AT53" s="38" t="s">
        <v>42</v>
      </c>
      <c r="AU53" s="38" t="s">
        <v>44</v>
      </c>
      <c r="AV53" s="74">
        <v>0.3888888888888889</v>
      </c>
      <c r="AW53" s="74">
        <v>0.4236111111111111</v>
      </c>
      <c r="AX53" s="38">
        <v>0.833333</v>
      </c>
      <c r="AY53" s="38" t="s">
        <v>179</v>
      </c>
      <c r="AZ53" s="38" t="s">
        <v>179</v>
      </c>
      <c r="BA53" s="38" t="s">
        <v>179</v>
      </c>
      <c r="BB53" s="38" t="s">
        <v>179</v>
      </c>
      <c r="BC53" s="38" t="s">
        <v>187</v>
      </c>
      <c r="BD53" s="38" t="s">
        <v>152</v>
      </c>
      <c r="BE53" s="68">
        <v>46111.0</v>
      </c>
      <c r="BF53" s="38" t="s">
        <v>226</v>
      </c>
    </row>
    <row r="54">
      <c r="A54" s="62" t="s">
        <v>262</v>
      </c>
      <c r="B54" s="63"/>
      <c r="C54" s="62" t="s">
        <v>229</v>
      </c>
      <c r="D54" s="63"/>
      <c r="E54" s="62" t="s">
        <v>301</v>
      </c>
      <c r="F54" s="75" t="s">
        <v>49</v>
      </c>
      <c r="G54" s="63"/>
      <c r="H54" s="75" t="s">
        <v>187</v>
      </c>
      <c r="I54" s="63"/>
      <c r="J54" s="64">
        <v>46110.0</v>
      </c>
      <c r="K54" s="65">
        <v>0.7708333333333334</v>
      </c>
      <c r="L54" s="64">
        <v>46110.0</v>
      </c>
      <c r="M54" s="65">
        <v>0.9791666666666666</v>
      </c>
      <c r="N54" s="72">
        <v>0.20833333333333334</v>
      </c>
      <c r="O54" s="66">
        <v>5.0</v>
      </c>
      <c r="R54" s="67"/>
      <c r="S54" s="68">
        <v>46110.0</v>
      </c>
      <c r="T54" s="38" t="str">
        <f>IFERROR(__xludf.DUMMYFUNCTION("""COMPUTED_VALUE"""),"General - Sugar Factory Playhouse")</f>
        <v>General - Sugar Factory Playhouse</v>
      </c>
      <c r="U54" s="38" t="s">
        <v>228</v>
      </c>
      <c r="V54" s="38" t="s">
        <v>49</v>
      </c>
      <c r="W54" s="38" t="str">
        <f>IFERROR(__xludf.DUMMYFUNCTION("""COMPUTED_VALUE"""),"Committee Member Hours")</f>
        <v>Committee Member Hours</v>
      </c>
      <c r="X54" s="38" t="s">
        <v>44</v>
      </c>
      <c r="Y54" s="38">
        <v>5.0</v>
      </c>
      <c r="Z54" s="38" t="s">
        <v>187</v>
      </c>
      <c r="AA54" s="38" t="s">
        <v>152</v>
      </c>
      <c r="AB54" s="68">
        <v>46110.0</v>
      </c>
      <c r="AC54" s="38" t="s">
        <v>229</v>
      </c>
      <c r="AK54" s="38" t="str">
        <f>IFERROR(__xludf.DUMMYFUNCTION("""COMPUTED_VALUE"""),"Plein Air meeting and planning")</f>
        <v>Plein Air meeting and planning</v>
      </c>
      <c r="AP54" s="73">
        <v>46110.0</v>
      </c>
      <c r="AQ54" s="38" t="s">
        <v>227</v>
      </c>
      <c r="AR54" s="38" t="s">
        <v>228</v>
      </c>
      <c r="AS54" s="38" t="s">
        <v>49</v>
      </c>
      <c r="AT54" s="38" t="s">
        <v>42</v>
      </c>
      <c r="AU54" s="38" t="s">
        <v>44</v>
      </c>
      <c r="AV54" s="74">
        <v>0.7708333333333334</v>
      </c>
      <c r="AW54" s="74">
        <v>0.9791666666666666</v>
      </c>
      <c r="AX54" s="38">
        <v>5.0</v>
      </c>
      <c r="AY54" s="38" t="s">
        <v>179</v>
      </c>
      <c r="AZ54" s="38" t="s">
        <v>179</v>
      </c>
      <c r="BA54" s="38" t="s">
        <v>179</v>
      </c>
      <c r="BB54" s="38" t="s">
        <v>179</v>
      </c>
      <c r="BC54" s="38" t="s">
        <v>187</v>
      </c>
      <c r="BD54" s="38" t="s">
        <v>152</v>
      </c>
      <c r="BE54" s="68">
        <v>46110.0</v>
      </c>
      <c r="BF54" s="38" t="s">
        <v>229</v>
      </c>
    </row>
    <row r="55">
      <c r="A55" s="62" t="s">
        <v>262</v>
      </c>
      <c r="B55" s="63"/>
      <c r="C55" s="62" t="s">
        <v>230</v>
      </c>
      <c r="D55" s="63"/>
      <c r="E55" s="62" t="s">
        <v>271</v>
      </c>
      <c r="F55" s="75" t="s">
        <v>53</v>
      </c>
      <c r="G55" s="63"/>
      <c r="H55" s="62" t="s">
        <v>176</v>
      </c>
      <c r="I55" s="63"/>
      <c r="J55" s="64">
        <v>46110.0</v>
      </c>
      <c r="K55" s="65">
        <v>0.425</v>
      </c>
      <c r="L55" s="64">
        <v>46110.0</v>
      </c>
      <c r="M55" s="65">
        <v>0.4354166666666667</v>
      </c>
      <c r="N55" s="65">
        <v>0.010416666666666666</v>
      </c>
      <c r="O55" s="66">
        <v>0.25</v>
      </c>
      <c r="R55" s="67"/>
      <c r="S55" s="68">
        <v>46110.0</v>
      </c>
      <c r="T55" s="38" t="str">
        <f>IFERROR(__xludf.DUMMYFUNCTION("""COMPUTED_VALUE"""),"Art in the Park 2026")</f>
        <v>Art in the Park 2026</v>
      </c>
      <c r="U55" s="38" t="s">
        <v>175</v>
      </c>
      <c r="V55" s="38" t="s">
        <v>53</v>
      </c>
      <c r="W55" s="38" t="str">
        <f>IFERROR(__xludf.DUMMYFUNCTION("""COMPUTED_VALUE"""),"Committee Member Hours")</f>
        <v>Committee Member Hours</v>
      </c>
      <c r="X55" s="38" t="s">
        <v>44</v>
      </c>
      <c r="Y55" s="38">
        <v>0.25</v>
      </c>
      <c r="Z55" s="38" t="s">
        <v>176</v>
      </c>
      <c r="AA55" s="38" t="s">
        <v>152</v>
      </c>
      <c r="AB55" s="68">
        <v>46110.0</v>
      </c>
      <c r="AC55" s="38" t="s">
        <v>230</v>
      </c>
      <c r="AK55" s="38" t="str">
        <f>IFERROR(__xludf.DUMMYFUNCTION("""COMPUTED_VALUE"""),"plein air meeting, volunteer form and outreach")</f>
        <v>plein air meeting, volunteer form and outreach</v>
      </c>
      <c r="AP55" s="73">
        <v>46110.0</v>
      </c>
      <c r="AQ55" s="38" t="s">
        <v>174</v>
      </c>
      <c r="AR55" s="38" t="s">
        <v>175</v>
      </c>
      <c r="AS55" s="38" t="s">
        <v>53</v>
      </c>
      <c r="AT55" s="38" t="s">
        <v>42</v>
      </c>
      <c r="AU55" s="38" t="s">
        <v>44</v>
      </c>
      <c r="AV55" s="74">
        <v>0.425</v>
      </c>
      <c r="AW55" s="74">
        <v>0.4354166666666667</v>
      </c>
      <c r="AX55" s="38">
        <v>0.25</v>
      </c>
      <c r="AY55" s="38" t="s">
        <v>179</v>
      </c>
      <c r="AZ55" s="38" t="s">
        <v>179</v>
      </c>
      <c r="BA55" s="38" t="s">
        <v>179</v>
      </c>
      <c r="BB55" s="38" t="s">
        <v>179</v>
      </c>
      <c r="BC55" s="38" t="s">
        <v>176</v>
      </c>
      <c r="BD55" s="38" t="s">
        <v>152</v>
      </c>
      <c r="BE55" s="68">
        <v>46110.0</v>
      </c>
      <c r="BF55" s="38" t="s">
        <v>230</v>
      </c>
    </row>
    <row r="56">
      <c r="A56" s="62" t="s">
        <v>262</v>
      </c>
      <c r="B56" s="63"/>
      <c r="C56" s="62" t="s">
        <v>173</v>
      </c>
      <c r="D56" s="63"/>
      <c r="E56" s="62" t="s">
        <v>263</v>
      </c>
      <c r="F56" s="75" t="s">
        <v>60</v>
      </c>
      <c r="G56" s="63"/>
      <c r="H56" s="62" t="s">
        <v>172</v>
      </c>
      <c r="I56" s="63"/>
      <c r="J56" s="64">
        <v>46109.0</v>
      </c>
      <c r="K56" s="65">
        <v>0.375</v>
      </c>
      <c r="L56" s="64">
        <v>46115.0</v>
      </c>
      <c r="M56" s="65">
        <v>0.0</v>
      </c>
      <c r="N56" s="72">
        <v>5.625</v>
      </c>
      <c r="O56" s="66">
        <v>135.0</v>
      </c>
      <c r="R56" s="67"/>
      <c r="S56" s="68">
        <v>46109.0</v>
      </c>
      <c r="T56" s="38" t="str">
        <f>IFERROR(__xludf.DUMMYFUNCTION("""COMPUTED_VALUE"""),"General - West Jordan Symphony")</f>
        <v>General - West Jordan Symphony</v>
      </c>
      <c r="U56" s="38" t="s">
        <v>170</v>
      </c>
      <c r="V56" s="38" t="s">
        <v>60</v>
      </c>
      <c r="W56" s="38" t="str">
        <f>IFERROR(__xludf.DUMMYFUNCTION("""COMPUTED_VALUE"""),"Participant Hours")</f>
        <v>Participant Hours</v>
      </c>
      <c r="X56" s="38" t="s">
        <v>44</v>
      </c>
      <c r="Y56" s="38">
        <v>135.0</v>
      </c>
      <c r="Z56" s="38" t="s">
        <v>172</v>
      </c>
      <c r="AA56" s="38" t="s">
        <v>152</v>
      </c>
      <c r="AB56" s="68">
        <v>46109.0</v>
      </c>
      <c r="AC56" s="38" t="s">
        <v>173</v>
      </c>
      <c r="AK56" s="38" t="str">
        <f>IFERROR(__xludf.DUMMYFUNCTION("""COMPUTED_VALUE"""),"Plein Air Planning Meeting")</f>
        <v>Plein Air Planning Meeting</v>
      </c>
      <c r="AP56" s="73">
        <v>46109.0</v>
      </c>
      <c r="AQ56" s="38" t="s">
        <v>64</v>
      </c>
      <c r="AR56" s="38" t="s">
        <v>170</v>
      </c>
      <c r="AS56" s="38" t="s">
        <v>60</v>
      </c>
      <c r="AT56" s="38" t="s">
        <v>48</v>
      </c>
      <c r="AU56" s="38" t="s">
        <v>44</v>
      </c>
      <c r="AV56" s="74">
        <v>0.375</v>
      </c>
      <c r="AW56" s="74">
        <v>0.0</v>
      </c>
      <c r="AX56" s="38">
        <v>135.0</v>
      </c>
      <c r="AY56" s="38" t="s">
        <v>179</v>
      </c>
      <c r="AZ56" s="38" t="s">
        <v>179</v>
      </c>
      <c r="BA56" s="38" t="s">
        <v>179</v>
      </c>
      <c r="BB56" s="38" t="s">
        <v>179</v>
      </c>
      <c r="BC56" s="38" t="s">
        <v>172</v>
      </c>
      <c r="BD56" s="38" t="s">
        <v>152</v>
      </c>
      <c r="BE56" s="68">
        <v>46109.0</v>
      </c>
      <c r="BF56" s="38" t="s">
        <v>173</v>
      </c>
    </row>
    <row r="57">
      <c r="A57" s="62" t="s">
        <v>262</v>
      </c>
      <c r="B57" s="63"/>
      <c r="C57" s="62" t="s">
        <v>238</v>
      </c>
      <c r="D57" s="63"/>
      <c r="E57" s="62" t="s">
        <v>301</v>
      </c>
      <c r="F57" s="75" t="s">
        <v>49</v>
      </c>
      <c r="G57" s="63"/>
      <c r="H57" s="75" t="s">
        <v>187</v>
      </c>
      <c r="I57" s="63"/>
      <c r="J57" s="64">
        <v>46107.0</v>
      </c>
      <c r="K57" s="65">
        <v>0.7291666666666666</v>
      </c>
      <c r="L57" s="64">
        <v>46107.0</v>
      </c>
      <c r="M57" s="65">
        <v>0.7638888888888888</v>
      </c>
      <c r="N57" s="65">
        <v>0.034722222222222224</v>
      </c>
      <c r="O57" s="66">
        <v>0.833333</v>
      </c>
      <c r="R57" s="67"/>
      <c r="S57" s="68">
        <v>46107.0</v>
      </c>
      <c r="T57" s="38" t="str">
        <f>IFERROR(__xludf.DUMMYFUNCTION("""COMPUTED_VALUE"""),"General - Sugar Factory Playhouse")</f>
        <v>General - Sugar Factory Playhouse</v>
      </c>
      <c r="U57" s="38" t="s">
        <v>228</v>
      </c>
      <c r="V57" s="38" t="s">
        <v>49</v>
      </c>
      <c r="W57" s="38" t="str">
        <f>IFERROR(__xludf.DUMMYFUNCTION("""COMPUTED_VALUE"""),"Committee Member Hours")</f>
        <v>Committee Member Hours</v>
      </c>
      <c r="X57" s="38" t="s">
        <v>44</v>
      </c>
      <c r="Y57" s="38">
        <v>0.833333</v>
      </c>
      <c r="Z57" s="38" t="s">
        <v>187</v>
      </c>
      <c r="AA57" s="38" t="s">
        <v>152</v>
      </c>
      <c r="AB57" s="68">
        <v>46107.0</v>
      </c>
      <c r="AC57" s="38" t="s">
        <v>238</v>
      </c>
      <c r="AK57" s="38" t="str">
        <f>IFERROR(__xludf.DUMMYFUNCTION("""COMPUTED_VALUE"""),"Pricing of yard signs and t shirts for Art Festival")</f>
        <v>Pricing of yard signs and t shirts for Art Festival</v>
      </c>
      <c r="AP57" s="73">
        <v>46107.0</v>
      </c>
      <c r="AQ57" s="38" t="s">
        <v>227</v>
      </c>
      <c r="AR57" s="38" t="s">
        <v>228</v>
      </c>
      <c r="AS57" s="38" t="s">
        <v>49</v>
      </c>
      <c r="AT57" s="38" t="s">
        <v>42</v>
      </c>
      <c r="AU57" s="38" t="s">
        <v>44</v>
      </c>
      <c r="AV57" s="74">
        <v>0.7291666666666666</v>
      </c>
      <c r="AW57" s="74">
        <v>0.7638888888888888</v>
      </c>
      <c r="AX57" s="38">
        <v>0.833333</v>
      </c>
      <c r="AY57" s="38" t="s">
        <v>179</v>
      </c>
      <c r="AZ57" s="38" t="s">
        <v>179</v>
      </c>
      <c r="BA57" s="38" t="s">
        <v>179</v>
      </c>
      <c r="BB57" s="38" t="s">
        <v>179</v>
      </c>
      <c r="BC57" s="38" t="s">
        <v>187</v>
      </c>
      <c r="BD57" s="38" t="s">
        <v>152</v>
      </c>
      <c r="BE57" s="68">
        <v>46107.0</v>
      </c>
      <c r="BF57" s="38" t="s">
        <v>238</v>
      </c>
    </row>
    <row r="58">
      <c r="A58" s="62" t="s">
        <v>262</v>
      </c>
      <c r="B58" s="63"/>
      <c r="C58" s="62" t="s">
        <v>261</v>
      </c>
      <c r="D58" s="63"/>
      <c r="E58" s="62" t="s">
        <v>301</v>
      </c>
      <c r="F58" s="75" t="s">
        <v>49</v>
      </c>
      <c r="G58" s="63"/>
      <c r="H58" s="75" t="s">
        <v>187</v>
      </c>
      <c r="I58" s="63"/>
      <c r="J58" s="64">
        <v>46106.0</v>
      </c>
      <c r="K58" s="65">
        <v>0.7708333333333334</v>
      </c>
      <c r="L58" s="64">
        <v>46106.0</v>
      </c>
      <c r="M58" s="65">
        <v>0.9166666666666666</v>
      </c>
      <c r="N58" s="65">
        <v>0.14583333333333334</v>
      </c>
      <c r="O58" s="66">
        <v>3.5</v>
      </c>
      <c r="R58" s="67"/>
      <c r="S58" s="68">
        <v>46106.0</v>
      </c>
      <c r="T58" s="38" t="str">
        <f>IFERROR(__xludf.DUMMYFUNCTION("""COMPUTED_VALUE"""),"General - Sugar Factory Playhouse")</f>
        <v>General - Sugar Factory Playhouse</v>
      </c>
      <c r="U58" s="38" t="s">
        <v>228</v>
      </c>
      <c r="V58" s="38" t="s">
        <v>49</v>
      </c>
      <c r="W58" s="38" t="str">
        <f>IFERROR(__xludf.DUMMYFUNCTION("""COMPUTED_VALUE"""),"Committee Member Hours")</f>
        <v>Committee Member Hours</v>
      </c>
      <c r="X58" s="38" t="s">
        <v>44</v>
      </c>
      <c r="Y58" s="38">
        <v>3.5</v>
      </c>
      <c r="Z58" s="38" t="s">
        <v>187</v>
      </c>
      <c r="AA58" s="38" t="s">
        <v>152</v>
      </c>
      <c r="AB58" s="68">
        <v>46106.0</v>
      </c>
      <c r="AC58" s="38" t="s">
        <v>261</v>
      </c>
      <c r="AK58" s="38" t="str">
        <f>IFERROR(__xludf.DUMMYFUNCTION("""COMPUTED_VALUE"""),"Quartet performance")</f>
        <v>Quartet performance</v>
      </c>
      <c r="AP58" s="73">
        <v>46106.0</v>
      </c>
      <c r="AQ58" s="38" t="s">
        <v>227</v>
      </c>
      <c r="AR58" s="38" t="s">
        <v>228</v>
      </c>
      <c r="AS58" s="38" t="s">
        <v>49</v>
      </c>
      <c r="AT58" s="38" t="s">
        <v>42</v>
      </c>
      <c r="AU58" s="38" t="s">
        <v>44</v>
      </c>
      <c r="AV58" s="74">
        <v>0.7708333333333334</v>
      </c>
      <c r="AW58" s="74">
        <v>0.9166666666666666</v>
      </c>
      <c r="AX58" s="38">
        <v>3.5</v>
      </c>
      <c r="AY58" s="38" t="s">
        <v>179</v>
      </c>
      <c r="AZ58" s="38" t="s">
        <v>179</v>
      </c>
      <c r="BA58" s="38" t="s">
        <v>179</v>
      </c>
      <c r="BB58" s="38" t="s">
        <v>179</v>
      </c>
      <c r="BC58" s="38" t="s">
        <v>187</v>
      </c>
      <c r="BD58" s="38" t="s">
        <v>152</v>
      </c>
      <c r="BE58" s="68">
        <v>46106.0</v>
      </c>
      <c r="BF58" s="38" t="s">
        <v>261</v>
      </c>
    </row>
    <row r="59">
      <c r="A59" s="62" t="s">
        <v>262</v>
      </c>
      <c r="B59" s="63"/>
      <c r="C59" s="62" t="s">
        <v>264</v>
      </c>
      <c r="D59" s="63"/>
      <c r="E59" s="62" t="s">
        <v>281</v>
      </c>
      <c r="F59" s="75" t="s">
        <v>53</v>
      </c>
      <c r="G59" s="63"/>
      <c r="H59" s="62" t="s">
        <v>217</v>
      </c>
      <c r="I59" s="63"/>
      <c r="J59" s="64">
        <v>46106.0</v>
      </c>
      <c r="K59" s="65">
        <v>0.5625</v>
      </c>
      <c r="L59" s="64">
        <v>46106.0</v>
      </c>
      <c r="M59" s="65">
        <v>0.6458333333333334</v>
      </c>
      <c r="N59" s="72">
        <v>0.08333333333333333</v>
      </c>
      <c r="O59" s="66">
        <v>2.0</v>
      </c>
      <c r="R59" s="67"/>
      <c r="S59" s="68">
        <v>46106.0</v>
      </c>
      <c r="T59" s="38" t="str">
        <f>IFERROR(__xludf.DUMMYFUNCTION("""COMPUTED_VALUE"""),"General - Visual Arts Society")</f>
        <v>General - Visual Arts Society</v>
      </c>
      <c r="U59" s="38" t="s">
        <v>189</v>
      </c>
      <c r="V59" s="38" t="s">
        <v>53</v>
      </c>
      <c r="W59" s="38" t="str">
        <f>IFERROR(__xludf.DUMMYFUNCTION("""COMPUTED_VALUE"""),"Committee Member Hours")</f>
        <v>Committee Member Hours</v>
      </c>
      <c r="X59" s="38" t="s">
        <v>44</v>
      </c>
      <c r="Y59" s="38">
        <v>2.0</v>
      </c>
      <c r="Z59" s="38" t="s">
        <v>217</v>
      </c>
      <c r="AA59" s="38" t="s">
        <v>152</v>
      </c>
      <c r="AB59" s="68">
        <v>46106.0</v>
      </c>
      <c r="AC59" s="38" t="s">
        <v>264</v>
      </c>
      <c r="AK59" s="38" t="str">
        <f>IFERROR(__xludf.DUMMYFUNCTION("""COMPUTED_VALUE"""),"Rehearsal")</f>
        <v>Rehearsal</v>
      </c>
      <c r="AP59" s="73">
        <v>46106.0</v>
      </c>
      <c r="AQ59" s="38" t="s">
        <v>185</v>
      </c>
      <c r="AR59" s="38" t="s">
        <v>189</v>
      </c>
      <c r="AS59" s="38" t="s">
        <v>53</v>
      </c>
      <c r="AT59" s="38" t="s">
        <v>42</v>
      </c>
      <c r="AU59" s="38" t="s">
        <v>44</v>
      </c>
      <c r="AV59" s="74">
        <v>0.5625</v>
      </c>
      <c r="AW59" s="74">
        <v>0.6458333333333334</v>
      </c>
      <c r="AX59" s="38">
        <v>2.0</v>
      </c>
      <c r="AY59" s="38" t="s">
        <v>179</v>
      </c>
      <c r="AZ59" s="38" t="s">
        <v>179</v>
      </c>
      <c r="BA59" s="38" t="s">
        <v>179</v>
      </c>
      <c r="BB59" s="38" t="s">
        <v>179</v>
      </c>
      <c r="BC59" s="38" t="s">
        <v>217</v>
      </c>
      <c r="BD59" s="38" t="s">
        <v>152</v>
      </c>
      <c r="BE59" s="68">
        <v>46106.0</v>
      </c>
      <c r="BF59" s="38" t="s">
        <v>264</v>
      </c>
    </row>
    <row r="60">
      <c r="A60" s="62" t="s">
        <v>262</v>
      </c>
      <c r="B60" s="63"/>
      <c r="C60" s="62" t="s">
        <v>261</v>
      </c>
      <c r="D60" s="63"/>
      <c r="E60" s="62" t="s">
        <v>301</v>
      </c>
      <c r="F60" s="75" t="s">
        <v>49</v>
      </c>
      <c r="G60" s="63"/>
      <c r="H60" s="75" t="s">
        <v>187</v>
      </c>
      <c r="I60" s="63"/>
      <c r="J60" s="64">
        <v>46104.0</v>
      </c>
      <c r="K60" s="65">
        <v>0.7708333333333334</v>
      </c>
      <c r="L60" s="64">
        <v>46104.0</v>
      </c>
      <c r="M60" s="65">
        <v>0.9166666666666666</v>
      </c>
      <c r="N60" s="65">
        <v>0.14583333333333334</v>
      </c>
      <c r="O60" s="66">
        <v>3.5</v>
      </c>
      <c r="R60" s="67"/>
      <c r="S60" s="68">
        <v>46104.0</v>
      </c>
      <c r="T60" s="38" t="str">
        <f>IFERROR(__xludf.DUMMYFUNCTION("""COMPUTED_VALUE"""),"General - Sugar Factory Playhouse")</f>
        <v>General - Sugar Factory Playhouse</v>
      </c>
      <c r="U60" s="38" t="s">
        <v>228</v>
      </c>
      <c r="V60" s="38" t="s">
        <v>49</v>
      </c>
      <c r="W60" s="38" t="str">
        <f>IFERROR(__xludf.DUMMYFUNCTION("""COMPUTED_VALUE"""),"Committee Member Hours")</f>
        <v>Committee Member Hours</v>
      </c>
      <c r="X60" s="38" t="s">
        <v>44</v>
      </c>
      <c r="Y60" s="38">
        <v>3.5</v>
      </c>
      <c r="Z60" s="38" t="s">
        <v>187</v>
      </c>
      <c r="AA60" s="38" t="s">
        <v>152</v>
      </c>
      <c r="AB60" s="68">
        <v>46104.0</v>
      </c>
      <c r="AC60" s="38" t="s">
        <v>261</v>
      </c>
      <c r="AK60" s="38" t="str">
        <f>IFERROR(__xludf.DUMMYFUNCTION("""COMPUTED_VALUE"""),"Requesting quotes from various t shirt printing businesses.")</f>
        <v>Requesting quotes from various t shirt printing businesses.</v>
      </c>
      <c r="AP60" s="73">
        <v>46104.0</v>
      </c>
      <c r="AQ60" s="38" t="s">
        <v>227</v>
      </c>
      <c r="AR60" s="38" t="s">
        <v>228</v>
      </c>
      <c r="AS60" s="38" t="s">
        <v>49</v>
      </c>
      <c r="AT60" s="38" t="s">
        <v>42</v>
      </c>
      <c r="AU60" s="38" t="s">
        <v>44</v>
      </c>
      <c r="AV60" s="74">
        <v>0.7708333333333334</v>
      </c>
      <c r="AW60" s="74">
        <v>0.9166666666666666</v>
      </c>
      <c r="AX60" s="38">
        <v>3.5</v>
      </c>
      <c r="AY60" s="38" t="s">
        <v>179</v>
      </c>
      <c r="AZ60" s="38" t="s">
        <v>179</v>
      </c>
      <c r="BA60" s="38" t="s">
        <v>179</v>
      </c>
      <c r="BB60" s="38" t="s">
        <v>179</v>
      </c>
      <c r="BC60" s="38" t="s">
        <v>187</v>
      </c>
      <c r="BD60" s="38" t="s">
        <v>152</v>
      </c>
      <c r="BE60" s="68">
        <v>46104.0</v>
      </c>
      <c r="BF60" s="38" t="s">
        <v>261</v>
      </c>
    </row>
    <row r="61">
      <c r="A61" s="62" t="s">
        <v>262</v>
      </c>
      <c r="B61" s="63"/>
      <c r="C61" s="62" t="s">
        <v>225</v>
      </c>
      <c r="D61" s="63"/>
      <c r="E61" s="62" t="s">
        <v>285</v>
      </c>
      <c r="F61" s="75" t="s">
        <v>270</v>
      </c>
      <c r="G61" s="63"/>
      <c r="H61" s="62" t="s">
        <v>224</v>
      </c>
      <c r="I61" s="63"/>
      <c r="J61" s="64">
        <v>46104.0</v>
      </c>
      <c r="K61" s="65">
        <v>0.4895833333333333</v>
      </c>
      <c r="L61" s="64">
        <v>46104.0</v>
      </c>
      <c r="M61" s="65">
        <v>0.5104166666666666</v>
      </c>
      <c r="N61" s="72">
        <v>0.020833333333333332</v>
      </c>
      <c r="O61" s="66">
        <v>0.5</v>
      </c>
      <c r="R61" s="67"/>
      <c r="S61" s="68">
        <v>46104.0</v>
      </c>
      <c r="T61" s="38" t="str">
        <f>IFERROR(__xludf.DUMMYFUNCTION("""COMPUTED_VALUE"""),"General / No Specific Project")</f>
        <v>General / No Specific Project</v>
      </c>
      <c r="U61" s="38" t="s">
        <v>200</v>
      </c>
      <c r="V61" s="38" t="s">
        <v>33</v>
      </c>
      <c r="W61" s="38" t="str">
        <f>IFERROR(__xludf.DUMMYFUNCTION("""COMPUTED_VALUE"""),"CASWJ Board Hours")</f>
        <v>CASWJ Board Hours</v>
      </c>
      <c r="X61" s="38" t="s">
        <v>44</v>
      </c>
      <c r="Y61" s="38">
        <v>0.5</v>
      </c>
      <c r="Z61" s="38" t="s">
        <v>224</v>
      </c>
      <c r="AA61" s="38" t="s">
        <v>152</v>
      </c>
      <c r="AB61" s="68">
        <v>46104.0</v>
      </c>
      <c r="AC61" s="38" t="s">
        <v>225</v>
      </c>
      <c r="AK61" s="38" t="str">
        <f>IFERROR(__xludf.DUMMYFUNCTION("""COMPUTED_VALUE"""),"Responding to request to join submissions")</f>
        <v>Responding to request to join submissions</v>
      </c>
      <c r="AP61" s="73">
        <v>46104.0</v>
      </c>
      <c r="AQ61" s="38" t="s">
        <v>199</v>
      </c>
      <c r="AR61" s="38" t="s">
        <v>200</v>
      </c>
      <c r="AS61" s="38" t="s">
        <v>33</v>
      </c>
      <c r="AT61" s="38" t="s">
        <v>32</v>
      </c>
      <c r="AU61" s="38" t="s">
        <v>44</v>
      </c>
      <c r="AV61" s="74">
        <v>0.4895833333333333</v>
      </c>
      <c r="AW61" s="74">
        <v>0.5104166666666666</v>
      </c>
      <c r="AX61" s="38">
        <v>0.5</v>
      </c>
      <c r="AY61" s="38" t="s">
        <v>179</v>
      </c>
      <c r="AZ61" s="38" t="s">
        <v>179</v>
      </c>
      <c r="BA61" s="38" t="s">
        <v>179</v>
      </c>
      <c r="BB61" s="38" t="s">
        <v>179</v>
      </c>
      <c r="BC61" s="38" t="s">
        <v>224</v>
      </c>
      <c r="BD61" s="38" t="s">
        <v>152</v>
      </c>
      <c r="BE61" s="68">
        <v>46104.0</v>
      </c>
      <c r="BF61" s="38" t="s">
        <v>225</v>
      </c>
    </row>
    <row r="62">
      <c r="A62" s="62" t="s">
        <v>262</v>
      </c>
      <c r="B62" s="63"/>
      <c r="C62" s="62" t="s">
        <v>173</v>
      </c>
      <c r="D62" s="63"/>
      <c r="E62" s="62" t="s">
        <v>263</v>
      </c>
      <c r="F62" s="75" t="s">
        <v>60</v>
      </c>
      <c r="G62" s="63"/>
      <c r="H62" s="62" t="s">
        <v>172</v>
      </c>
      <c r="I62" s="63"/>
      <c r="J62" s="64">
        <v>46102.0</v>
      </c>
      <c r="K62" s="65">
        <v>0.375</v>
      </c>
      <c r="L62" s="64">
        <v>46108.0</v>
      </c>
      <c r="M62" s="65">
        <v>0.0</v>
      </c>
      <c r="N62" s="65">
        <v>5.625</v>
      </c>
      <c r="O62" s="66">
        <v>135.0</v>
      </c>
      <c r="R62" s="67"/>
      <c r="S62" s="68">
        <v>46102.0</v>
      </c>
      <c r="T62" s="38" t="str">
        <f>IFERROR(__xludf.DUMMYFUNCTION("""COMPUTED_VALUE"""),"General - West Jordan Symphony")</f>
        <v>General - West Jordan Symphony</v>
      </c>
      <c r="U62" s="38" t="s">
        <v>170</v>
      </c>
      <c r="V62" s="38" t="s">
        <v>60</v>
      </c>
      <c r="W62" s="38" t="str">
        <f>IFERROR(__xludf.DUMMYFUNCTION("""COMPUTED_VALUE"""),"Participant Hours")</f>
        <v>Participant Hours</v>
      </c>
      <c r="X62" s="38" t="s">
        <v>44</v>
      </c>
      <c r="Y62" s="38">
        <v>135.0</v>
      </c>
      <c r="Z62" s="38" t="s">
        <v>172</v>
      </c>
      <c r="AA62" s="38" t="s">
        <v>152</v>
      </c>
      <c r="AB62" s="68">
        <v>46102.0</v>
      </c>
      <c r="AC62" s="38" t="s">
        <v>173</v>
      </c>
      <c r="AK62" s="38" t="str">
        <f>IFERROR(__xludf.DUMMYFUNCTION("""COMPUTED_VALUE"""),"Reviewing Annual Report")</f>
        <v>Reviewing Annual Report</v>
      </c>
      <c r="AP62" s="73">
        <v>46102.0</v>
      </c>
      <c r="AQ62" s="38" t="s">
        <v>64</v>
      </c>
      <c r="AR62" s="38" t="s">
        <v>170</v>
      </c>
      <c r="AS62" s="38" t="s">
        <v>60</v>
      </c>
      <c r="AT62" s="38" t="s">
        <v>48</v>
      </c>
      <c r="AU62" s="38" t="s">
        <v>44</v>
      </c>
      <c r="AV62" s="74">
        <v>0.375</v>
      </c>
      <c r="AW62" s="74">
        <v>0.0</v>
      </c>
      <c r="AX62" s="38">
        <v>135.0</v>
      </c>
      <c r="AY62" s="38" t="s">
        <v>179</v>
      </c>
      <c r="AZ62" s="38" t="s">
        <v>179</v>
      </c>
      <c r="BA62" s="38" t="s">
        <v>179</v>
      </c>
      <c r="BB62" s="38" t="s">
        <v>179</v>
      </c>
      <c r="BC62" s="38" t="s">
        <v>172</v>
      </c>
      <c r="BD62" s="38" t="s">
        <v>152</v>
      </c>
      <c r="BE62" s="68">
        <v>46102.0</v>
      </c>
      <c r="BF62" s="38" t="s">
        <v>173</v>
      </c>
    </row>
    <row r="63">
      <c r="A63" s="62" t="s">
        <v>262</v>
      </c>
      <c r="B63" s="63"/>
      <c r="C63" s="62" t="s">
        <v>265</v>
      </c>
      <c r="D63" s="63"/>
      <c r="E63" s="62" t="s">
        <v>271</v>
      </c>
      <c r="F63" s="75" t="s">
        <v>53</v>
      </c>
      <c r="G63" s="63"/>
      <c r="H63" s="62" t="s">
        <v>176</v>
      </c>
      <c r="I63" s="63"/>
      <c r="J63" s="64">
        <v>46101.0</v>
      </c>
      <c r="K63" s="65">
        <v>0.7958333333333333</v>
      </c>
      <c r="L63" s="64">
        <v>46101.0</v>
      </c>
      <c r="M63" s="65">
        <v>0.8541666666666666</v>
      </c>
      <c r="N63" s="65">
        <v>0.058333333333333334</v>
      </c>
      <c r="O63" s="66">
        <v>1.4</v>
      </c>
      <c r="R63" s="67"/>
      <c r="S63" s="68">
        <v>46101.0</v>
      </c>
      <c r="T63" s="38" t="str">
        <f>IFERROR(__xludf.DUMMYFUNCTION("""COMPUTED_VALUE"""),"Art in the Park 2026")</f>
        <v>Art in the Park 2026</v>
      </c>
      <c r="U63" s="38" t="s">
        <v>175</v>
      </c>
      <c r="V63" s="38" t="s">
        <v>53</v>
      </c>
      <c r="W63" s="38" t="str">
        <f>IFERROR(__xludf.DUMMYFUNCTION("""COMPUTED_VALUE"""),"Committee Member Hours")</f>
        <v>Committee Member Hours</v>
      </c>
      <c r="X63" s="38" t="s">
        <v>44</v>
      </c>
      <c r="Y63" s="38">
        <v>1.4</v>
      </c>
      <c r="Z63" s="38" t="s">
        <v>176</v>
      </c>
      <c r="AA63" s="38" t="s">
        <v>152</v>
      </c>
      <c r="AB63" s="68">
        <v>46101.0</v>
      </c>
      <c r="AC63" s="38" t="s">
        <v>265</v>
      </c>
      <c r="AK63" s="38" t="str">
        <f>IFERROR(__xludf.DUMMYFUNCTION("""COMPUTED_VALUE"""),"Sam Abramson- Assistant Director/February")</f>
        <v>Sam Abramson- Assistant Director/February</v>
      </c>
      <c r="AP63" s="73">
        <v>46101.0</v>
      </c>
      <c r="AQ63" s="38" t="s">
        <v>174</v>
      </c>
      <c r="AR63" s="38" t="s">
        <v>175</v>
      </c>
      <c r="AS63" s="38" t="s">
        <v>53</v>
      </c>
      <c r="AT63" s="38" t="s">
        <v>42</v>
      </c>
      <c r="AU63" s="38" t="s">
        <v>44</v>
      </c>
      <c r="AV63" s="74">
        <v>0.7958333333333333</v>
      </c>
      <c r="AW63" s="74">
        <v>0.8541666666666666</v>
      </c>
      <c r="AX63" s="38">
        <v>1.4</v>
      </c>
      <c r="AY63" s="38" t="s">
        <v>179</v>
      </c>
      <c r="AZ63" s="38" t="s">
        <v>179</v>
      </c>
      <c r="BA63" s="38" t="s">
        <v>179</v>
      </c>
      <c r="BB63" s="38" t="s">
        <v>179</v>
      </c>
      <c r="BC63" s="38" t="s">
        <v>176</v>
      </c>
      <c r="BD63" s="38" t="s">
        <v>152</v>
      </c>
      <c r="BE63" s="68">
        <v>46101.0</v>
      </c>
      <c r="BF63" s="38" t="s">
        <v>265</v>
      </c>
    </row>
    <row r="64">
      <c r="A64" s="62" t="s">
        <v>262</v>
      </c>
      <c r="B64" s="63"/>
      <c r="C64" s="62" t="s">
        <v>261</v>
      </c>
      <c r="D64" s="63"/>
      <c r="E64" s="62" t="s">
        <v>301</v>
      </c>
      <c r="F64" s="75" t="s">
        <v>49</v>
      </c>
      <c r="G64" s="63"/>
      <c r="H64" s="75" t="s">
        <v>187</v>
      </c>
      <c r="I64" s="63"/>
      <c r="J64" s="64">
        <v>46101.0</v>
      </c>
      <c r="K64" s="65">
        <v>0.7708333333333334</v>
      </c>
      <c r="L64" s="64">
        <v>46101.0</v>
      </c>
      <c r="M64" s="65">
        <v>0.9166666666666666</v>
      </c>
      <c r="N64" s="65">
        <v>0.14583333333333334</v>
      </c>
      <c r="O64" s="66">
        <v>3.5</v>
      </c>
      <c r="R64" s="67"/>
      <c r="S64" s="68">
        <v>46101.0</v>
      </c>
      <c r="T64" s="38" t="str">
        <f>IFERROR(__xludf.DUMMYFUNCTION("""COMPUTED_VALUE"""),"General - Sugar Factory Playhouse")</f>
        <v>General - Sugar Factory Playhouse</v>
      </c>
      <c r="U64" s="38" t="s">
        <v>228</v>
      </c>
      <c r="V64" s="38" t="s">
        <v>49</v>
      </c>
      <c r="W64" s="38" t="str">
        <f>IFERROR(__xludf.DUMMYFUNCTION("""COMPUTED_VALUE"""),"Committee Member Hours")</f>
        <v>Committee Member Hours</v>
      </c>
      <c r="X64" s="38" t="s">
        <v>44</v>
      </c>
      <c r="Y64" s="38">
        <v>3.5</v>
      </c>
      <c r="Z64" s="38" t="s">
        <v>187</v>
      </c>
      <c r="AA64" s="38" t="s">
        <v>152</v>
      </c>
      <c r="AB64" s="68">
        <v>46101.0</v>
      </c>
      <c r="AC64" s="38" t="s">
        <v>261</v>
      </c>
      <c r="AK64" s="38" t="str">
        <f>IFERROR(__xludf.DUMMYFUNCTION("""COMPUTED_VALUE"""),"Sam Abramson- Assistant Director/January")</f>
        <v>Sam Abramson- Assistant Director/January</v>
      </c>
      <c r="AP64" s="73">
        <v>46101.0</v>
      </c>
      <c r="AQ64" s="38" t="s">
        <v>227</v>
      </c>
      <c r="AR64" s="38" t="s">
        <v>228</v>
      </c>
      <c r="AS64" s="38" t="s">
        <v>49</v>
      </c>
      <c r="AT64" s="38" t="s">
        <v>42</v>
      </c>
      <c r="AU64" s="38" t="s">
        <v>44</v>
      </c>
      <c r="AV64" s="74">
        <v>0.7708333333333334</v>
      </c>
      <c r="AW64" s="74">
        <v>0.9166666666666666</v>
      </c>
      <c r="AX64" s="38">
        <v>3.5</v>
      </c>
      <c r="AY64" s="38" t="s">
        <v>179</v>
      </c>
      <c r="AZ64" s="38" t="s">
        <v>179</v>
      </c>
      <c r="BA64" s="38" t="s">
        <v>179</v>
      </c>
      <c r="BB64" s="38" t="s">
        <v>179</v>
      </c>
      <c r="BC64" s="38" t="s">
        <v>187</v>
      </c>
      <c r="BD64" s="38" t="s">
        <v>152</v>
      </c>
      <c r="BE64" s="68">
        <v>46101.0</v>
      </c>
      <c r="BF64" s="38" t="s">
        <v>261</v>
      </c>
    </row>
    <row r="65">
      <c r="A65" s="62" t="s">
        <v>262</v>
      </c>
      <c r="B65" s="63"/>
      <c r="C65" s="62" t="s">
        <v>238</v>
      </c>
      <c r="D65" s="63"/>
      <c r="E65" s="62" t="s">
        <v>301</v>
      </c>
      <c r="F65" s="75" t="s">
        <v>49</v>
      </c>
      <c r="G65" s="63"/>
      <c r="H65" s="75" t="s">
        <v>187</v>
      </c>
      <c r="I65" s="63"/>
      <c r="J65" s="64">
        <v>46101.0</v>
      </c>
      <c r="K65" s="65">
        <v>0.7291666666666666</v>
      </c>
      <c r="L65" s="64">
        <v>46101.0</v>
      </c>
      <c r="M65" s="65">
        <v>0.7638888888888888</v>
      </c>
      <c r="N65" s="65">
        <v>0.034722222222222224</v>
      </c>
      <c r="O65" s="66">
        <v>0.833333</v>
      </c>
      <c r="R65" s="67"/>
      <c r="S65" s="68">
        <v>46101.0</v>
      </c>
      <c r="T65" s="38" t="str">
        <f>IFERROR(__xludf.DUMMYFUNCTION("""COMPUTED_VALUE"""),"General - Sugar Factory Playhouse")</f>
        <v>General - Sugar Factory Playhouse</v>
      </c>
      <c r="U65" s="38" t="s">
        <v>228</v>
      </c>
      <c r="V65" s="38" t="s">
        <v>49</v>
      </c>
      <c r="W65" s="38" t="str">
        <f>IFERROR(__xludf.DUMMYFUNCTION("""COMPUTED_VALUE"""),"Committee Member Hours")</f>
        <v>Committee Member Hours</v>
      </c>
      <c r="X65" s="38" t="s">
        <v>44</v>
      </c>
      <c r="Y65" s="38">
        <v>0.833333</v>
      </c>
      <c r="Z65" s="38" t="s">
        <v>187</v>
      </c>
      <c r="AA65" s="38" t="s">
        <v>152</v>
      </c>
      <c r="AB65" s="68">
        <v>46101.0</v>
      </c>
      <c r="AC65" s="38" t="s">
        <v>238</v>
      </c>
      <c r="AK65" s="38" t="str">
        <f>IFERROR(__xludf.DUMMYFUNCTION("""COMPUTED_VALUE"""),"SFP Board meeting")</f>
        <v>SFP Board meeting</v>
      </c>
      <c r="AP65" s="73">
        <v>46101.0</v>
      </c>
      <c r="AQ65" s="38" t="s">
        <v>227</v>
      </c>
      <c r="AR65" s="38" t="s">
        <v>228</v>
      </c>
      <c r="AS65" s="38" t="s">
        <v>49</v>
      </c>
      <c r="AT65" s="38" t="s">
        <v>42</v>
      </c>
      <c r="AU65" s="38" t="s">
        <v>44</v>
      </c>
      <c r="AV65" s="74">
        <v>0.7291666666666666</v>
      </c>
      <c r="AW65" s="74">
        <v>0.7638888888888888</v>
      </c>
      <c r="AX65" s="38">
        <v>0.833333</v>
      </c>
      <c r="AY65" s="38" t="s">
        <v>179</v>
      </c>
      <c r="AZ65" s="38" t="s">
        <v>179</v>
      </c>
      <c r="BA65" s="38" t="s">
        <v>179</v>
      </c>
      <c r="BB65" s="38" t="s">
        <v>179</v>
      </c>
      <c r="BC65" s="38" t="s">
        <v>187</v>
      </c>
      <c r="BD65" s="38" t="s">
        <v>152</v>
      </c>
      <c r="BE65" s="68">
        <v>46101.0</v>
      </c>
      <c r="BF65" s="38" t="s">
        <v>238</v>
      </c>
    </row>
    <row r="66">
      <c r="A66" s="62" t="s">
        <v>262</v>
      </c>
      <c r="B66" s="63"/>
      <c r="C66" s="62" t="s">
        <v>266</v>
      </c>
      <c r="D66" s="63"/>
      <c r="E66" s="62" t="s">
        <v>281</v>
      </c>
      <c r="F66" s="75" t="s">
        <v>53</v>
      </c>
      <c r="G66" s="63"/>
      <c r="H66" s="75" t="s">
        <v>187</v>
      </c>
      <c r="I66" s="63"/>
      <c r="J66" s="64">
        <v>46101.0</v>
      </c>
      <c r="K66" s="65">
        <v>0.7083333333333334</v>
      </c>
      <c r="L66" s="64">
        <v>46101.0</v>
      </c>
      <c r="M66" s="65">
        <v>0.8541666666666666</v>
      </c>
      <c r="N66" s="65">
        <v>0.14583333333333334</v>
      </c>
      <c r="O66" s="66">
        <v>3.5</v>
      </c>
      <c r="R66" s="67"/>
      <c r="S66" s="68">
        <v>46101.0</v>
      </c>
      <c r="T66" s="38" t="str">
        <f>IFERROR(__xludf.DUMMYFUNCTION("""COMPUTED_VALUE"""),"General - Visual Arts Society")</f>
        <v>General - Visual Arts Society</v>
      </c>
      <c r="U66" s="38" t="s">
        <v>189</v>
      </c>
      <c r="V66" s="38" t="s">
        <v>53</v>
      </c>
      <c r="W66" s="38" t="str">
        <f>IFERROR(__xludf.DUMMYFUNCTION("""COMPUTED_VALUE"""),"Committee Member Hours")</f>
        <v>Committee Member Hours</v>
      </c>
      <c r="X66" s="38" t="s">
        <v>44</v>
      </c>
      <c r="Y66" s="38">
        <v>3.5</v>
      </c>
      <c r="Z66" s="38" t="s">
        <v>187</v>
      </c>
      <c r="AA66" s="38" t="s">
        <v>152</v>
      </c>
      <c r="AB66" s="68">
        <v>46101.0</v>
      </c>
      <c r="AC66" s="38" t="s">
        <v>266</v>
      </c>
      <c r="AK66" s="38" t="str">
        <f>IFERROR(__xludf.DUMMYFUNCTION("""COMPUTED_VALUE"""),"SFP Board meeting- finance and marketing")</f>
        <v>SFP Board meeting- finance and marketing</v>
      </c>
      <c r="AP66" s="73">
        <v>46101.0</v>
      </c>
      <c r="AQ66" s="38" t="s">
        <v>185</v>
      </c>
      <c r="AR66" s="38" t="s">
        <v>189</v>
      </c>
      <c r="AS66" s="38" t="s">
        <v>53</v>
      </c>
      <c r="AT66" s="38" t="s">
        <v>42</v>
      </c>
      <c r="AU66" s="38" t="s">
        <v>44</v>
      </c>
      <c r="AV66" s="74">
        <v>0.7083333333333334</v>
      </c>
      <c r="AW66" s="74">
        <v>0.8541666666666666</v>
      </c>
      <c r="AX66" s="38">
        <v>3.5</v>
      </c>
      <c r="AY66" s="38" t="s">
        <v>179</v>
      </c>
      <c r="AZ66" s="38" t="s">
        <v>179</v>
      </c>
      <c r="BA66" s="38" t="s">
        <v>179</v>
      </c>
      <c r="BB66" s="38" t="s">
        <v>179</v>
      </c>
      <c r="BC66" s="38" t="s">
        <v>187</v>
      </c>
      <c r="BD66" s="38" t="s">
        <v>152</v>
      </c>
      <c r="BE66" s="68">
        <v>46101.0</v>
      </c>
      <c r="BF66" s="38" t="s">
        <v>266</v>
      </c>
    </row>
    <row r="67">
      <c r="A67" s="62" t="s">
        <v>262</v>
      </c>
      <c r="B67" s="63"/>
      <c r="C67" s="62" t="s">
        <v>267</v>
      </c>
      <c r="D67" s="63"/>
      <c r="E67" s="62" t="s">
        <v>186</v>
      </c>
      <c r="F67" s="75" t="s">
        <v>53</v>
      </c>
      <c r="G67" s="63"/>
      <c r="H67" s="75" t="s">
        <v>187</v>
      </c>
      <c r="I67" s="63"/>
      <c r="J67" s="64">
        <v>46101.0</v>
      </c>
      <c r="K67" s="65">
        <v>0.37222222222222223</v>
      </c>
      <c r="L67" s="64">
        <v>46101.0</v>
      </c>
      <c r="M67" s="65">
        <v>0.3840277777777778</v>
      </c>
      <c r="N67" s="65">
        <v>0.011805555555555555</v>
      </c>
      <c r="O67" s="66">
        <v>0.283333</v>
      </c>
      <c r="R67" s="67"/>
      <c r="S67" s="68">
        <v>46101.0</v>
      </c>
      <c r="T67" s="38" t="str">
        <f>IFERROR(__xludf.DUMMYFUNCTION("""COMPUTED_VALUE"""),"General - Visual Arts Society")</f>
        <v>General - Visual Arts Society</v>
      </c>
      <c r="U67" s="38" t="s">
        <v>186</v>
      </c>
      <c r="V67" s="38" t="s">
        <v>53</v>
      </c>
      <c r="W67" s="38" t="str">
        <f>IFERROR(__xludf.DUMMYFUNCTION("""COMPUTED_VALUE"""),"Committee Member Hours")</f>
        <v>Committee Member Hours</v>
      </c>
      <c r="X67" s="38" t="s">
        <v>44</v>
      </c>
      <c r="Y67" s="38">
        <v>0.283333</v>
      </c>
      <c r="Z67" s="38" t="s">
        <v>187</v>
      </c>
      <c r="AA67" s="38" t="s">
        <v>152</v>
      </c>
      <c r="AB67" s="68">
        <v>46101.0</v>
      </c>
      <c r="AC67" s="38" t="s">
        <v>267</v>
      </c>
      <c r="AK67" s="38" t="str">
        <f>IFERROR(__xludf.DUMMYFUNCTION("""COMPUTED_VALUE"""),"SFP Footloose program and front of house help")</f>
        <v>SFP Footloose program and front of house help</v>
      </c>
      <c r="AP67" s="73">
        <v>46101.0</v>
      </c>
      <c r="AQ67" s="38" t="s">
        <v>185</v>
      </c>
      <c r="AR67" s="38" t="s">
        <v>186</v>
      </c>
      <c r="AS67" s="38" t="s">
        <v>53</v>
      </c>
      <c r="AT67" s="38" t="s">
        <v>42</v>
      </c>
      <c r="AU67" s="38" t="s">
        <v>44</v>
      </c>
      <c r="AV67" s="74">
        <v>0.37222222222222223</v>
      </c>
      <c r="AW67" s="74">
        <v>0.3840277777777778</v>
      </c>
      <c r="AX67" s="38">
        <v>0.283333</v>
      </c>
      <c r="AY67" s="38" t="s">
        <v>179</v>
      </c>
      <c r="AZ67" s="38" t="s">
        <v>179</v>
      </c>
      <c r="BA67" s="38" t="s">
        <v>179</v>
      </c>
      <c r="BB67" s="38" t="s">
        <v>179</v>
      </c>
      <c r="BC67" s="38" t="s">
        <v>187</v>
      </c>
      <c r="BD67" s="38" t="s">
        <v>152</v>
      </c>
      <c r="BE67" s="68">
        <v>46101.0</v>
      </c>
      <c r="BF67" s="38" t="s">
        <v>267</v>
      </c>
    </row>
    <row r="68">
      <c r="A68" s="62" t="s">
        <v>262</v>
      </c>
      <c r="B68" s="63"/>
      <c r="C68" s="62" t="s">
        <v>261</v>
      </c>
      <c r="D68" s="63"/>
      <c r="E68" s="62" t="s">
        <v>301</v>
      </c>
      <c r="F68" s="75" t="s">
        <v>49</v>
      </c>
      <c r="G68" s="63"/>
      <c r="H68" s="75" t="s">
        <v>187</v>
      </c>
      <c r="I68" s="63"/>
      <c r="J68" s="64">
        <v>46100.0</v>
      </c>
      <c r="K68" s="65">
        <v>0.7708333333333334</v>
      </c>
      <c r="L68" s="64">
        <v>46100.0</v>
      </c>
      <c r="M68" s="65">
        <v>0.9166666666666666</v>
      </c>
      <c r="N68" s="65">
        <v>0.14583333333333334</v>
      </c>
      <c r="O68" s="66">
        <v>3.5</v>
      </c>
      <c r="R68" s="67"/>
      <c r="S68" s="68">
        <v>46100.0</v>
      </c>
      <c r="T68" s="38" t="str">
        <f>IFERROR(__xludf.DUMMYFUNCTION("""COMPUTED_VALUE"""),"General - Sugar Factory Playhouse")</f>
        <v>General - Sugar Factory Playhouse</v>
      </c>
      <c r="U68" s="38" t="s">
        <v>228</v>
      </c>
      <c r="V68" s="38" t="s">
        <v>49</v>
      </c>
      <c r="W68" s="38" t="str">
        <f>IFERROR(__xludf.DUMMYFUNCTION("""COMPUTED_VALUE"""),"Committee Member Hours")</f>
        <v>Committee Member Hours</v>
      </c>
      <c r="X68" s="38" t="s">
        <v>44</v>
      </c>
      <c r="Y68" s="38">
        <v>3.5</v>
      </c>
      <c r="Z68" s="38" t="s">
        <v>187</v>
      </c>
      <c r="AA68" s="38" t="s">
        <v>152</v>
      </c>
      <c r="AB68" s="68">
        <v>46100.0</v>
      </c>
      <c r="AC68" s="38" t="s">
        <v>261</v>
      </c>
      <c r="AK68" s="38" t="str">
        <f>IFERROR(__xludf.DUMMYFUNCTION("""COMPUTED_VALUE"""),"Simply Sushi Lunch Meeting")</f>
        <v>Simply Sushi Lunch Meeting</v>
      </c>
      <c r="AP68" s="73">
        <v>46100.0</v>
      </c>
      <c r="AQ68" s="38" t="s">
        <v>227</v>
      </c>
      <c r="AR68" s="38" t="s">
        <v>228</v>
      </c>
      <c r="AS68" s="38" t="s">
        <v>49</v>
      </c>
      <c r="AT68" s="38" t="s">
        <v>42</v>
      </c>
      <c r="AU68" s="38" t="s">
        <v>44</v>
      </c>
      <c r="AV68" s="74">
        <v>0.7708333333333334</v>
      </c>
      <c r="AW68" s="74">
        <v>0.9166666666666666</v>
      </c>
      <c r="AX68" s="38">
        <v>3.5</v>
      </c>
      <c r="AY68" s="38" t="s">
        <v>179</v>
      </c>
      <c r="AZ68" s="38" t="s">
        <v>179</v>
      </c>
      <c r="BA68" s="38" t="s">
        <v>179</v>
      </c>
      <c r="BB68" s="38" t="s">
        <v>179</v>
      </c>
      <c r="BC68" s="38" t="s">
        <v>187</v>
      </c>
      <c r="BD68" s="38" t="s">
        <v>152</v>
      </c>
      <c r="BE68" s="68">
        <v>46100.0</v>
      </c>
      <c r="BF68" s="38" t="s">
        <v>261</v>
      </c>
    </row>
    <row r="69">
      <c r="A69" s="62" t="s">
        <v>262</v>
      </c>
      <c r="B69" s="63"/>
      <c r="C69" s="62" t="s">
        <v>268</v>
      </c>
      <c r="D69" s="63"/>
      <c r="E69" s="62" t="s">
        <v>281</v>
      </c>
      <c r="F69" s="75" t="s">
        <v>53</v>
      </c>
      <c r="G69" s="63"/>
      <c r="H69" s="75" t="s">
        <v>187</v>
      </c>
      <c r="I69" s="63"/>
      <c r="J69" s="64">
        <v>46098.0</v>
      </c>
      <c r="K69" s="65">
        <v>0.5625</v>
      </c>
      <c r="L69" s="64">
        <v>46098.0</v>
      </c>
      <c r="M69" s="65">
        <v>0.6458333333333334</v>
      </c>
      <c r="N69" s="65">
        <v>0.08333333333333333</v>
      </c>
      <c r="O69" s="66">
        <v>2.0</v>
      </c>
      <c r="R69" s="67"/>
      <c r="S69" s="68">
        <v>46098.0</v>
      </c>
      <c r="T69" s="38" t="str">
        <f>IFERROR(__xludf.DUMMYFUNCTION("""COMPUTED_VALUE"""),"General - Visual Arts Society")</f>
        <v>General - Visual Arts Society</v>
      </c>
      <c r="U69" s="38" t="s">
        <v>189</v>
      </c>
      <c r="V69" s="38" t="s">
        <v>53</v>
      </c>
      <c r="W69" s="38" t="str">
        <f>IFERROR(__xludf.DUMMYFUNCTION("""COMPUTED_VALUE"""),"Committee Member Hours")</f>
        <v>Committee Member Hours</v>
      </c>
      <c r="X69" s="38" t="s">
        <v>44</v>
      </c>
      <c r="Y69" s="38">
        <v>2.0</v>
      </c>
      <c r="Z69" s="38" t="s">
        <v>187</v>
      </c>
      <c r="AA69" s="38" t="s">
        <v>152</v>
      </c>
      <c r="AB69" s="68">
        <v>46098.0</v>
      </c>
      <c r="AC69" s="38" t="s">
        <v>268</v>
      </c>
      <c r="AK69" s="38" t="str">
        <f>IFERROR(__xludf.DUMMYFUNCTION("""COMPUTED_VALUE"""),"Sky Island Quartet Tickets")</f>
        <v>Sky Island Quartet Tickets</v>
      </c>
      <c r="AP69" s="73">
        <v>46098.0</v>
      </c>
      <c r="AQ69" s="38" t="s">
        <v>185</v>
      </c>
      <c r="AR69" s="38" t="s">
        <v>189</v>
      </c>
      <c r="AS69" s="38" t="s">
        <v>53</v>
      </c>
      <c r="AT69" s="38" t="s">
        <v>42</v>
      </c>
      <c r="AU69" s="38" t="s">
        <v>44</v>
      </c>
      <c r="AV69" s="74">
        <v>0.5625</v>
      </c>
      <c r="AW69" s="74">
        <v>0.6458333333333334</v>
      </c>
      <c r="AX69" s="38">
        <v>2.0</v>
      </c>
      <c r="AY69" s="38" t="s">
        <v>179</v>
      </c>
      <c r="AZ69" s="38" t="s">
        <v>179</v>
      </c>
      <c r="BA69" s="38" t="s">
        <v>179</v>
      </c>
      <c r="BB69" s="38" t="s">
        <v>179</v>
      </c>
      <c r="BC69" s="38" t="s">
        <v>187</v>
      </c>
      <c r="BD69" s="38" t="s">
        <v>152</v>
      </c>
      <c r="BE69" s="68">
        <v>46098.0</v>
      </c>
      <c r="BF69" s="38" t="s">
        <v>268</v>
      </c>
    </row>
    <row r="70">
      <c r="A70" s="62" t="s">
        <v>262</v>
      </c>
      <c r="B70" s="63"/>
      <c r="C70" s="62" t="s">
        <v>225</v>
      </c>
      <c r="D70" s="63"/>
      <c r="E70" s="62" t="s">
        <v>285</v>
      </c>
      <c r="F70" s="75" t="s">
        <v>270</v>
      </c>
      <c r="G70" s="63"/>
      <c r="H70" s="62" t="s">
        <v>224</v>
      </c>
      <c r="I70" s="63"/>
      <c r="J70" s="64">
        <v>46097.0</v>
      </c>
      <c r="K70" s="65">
        <v>0.9298611111111111</v>
      </c>
      <c r="L70" s="64">
        <v>46097.0</v>
      </c>
      <c r="M70" s="65">
        <v>0.95</v>
      </c>
      <c r="N70" s="65">
        <v>0.02013888888888889</v>
      </c>
      <c r="O70" s="66">
        <v>0.483333</v>
      </c>
      <c r="R70" s="67"/>
      <c r="S70" s="68">
        <v>46097.0</v>
      </c>
      <c r="T70" s="38" t="str">
        <f>IFERROR(__xludf.DUMMYFUNCTION("""COMPUTED_VALUE"""),"General / No Specific Project")</f>
        <v>General / No Specific Project</v>
      </c>
      <c r="U70" s="38" t="s">
        <v>200</v>
      </c>
      <c r="V70" s="38" t="s">
        <v>33</v>
      </c>
      <c r="W70" s="38" t="str">
        <f>IFERROR(__xludf.DUMMYFUNCTION("""COMPUTED_VALUE"""),"CASWJ Board Hours")</f>
        <v>CASWJ Board Hours</v>
      </c>
      <c r="X70" s="38" t="s">
        <v>44</v>
      </c>
      <c r="Y70" s="38">
        <v>0.483333</v>
      </c>
      <c r="Z70" s="38" t="s">
        <v>224</v>
      </c>
      <c r="AA70" s="38" t="s">
        <v>152</v>
      </c>
      <c r="AB70" s="68">
        <v>46097.0</v>
      </c>
      <c r="AC70" s="38" t="s">
        <v>225</v>
      </c>
      <c r="AK70" s="38" t="str">
        <f>IFERROR(__xludf.DUMMYFUNCTION("""COMPUTED_VALUE"""),"T shirt inquiries")</f>
        <v>T shirt inquiries</v>
      </c>
      <c r="AP70" s="73">
        <v>46097.0</v>
      </c>
      <c r="AQ70" s="38" t="s">
        <v>199</v>
      </c>
      <c r="AR70" s="38" t="s">
        <v>200</v>
      </c>
      <c r="AS70" s="38" t="s">
        <v>33</v>
      </c>
      <c r="AT70" s="38" t="s">
        <v>32</v>
      </c>
      <c r="AU70" s="38" t="s">
        <v>44</v>
      </c>
      <c r="AV70" s="74">
        <v>0.9298611111111111</v>
      </c>
      <c r="AW70" s="74">
        <v>0.95</v>
      </c>
      <c r="AX70" s="38">
        <v>0.483333</v>
      </c>
      <c r="AY70" s="38" t="s">
        <v>179</v>
      </c>
      <c r="AZ70" s="38" t="s">
        <v>179</v>
      </c>
      <c r="BA70" s="38" t="s">
        <v>179</v>
      </c>
      <c r="BB70" s="38" t="s">
        <v>179</v>
      </c>
      <c r="BC70" s="38" t="s">
        <v>224</v>
      </c>
      <c r="BD70" s="38" t="s">
        <v>152</v>
      </c>
      <c r="BE70" s="68">
        <v>46097.0</v>
      </c>
      <c r="BF70" s="38" t="s">
        <v>225</v>
      </c>
    </row>
    <row r="71">
      <c r="A71" s="62" t="s">
        <v>262</v>
      </c>
      <c r="B71" s="63"/>
      <c r="C71" s="62" t="s">
        <v>225</v>
      </c>
      <c r="D71" s="63"/>
      <c r="E71" s="62" t="s">
        <v>285</v>
      </c>
      <c r="F71" s="75" t="s">
        <v>270</v>
      </c>
      <c r="G71" s="63"/>
      <c r="H71" s="62" t="s">
        <v>224</v>
      </c>
      <c r="I71" s="63"/>
      <c r="J71" s="64">
        <v>46097.0</v>
      </c>
      <c r="K71" s="65">
        <v>0.875</v>
      </c>
      <c r="L71" s="64">
        <v>46097.0</v>
      </c>
      <c r="M71" s="65">
        <v>0.90625</v>
      </c>
      <c r="N71" s="65">
        <v>0.03125</v>
      </c>
      <c r="O71" s="66">
        <v>0.75</v>
      </c>
      <c r="R71" s="67"/>
      <c r="S71" s="68">
        <v>46097.0</v>
      </c>
      <c r="T71" s="38" t="str">
        <f>IFERROR(__xludf.DUMMYFUNCTION("""COMPUTED_VALUE"""),"General / No Specific Project")</f>
        <v>General / No Specific Project</v>
      </c>
      <c r="U71" s="38" t="s">
        <v>200</v>
      </c>
      <c r="V71" s="38" t="s">
        <v>33</v>
      </c>
      <c r="W71" s="38" t="str">
        <f>IFERROR(__xludf.DUMMYFUNCTION("""COMPUTED_VALUE"""),"CASWJ Board Hours")</f>
        <v>CASWJ Board Hours</v>
      </c>
      <c r="X71" s="38" t="s">
        <v>44</v>
      </c>
      <c r="Y71" s="38">
        <v>0.75</v>
      </c>
      <c r="Z71" s="38" t="s">
        <v>224</v>
      </c>
      <c r="AA71" s="38" t="s">
        <v>152</v>
      </c>
      <c r="AB71" s="68">
        <v>46097.0</v>
      </c>
      <c r="AC71" s="38" t="s">
        <v>225</v>
      </c>
      <c r="AK71" s="38" t="str">
        <f>IFERROR(__xludf.DUMMYFUNCTION("""COMPUTED_VALUE"""),"T shirt quotes and volunteer form")</f>
        <v>T shirt quotes and volunteer form</v>
      </c>
      <c r="AP71" s="73">
        <v>46097.0</v>
      </c>
      <c r="AQ71" s="38" t="s">
        <v>199</v>
      </c>
      <c r="AR71" s="38" t="s">
        <v>200</v>
      </c>
      <c r="AS71" s="38" t="s">
        <v>33</v>
      </c>
      <c r="AT71" s="38" t="s">
        <v>32</v>
      </c>
      <c r="AU71" s="38" t="s">
        <v>44</v>
      </c>
      <c r="AV71" s="74">
        <v>0.875</v>
      </c>
      <c r="AW71" s="74">
        <v>0.90625</v>
      </c>
      <c r="AX71" s="38">
        <v>0.75</v>
      </c>
      <c r="AY71" s="38" t="s">
        <v>179</v>
      </c>
      <c r="AZ71" s="38" t="s">
        <v>179</v>
      </c>
      <c r="BA71" s="38" t="s">
        <v>179</v>
      </c>
      <c r="BB71" s="38" t="s">
        <v>179</v>
      </c>
      <c r="BC71" s="38" t="s">
        <v>224</v>
      </c>
      <c r="BD71" s="38" t="s">
        <v>152</v>
      </c>
      <c r="BE71" s="68">
        <v>46097.0</v>
      </c>
      <c r="BF71" s="38" t="s">
        <v>225</v>
      </c>
    </row>
    <row r="72">
      <c r="A72" s="62" t="s">
        <v>262</v>
      </c>
      <c r="B72" s="63"/>
      <c r="C72" s="62" t="s">
        <v>225</v>
      </c>
      <c r="D72" s="63"/>
      <c r="E72" s="62" t="s">
        <v>285</v>
      </c>
      <c r="F72" s="75" t="s">
        <v>270</v>
      </c>
      <c r="G72" s="63"/>
      <c r="H72" s="62" t="s">
        <v>224</v>
      </c>
      <c r="I72" s="63"/>
      <c r="J72" s="64">
        <v>46097.0</v>
      </c>
      <c r="K72" s="65">
        <v>0.4895833333333333</v>
      </c>
      <c r="L72" s="64">
        <v>46097.0</v>
      </c>
      <c r="M72" s="65">
        <v>0.5104166666666666</v>
      </c>
      <c r="N72" s="65">
        <v>0.020833333333333332</v>
      </c>
      <c r="O72" s="66">
        <v>0.5</v>
      </c>
      <c r="R72" s="67"/>
      <c r="S72" s="68">
        <v>46097.0</v>
      </c>
      <c r="T72" s="38" t="str">
        <f>IFERROR(__xludf.DUMMYFUNCTION("""COMPUTED_VALUE"""),"General / No Specific Project")</f>
        <v>General / No Specific Project</v>
      </c>
      <c r="U72" s="38" t="s">
        <v>200</v>
      </c>
      <c r="V72" s="38" t="s">
        <v>33</v>
      </c>
      <c r="W72" s="38" t="str">
        <f>IFERROR(__xludf.DUMMYFUNCTION("""COMPUTED_VALUE"""),"CASWJ Board Hours")</f>
        <v>CASWJ Board Hours</v>
      </c>
      <c r="X72" s="38" t="s">
        <v>44</v>
      </c>
      <c r="Y72" s="38">
        <v>0.5</v>
      </c>
      <c r="Z72" s="38" t="s">
        <v>224</v>
      </c>
      <c r="AA72" s="38" t="s">
        <v>152</v>
      </c>
      <c r="AB72" s="68">
        <v>46097.0</v>
      </c>
      <c r="AC72" s="38" t="s">
        <v>225</v>
      </c>
      <c r="AK72" s="38" t="str">
        <f>IFERROR(__xludf.DUMMYFUNCTION("""COMPUTED_VALUE"""),"Ticket taking")</f>
        <v>Ticket taking</v>
      </c>
      <c r="AP72" s="73">
        <v>46097.0</v>
      </c>
      <c r="AQ72" s="38" t="s">
        <v>199</v>
      </c>
      <c r="AR72" s="38" t="s">
        <v>200</v>
      </c>
      <c r="AS72" s="38" t="s">
        <v>33</v>
      </c>
      <c r="AT72" s="38" t="s">
        <v>32</v>
      </c>
      <c r="AU72" s="38" t="s">
        <v>44</v>
      </c>
      <c r="AV72" s="74">
        <v>0.4895833333333333</v>
      </c>
      <c r="AW72" s="74">
        <v>0.5104166666666666</v>
      </c>
      <c r="AX72" s="38">
        <v>0.5</v>
      </c>
      <c r="AY72" s="38" t="s">
        <v>179</v>
      </c>
      <c r="AZ72" s="38" t="s">
        <v>179</v>
      </c>
      <c r="BA72" s="38" t="s">
        <v>179</v>
      </c>
      <c r="BB72" s="38" t="s">
        <v>179</v>
      </c>
      <c r="BC72" s="38" t="s">
        <v>224</v>
      </c>
      <c r="BD72" s="38" t="s">
        <v>152</v>
      </c>
      <c r="BE72" s="68">
        <v>46097.0</v>
      </c>
      <c r="BF72" s="38" t="s">
        <v>225</v>
      </c>
    </row>
    <row r="73">
      <c r="A73" s="62" t="s">
        <v>262</v>
      </c>
      <c r="B73" s="63"/>
      <c r="C73" s="62" t="s">
        <v>225</v>
      </c>
      <c r="D73" s="63"/>
      <c r="E73" s="62" t="s">
        <v>285</v>
      </c>
      <c r="F73" s="75" t="s">
        <v>270</v>
      </c>
      <c r="G73" s="63"/>
      <c r="H73" s="62" t="s">
        <v>224</v>
      </c>
      <c r="I73" s="63"/>
      <c r="J73" s="64">
        <v>46097.0</v>
      </c>
      <c r="K73" s="65">
        <v>0.3506944444444444</v>
      </c>
      <c r="L73" s="64">
        <v>46097.0</v>
      </c>
      <c r="M73" s="65">
        <v>0.3611111111111111</v>
      </c>
      <c r="N73" s="65">
        <v>0.010416666666666666</v>
      </c>
      <c r="O73" s="66">
        <v>0.25</v>
      </c>
      <c r="R73" s="67"/>
      <c r="S73" s="68">
        <v>46097.0</v>
      </c>
      <c r="T73" s="38" t="str">
        <f>IFERROR(__xludf.DUMMYFUNCTION("""COMPUTED_VALUE"""),"General / No Specific Project")</f>
        <v>General / No Specific Project</v>
      </c>
      <c r="U73" s="38" t="s">
        <v>200</v>
      </c>
      <c r="V73" s="38" t="s">
        <v>33</v>
      </c>
      <c r="W73" s="38" t="str">
        <f>IFERROR(__xludf.DUMMYFUNCTION("""COMPUTED_VALUE"""),"CASWJ Board Hours")</f>
        <v>CASWJ Board Hours</v>
      </c>
      <c r="X73" s="38" t="s">
        <v>44</v>
      </c>
      <c r="Y73" s="38">
        <v>0.25</v>
      </c>
      <c r="Z73" s="38" t="s">
        <v>224</v>
      </c>
      <c r="AA73" s="38" t="s">
        <v>152</v>
      </c>
      <c r="AB73" s="68">
        <v>46097.0</v>
      </c>
      <c r="AC73" s="38" t="s">
        <v>225</v>
      </c>
      <c r="AK73" s="38" t="str">
        <f>IFERROR(__xludf.DUMMYFUNCTION("""COMPUTED_VALUE"""),"token bags")</f>
        <v>token bags</v>
      </c>
      <c r="AP73" s="73">
        <v>46097.0</v>
      </c>
      <c r="AQ73" s="38" t="s">
        <v>199</v>
      </c>
      <c r="AR73" s="38" t="s">
        <v>200</v>
      </c>
      <c r="AS73" s="38" t="s">
        <v>33</v>
      </c>
      <c r="AT73" s="38" t="s">
        <v>32</v>
      </c>
      <c r="AU73" s="38" t="s">
        <v>44</v>
      </c>
      <c r="AV73" s="74">
        <v>0.3506944444444444</v>
      </c>
      <c r="AW73" s="74">
        <v>0.3611111111111111</v>
      </c>
      <c r="AX73" s="38">
        <v>0.25</v>
      </c>
      <c r="AY73" s="38" t="s">
        <v>179</v>
      </c>
      <c r="AZ73" s="38" t="s">
        <v>179</v>
      </c>
      <c r="BA73" s="38" t="s">
        <v>179</v>
      </c>
      <c r="BB73" s="38" t="s">
        <v>179</v>
      </c>
      <c r="BC73" s="38" t="s">
        <v>224</v>
      </c>
      <c r="BD73" s="38" t="s">
        <v>152</v>
      </c>
      <c r="BE73" s="68">
        <v>46097.0</v>
      </c>
      <c r="BF73" s="38" t="s">
        <v>225</v>
      </c>
    </row>
    <row r="74">
      <c r="A74" s="62" t="s">
        <v>262</v>
      </c>
      <c r="B74" s="63"/>
      <c r="C74" s="62" t="s">
        <v>190</v>
      </c>
      <c r="D74" s="63"/>
      <c r="E74" s="62" t="s">
        <v>281</v>
      </c>
      <c r="F74" s="75" t="s">
        <v>53</v>
      </c>
      <c r="G74" s="63"/>
      <c r="H74" s="75" t="s">
        <v>187</v>
      </c>
      <c r="I74" s="63"/>
      <c r="J74" s="64">
        <v>46095.0</v>
      </c>
      <c r="K74" s="65">
        <v>0.6666666666666666</v>
      </c>
      <c r="L74" s="64">
        <v>46095.0</v>
      </c>
      <c r="M74" s="65">
        <v>0.7291666666666666</v>
      </c>
      <c r="N74" s="65">
        <v>0.0625</v>
      </c>
      <c r="O74" s="66">
        <v>1.5</v>
      </c>
      <c r="R74" s="67"/>
      <c r="S74" s="68">
        <v>46095.0</v>
      </c>
      <c r="T74" s="38" t="str">
        <f>IFERROR(__xludf.DUMMYFUNCTION("""COMPUTED_VALUE"""),"General - Visual Arts Society")</f>
        <v>General - Visual Arts Society</v>
      </c>
      <c r="U74" s="38" t="s">
        <v>189</v>
      </c>
      <c r="V74" s="38" t="s">
        <v>53</v>
      </c>
      <c r="W74" s="38" t="str">
        <f>IFERROR(__xludf.DUMMYFUNCTION("""COMPUTED_VALUE"""),"Committee Member Hours")</f>
        <v>Committee Member Hours</v>
      </c>
      <c r="X74" s="38" t="s">
        <v>44</v>
      </c>
      <c r="Y74" s="38">
        <v>1.5</v>
      </c>
      <c r="Z74" s="38" t="s">
        <v>187</v>
      </c>
      <c r="AA74" s="38" t="s">
        <v>152</v>
      </c>
      <c r="AB74" s="68">
        <v>46095.0</v>
      </c>
      <c r="AC74" s="38" t="s">
        <v>190</v>
      </c>
      <c r="AK74" s="38" t="str">
        <f>IFERROR(__xludf.DUMMYFUNCTION("""COMPUTED_VALUE"""),"Treasurer tasks")</f>
        <v>Treasurer tasks</v>
      </c>
      <c r="AP74" s="73">
        <v>46095.0</v>
      </c>
      <c r="AQ74" s="38" t="s">
        <v>185</v>
      </c>
      <c r="AR74" s="38" t="s">
        <v>189</v>
      </c>
      <c r="AS74" s="38" t="s">
        <v>53</v>
      </c>
      <c r="AT74" s="38" t="s">
        <v>42</v>
      </c>
      <c r="AU74" s="38" t="s">
        <v>44</v>
      </c>
      <c r="AV74" s="74">
        <v>0.6666666666666666</v>
      </c>
      <c r="AW74" s="74">
        <v>0.7291666666666666</v>
      </c>
      <c r="AX74" s="38">
        <v>1.5</v>
      </c>
      <c r="AY74" s="38" t="s">
        <v>179</v>
      </c>
      <c r="AZ74" s="38" t="s">
        <v>179</v>
      </c>
      <c r="BA74" s="38" t="s">
        <v>179</v>
      </c>
      <c r="BB74" s="38" t="s">
        <v>179</v>
      </c>
      <c r="BC74" s="38" t="s">
        <v>187</v>
      </c>
      <c r="BD74" s="38" t="s">
        <v>152</v>
      </c>
      <c r="BE74" s="68">
        <v>46095.0</v>
      </c>
      <c r="BF74" s="38" t="s">
        <v>190</v>
      </c>
    </row>
    <row r="75">
      <c r="A75" s="62" t="s">
        <v>262</v>
      </c>
      <c r="B75" s="63"/>
      <c r="C75" s="62" t="s">
        <v>173</v>
      </c>
      <c r="D75" s="63"/>
      <c r="E75" s="62" t="s">
        <v>263</v>
      </c>
      <c r="F75" s="75" t="s">
        <v>60</v>
      </c>
      <c r="G75" s="63"/>
      <c r="H75" s="62" t="s">
        <v>172</v>
      </c>
      <c r="I75" s="63"/>
      <c r="J75" s="64">
        <v>46095.0</v>
      </c>
      <c r="K75" s="65">
        <v>0.375</v>
      </c>
      <c r="L75" s="64">
        <v>46100.0</v>
      </c>
      <c r="M75" s="65">
        <v>0.6875</v>
      </c>
      <c r="N75" s="65">
        <v>5.3125</v>
      </c>
      <c r="O75" s="66">
        <v>127.5</v>
      </c>
      <c r="R75" s="67"/>
      <c r="S75" s="68">
        <v>46095.0</v>
      </c>
      <c r="T75" s="38" t="str">
        <f>IFERROR(__xludf.DUMMYFUNCTION("""COMPUTED_VALUE"""),"General - West Jordan Symphony")</f>
        <v>General - West Jordan Symphony</v>
      </c>
      <c r="U75" s="38" t="s">
        <v>170</v>
      </c>
      <c r="V75" s="38" t="s">
        <v>60</v>
      </c>
      <c r="W75" s="38" t="str">
        <f>IFERROR(__xludf.DUMMYFUNCTION("""COMPUTED_VALUE"""),"Participant Hours")</f>
        <v>Participant Hours</v>
      </c>
      <c r="X75" s="38" t="s">
        <v>44</v>
      </c>
      <c r="Y75" s="38">
        <v>127.5</v>
      </c>
      <c r="Z75" s="38" t="s">
        <v>172</v>
      </c>
      <c r="AA75" s="38" t="s">
        <v>152</v>
      </c>
      <c r="AB75" s="68">
        <v>46095.0</v>
      </c>
      <c r="AC75" s="38" t="s">
        <v>173</v>
      </c>
      <c r="AK75" s="38" t="str">
        <f>IFERROR(__xludf.DUMMYFUNCTION("""COMPUTED_VALUE"""),"Treasurer tasks February")</f>
        <v>Treasurer tasks February</v>
      </c>
      <c r="AP75" s="73">
        <v>46095.0</v>
      </c>
      <c r="AQ75" s="38" t="s">
        <v>64</v>
      </c>
      <c r="AR75" s="38" t="s">
        <v>170</v>
      </c>
      <c r="AS75" s="38" t="s">
        <v>60</v>
      </c>
      <c r="AT75" s="38" t="s">
        <v>48</v>
      </c>
      <c r="AU75" s="38" t="s">
        <v>44</v>
      </c>
      <c r="AV75" s="74">
        <v>0.375</v>
      </c>
      <c r="AW75" s="74">
        <v>0.6875</v>
      </c>
      <c r="AX75" s="38">
        <v>127.5</v>
      </c>
      <c r="AY75" s="38" t="s">
        <v>179</v>
      </c>
      <c r="AZ75" s="38" t="s">
        <v>179</v>
      </c>
      <c r="BA75" s="38" t="s">
        <v>179</v>
      </c>
      <c r="BB75" s="38" t="s">
        <v>179</v>
      </c>
      <c r="BC75" s="38" t="s">
        <v>172</v>
      </c>
      <c r="BD75" s="38" t="s">
        <v>152</v>
      </c>
      <c r="BE75" s="68">
        <v>46095.0</v>
      </c>
      <c r="BF75" s="38" t="s">
        <v>173</v>
      </c>
    </row>
    <row r="76">
      <c r="A76" s="62" t="s">
        <v>262</v>
      </c>
      <c r="B76" s="63"/>
      <c r="C76" s="62" t="s">
        <v>238</v>
      </c>
      <c r="D76" s="63"/>
      <c r="E76" s="62" t="s">
        <v>301</v>
      </c>
      <c r="F76" s="75" t="s">
        <v>49</v>
      </c>
      <c r="G76" s="63"/>
      <c r="H76" s="75" t="s">
        <v>187</v>
      </c>
      <c r="I76" s="63"/>
      <c r="J76" s="64">
        <v>46094.0</v>
      </c>
      <c r="K76" s="65">
        <v>0.675</v>
      </c>
      <c r="L76" s="64">
        <v>46094.0</v>
      </c>
      <c r="M76" s="65">
        <v>0.7583333333333333</v>
      </c>
      <c r="N76" s="65">
        <v>0.08333333333333333</v>
      </c>
      <c r="O76" s="66">
        <v>2.0</v>
      </c>
      <c r="R76" s="67"/>
      <c r="S76" s="68">
        <v>46094.0</v>
      </c>
      <c r="T76" s="38" t="str">
        <f>IFERROR(__xludf.DUMMYFUNCTION("""COMPUTED_VALUE"""),"General - Sugar Factory Playhouse")</f>
        <v>General - Sugar Factory Playhouse</v>
      </c>
      <c r="U76" s="38" t="s">
        <v>228</v>
      </c>
      <c r="V76" s="38" t="s">
        <v>49</v>
      </c>
      <c r="W76" s="38" t="str">
        <f>IFERROR(__xludf.DUMMYFUNCTION("""COMPUTED_VALUE"""),"Committee Member Hours")</f>
        <v>Committee Member Hours</v>
      </c>
      <c r="X76" s="38" t="s">
        <v>44</v>
      </c>
      <c r="Y76" s="38">
        <v>2.0</v>
      </c>
      <c r="Z76" s="38" t="s">
        <v>187</v>
      </c>
      <c r="AA76" s="38" t="s">
        <v>152</v>
      </c>
      <c r="AB76" s="68">
        <v>46094.0</v>
      </c>
      <c r="AC76" s="38" t="s">
        <v>238</v>
      </c>
      <c r="AK76" s="38" t="str">
        <f>IFERROR(__xludf.DUMMYFUNCTION("""COMPUTED_VALUE"""),"Trevor McFarland - Director/February")</f>
        <v>Trevor McFarland - Director/February</v>
      </c>
      <c r="AP76" s="73">
        <v>46094.0</v>
      </c>
      <c r="AQ76" s="38" t="s">
        <v>227</v>
      </c>
      <c r="AR76" s="38" t="s">
        <v>228</v>
      </c>
      <c r="AS76" s="38" t="s">
        <v>49</v>
      </c>
      <c r="AT76" s="38" t="s">
        <v>42</v>
      </c>
      <c r="AU76" s="38" t="s">
        <v>44</v>
      </c>
      <c r="AV76" s="74">
        <v>0.675</v>
      </c>
      <c r="AW76" s="74">
        <v>0.7583333333333333</v>
      </c>
      <c r="AX76" s="38">
        <v>2.0</v>
      </c>
      <c r="AY76" s="38" t="s">
        <v>179</v>
      </c>
      <c r="AZ76" s="38" t="s">
        <v>179</v>
      </c>
      <c r="BA76" s="38" t="s">
        <v>179</v>
      </c>
      <c r="BB76" s="38" t="s">
        <v>179</v>
      </c>
      <c r="BC76" s="38" t="s">
        <v>187</v>
      </c>
      <c r="BD76" s="38" t="s">
        <v>152</v>
      </c>
      <c r="BE76" s="68">
        <v>46094.0</v>
      </c>
      <c r="BF76" s="38" t="s">
        <v>238</v>
      </c>
    </row>
    <row r="77">
      <c r="A77" s="62" t="s">
        <v>262</v>
      </c>
      <c r="B77" s="63"/>
      <c r="C77" s="62" t="s">
        <v>273</v>
      </c>
      <c r="D77" s="63"/>
      <c r="E77" s="62" t="s">
        <v>186</v>
      </c>
      <c r="F77" s="75" t="s">
        <v>53</v>
      </c>
      <c r="G77" s="63"/>
      <c r="H77" s="75" t="s">
        <v>187</v>
      </c>
      <c r="I77" s="63"/>
      <c r="J77" s="64">
        <v>46094.0</v>
      </c>
      <c r="K77" s="65">
        <v>0.6666666666666666</v>
      </c>
      <c r="L77" s="64">
        <v>46094.0</v>
      </c>
      <c r="M77" s="65">
        <v>0.7222222222222222</v>
      </c>
      <c r="N77" s="65">
        <v>0.05555555555555555</v>
      </c>
      <c r="O77" s="66">
        <v>1.333333</v>
      </c>
      <c r="R77" s="67"/>
      <c r="S77" s="68">
        <v>46094.0</v>
      </c>
      <c r="T77" s="38" t="str">
        <f>IFERROR(__xludf.DUMMYFUNCTION("""COMPUTED_VALUE"""),"General - Visual Arts Society")</f>
        <v>General - Visual Arts Society</v>
      </c>
      <c r="U77" s="38" t="s">
        <v>186</v>
      </c>
      <c r="V77" s="38" t="s">
        <v>53</v>
      </c>
      <c r="W77" s="38" t="str">
        <f>IFERROR(__xludf.DUMMYFUNCTION("""COMPUTED_VALUE"""),"Committee Member Hours")</f>
        <v>Committee Member Hours</v>
      </c>
      <c r="X77" s="38" t="s">
        <v>44</v>
      </c>
      <c r="Y77" s="38">
        <v>1.333333</v>
      </c>
      <c r="Z77" s="38" t="s">
        <v>187</v>
      </c>
      <c r="AA77" s="38" t="s">
        <v>152</v>
      </c>
      <c r="AB77" s="68">
        <v>46094.0</v>
      </c>
      <c r="AC77" s="38" t="s">
        <v>273</v>
      </c>
      <c r="AK77" s="38" t="str">
        <f>IFERROR(__xludf.DUMMYFUNCTION("""COMPUTED_VALUE"""),"Trevor McFarland - Director/January")</f>
        <v>Trevor McFarland - Director/January</v>
      </c>
      <c r="AP77" s="73">
        <v>46094.0</v>
      </c>
      <c r="AQ77" s="38" t="s">
        <v>185</v>
      </c>
      <c r="AR77" s="38" t="s">
        <v>186</v>
      </c>
      <c r="AS77" s="38" t="s">
        <v>53</v>
      </c>
      <c r="AT77" s="38" t="s">
        <v>42</v>
      </c>
      <c r="AU77" s="38" t="s">
        <v>44</v>
      </c>
      <c r="AV77" s="74">
        <v>0.6666666666666666</v>
      </c>
      <c r="AW77" s="74">
        <v>0.7222222222222222</v>
      </c>
      <c r="AX77" s="38">
        <v>1.333333</v>
      </c>
      <c r="AY77" s="38" t="s">
        <v>179</v>
      </c>
      <c r="AZ77" s="38" t="s">
        <v>179</v>
      </c>
      <c r="BA77" s="38" t="s">
        <v>179</v>
      </c>
      <c r="BB77" s="38" t="s">
        <v>179</v>
      </c>
      <c r="BC77" s="38" t="s">
        <v>187</v>
      </c>
      <c r="BD77" s="38" t="s">
        <v>152</v>
      </c>
      <c r="BE77" s="68">
        <v>46094.0</v>
      </c>
      <c r="BF77" s="38" t="s">
        <v>273</v>
      </c>
    </row>
    <row r="78">
      <c r="A78" s="62" t="s">
        <v>262</v>
      </c>
      <c r="B78" s="63"/>
      <c r="C78" s="62" t="s">
        <v>203</v>
      </c>
      <c r="D78" s="63"/>
      <c r="E78" s="62" t="s">
        <v>271</v>
      </c>
      <c r="F78" s="75" t="s">
        <v>53</v>
      </c>
      <c r="G78" s="63"/>
      <c r="H78" s="62" t="s">
        <v>176</v>
      </c>
      <c r="I78" s="63"/>
      <c r="J78" s="64">
        <v>46094.0</v>
      </c>
      <c r="K78" s="65">
        <v>0.5833333333333334</v>
      </c>
      <c r="L78" s="64">
        <v>46094.0</v>
      </c>
      <c r="M78" s="65">
        <v>0.5902777777777778</v>
      </c>
      <c r="N78" s="72">
        <v>0.006944444444444444</v>
      </c>
      <c r="O78" s="66">
        <v>0.166667</v>
      </c>
      <c r="R78" s="67"/>
      <c r="S78" s="68">
        <v>46094.0</v>
      </c>
      <c r="T78" s="38" t="str">
        <f>IFERROR(__xludf.DUMMYFUNCTION("""COMPUTED_VALUE"""),"Art in the Park 2026")</f>
        <v>Art in the Park 2026</v>
      </c>
      <c r="U78" s="38" t="s">
        <v>175</v>
      </c>
      <c r="V78" s="38" t="s">
        <v>53</v>
      </c>
      <c r="W78" s="38" t="str">
        <f>IFERROR(__xludf.DUMMYFUNCTION("""COMPUTED_VALUE"""),"Committee Member Hours")</f>
        <v>Committee Member Hours</v>
      </c>
      <c r="X78" s="38" t="s">
        <v>44</v>
      </c>
      <c r="Y78" s="38">
        <v>0.166667</v>
      </c>
      <c r="Z78" s="38" t="s">
        <v>176</v>
      </c>
      <c r="AA78" s="38" t="s">
        <v>152</v>
      </c>
      <c r="AB78" s="68">
        <v>46094.0</v>
      </c>
      <c r="AC78" s="38" t="s">
        <v>203</v>
      </c>
      <c r="AK78" s="38" t="str">
        <f>IFERROR(__xludf.DUMMYFUNCTION("""COMPUTED_VALUE"""),"Venue walk through")</f>
        <v>Venue walk through</v>
      </c>
      <c r="AP78" s="73">
        <v>46094.0</v>
      </c>
      <c r="AQ78" s="38" t="s">
        <v>174</v>
      </c>
      <c r="AR78" s="38" t="s">
        <v>175</v>
      </c>
      <c r="AS78" s="38" t="s">
        <v>53</v>
      </c>
      <c r="AT78" s="38" t="s">
        <v>42</v>
      </c>
      <c r="AU78" s="38" t="s">
        <v>44</v>
      </c>
      <c r="AV78" s="74">
        <v>0.5833333333333334</v>
      </c>
      <c r="AW78" s="74">
        <v>0.5902777777777778</v>
      </c>
      <c r="AX78" s="38">
        <v>0.166667</v>
      </c>
      <c r="AY78" s="38" t="s">
        <v>179</v>
      </c>
      <c r="AZ78" s="38" t="s">
        <v>179</v>
      </c>
      <c r="BA78" s="38" t="s">
        <v>179</v>
      </c>
      <c r="BB78" s="38" t="s">
        <v>179</v>
      </c>
      <c r="BC78" s="38" t="s">
        <v>176</v>
      </c>
      <c r="BD78" s="38" t="s">
        <v>152</v>
      </c>
      <c r="BE78" s="68">
        <v>46094.0</v>
      </c>
      <c r="BF78" s="38" t="s">
        <v>203</v>
      </c>
    </row>
    <row r="79">
      <c r="A79" s="62" t="s">
        <v>262</v>
      </c>
      <c r="B79" s="63"/>
      <c r="C79" s="62" t="s">
        <v>274</v>
      </c>
      <c r="D79" s="63"/>
      <c r="E79" s="62" t="s">
        <v>281</v>
      </c>
      <c r="F79" s="75" t="s">
        <v>53</v>
      </c>
      <c r="G79" s="63"/>
      <c r="H79" s="75" t="s">
        <v>187</v>
      </c>
      <c r="I79" s="63"/>
      <c r="J79" s="64">
        <v>46092.0</v>
      </c>
      <c r="K79" s="65">
        <v>0.375</v>
      </c>
      <c r="L79" s="64">
        <v>46092.0</v>
      </c>
      <c r="M79" s="65">
        <v>0.4375</v>
      </c>
      <c r="N79" s="65">
        <v>0.0625</v>
      </c>
      <c r="O79" s="66">
        <v>1.5</v>
      </c>
      <c r="R79" s="67"/>
      <c r="S79" s="68">
        <v>46092.0</v>
      </c>
      <c r="T79" s="38" t="str">
        <f>IFERROR(__xludf.DUMMYFUNCTION("""COMPUTED_VALUE"""),"General - Visual Arts Society")</f>
        <v>General - Visual Arts Society</v>
      </c>
      <c r="U79" s="38" t="s">
        <v>189</v>
      </c>
      <c r="V79" s="38" t="s">
        <v>53</v>
      </c>
      <c r="W79" s="38" t="str">
        <f>IFERROR(__xludf.DUMMYFUNCTION("""COMPUTED_VALUE"""),"Committee Member Hours")</f>
        <v>Committee Member Hours</v>
      </c>
      <c r="X79" s="38" t="s">
        <v>44</v>
      </c>
      <c r="Y79" s="38">
        <v>1.5</v>
      </c>
      <c r="Z79" s="38" t="s">
        <v>187</v>
      </c>
      <c r="AA79" s="38" t="s">
        <v>152</v>
      </c>
      <c r="AB79" s="68">
        <v>46092.0</v>
      </c>
      <c r="AC79" s="38" t="s">
        <v>274</v>
      </c>
      <c r="AK79" s="38" t="str">
        <f>IFERROR(__xludf.DUMMYFUNCTION("""COMPUTED_VALUE"""),"Visual Arts")</f>
        <v>Visual Arts</v>
      </c>
      <c r="AP79" s="73">
        <v>46092.0</v>
      </c>
      <c r="AQ79" s="38" t="s">
        <v>185</v>
      </c>
      <c r="AR79" s="38" t="s">
        <v>189</v>
      </c>
      <c r="AS79" s="38" t="s">
        <v>53</v>
      </c>
      <c r="AT79" s="38" t="s">
        <v>42</v>
      </c>
      <c r="AU79" s="38" t="s">
        <v>44</v>
      </c>
      <c r="AV79" s="74">
        <v>0.375</v>
      </c>
      <c r="AW79" s="74">
        <v>0.4375</v>
      </c>
      <c r="AX79" s="38">
        <v>1.5</v>
      </c>
      <c r="AY79" s="38" t="s">
        <v>179</v>
      </c>
      <c r="AZ79" s="38" t="s">
        <v>179</v>
      </c>
      <c r="BA79" s="38" t="s">
        <v>179</v>
      </c>
      <c r="BB79" s="38" t="s">
        <v>179</v>
      </c>
      <c r="BC79" s="38" t="s">
        <v>187</v>
      </c>
      <c r="BD79" s="38" t="s">
        <v>152</v>
      </c>
      <c r="BE79" s="68">
        <v>46092.0</v>
      </c>
      <c r="BF79" s="38" t="s">
        <v>274</v>
      </c>
    </row>
    <row r="80">
      <c r="A80" s="62" t="s">
        <v>262</v>
      </c>
      <c r="B80" s="63"/>
      <c r="C80" s="62" t="s">
        <v>275</v>
      </c>
      <c r="D80" s="63"/>
      <c r="E80" s="62" t="s">
        <v>186</v>
      </c>
      <c r="F80" s="75" t="s">
        <v>53</v>
      </c>
      <c r="G80" s="63"/>
      <c r="H80" s="75" t="s">
        <v>187</v>
      </c>
      <c r="I80" s="63"/>
      <c r="J80" s="64">
        <v>46091.0</v>
      </c>
      <c r="K80" s="65">
        <v>0.39861111111111114</v>
      </c>
      <c r="L80" s="64">
        <v>46091.0</v>
      </c>
      <c r="M80" s="65">
        <v>0.4131944444444444</v>
      </c>
      <c r="N80" s="65">
        <v>0.014583333333333334</v>
      </c>
      <c r="O80" s="66">
        <v>0.35</v>
      </c>
      <c r="R80" s="67"/>
      <c r="S80" s="68">
        <v>46091.0</v>
      </c>
      <c r="T80" s="38" t="str">
        <f>IFERROR(__xludf.DUMMYFUNCTION("""COMPUTED_VALUE"""),"General - Visual Arts Society")</f>
        <v>General - Visual Arts Society</v>
      </c>
      <c r="U80" s="38" t="s">
        <v>186</v>
      </c>
      <c r="V80" s="38" t="s">
        <v>53</v>
      </c>
      <c r="W80" s="38" t="str">
        <f>IFERROR(__xludf.DUMMYFUNCTION("""COMPUTED_VALUE"""),"Committee Member Hours")</f>
        <v>Committee Member Hours</v>
      </c>
      <c r="X80" s="38" t="s">
        <v>44</v>
      </c>
      <c r="Y80" s="38">
        <v>0.35</v>
      </c>
      <c r="Z80" s="38" t="s">
        <v>187</v>
      </c>
      <c r="AA80" s="38" t="s">
        <v>152</v>
      </c>
      <c r="AB80" s="68">
        <v>46091.0</v>
      </c>
      <c r="AC80" s="38" t="s">
        <v>275</v>
      </c>
      <c r="AK80" s="38" t="str">
        <f>IFERROR(__xludf.DUMMYFUNCTION("""COMPUTED_VALUE"""),"volunteer form")</f>
        <v>volunteer form</v>
      </c>
      <c r="AP80" s="73">
        <v>46091.0</v>
      </c>
      <c r="AQ80" s="38" t="s">
        <v>185</v>
      </c>
      <c r="AR80" s="38" t="s">
        <v>186</v>
      </c>
      <c r="AS80" s="38" t="s">
        <v>53</v>
      </c>
      <c r="AT80" s="38" t="s">
        <v>42</v>
      </c>
      <c r="AU80" s="38" t="s">
        <v>44</v>
      </c>
      <c r="AV80" s="74">
        <v>0.39861111111111114</v>
      </c>
      <c r="AW80" s="74">
        <v>0.4131944444444444</v>
      </c>
      <c r="AX80" s="38">
        <v>0.35</v>
      </c>
      <c r="AY80" s="38" t="s">
        <v>179</v>
      </c>
      <c r="AZ80" s="38" t="s">
        <v>179</v>
      </c>
      <c r="BA80" s="38" t="s">
        <v>179</v>
      </c>
      <c r="BB80" s="38" t="s">
        <v>179</v>
      </c>
      <c r="BC80" s="38" t="s">
        <v>187</v>
      </c>
      <c r="BD80" s="38" t="s">
        <v>152</v>
      </c>
      <c r="BE80" s="68">
        <v>46091.0</v>
      </c>
      <c r="BF80" s="38" t="s">
        <v>275</v>
      </c>
    </row>
    <row r="81">
      <c r="A81" s="62" t="s">
        <v>262</v>
      </c>
      <c r="B81" s="63"/>
      <c r="C81" s="62" t="s">
        <v>276</v>
      </c>
      <c r="D81" s="63"/>
      <c r="E81" s="62" t="s">
        <v>186</v>
      </c>
      <c r="F81" s="75" t="s">
        <v>53</v>
      </c>
      <c r="G81" s="63"/>
      <c r="H81" s="75" t="s">
        <v>187</v>
      </c>
      <c r="I81" s="63"/>
      <c r="J81" s="64">
        <v>46090.0</v>
      </c>
      <c r="K81" s="65">
        <v>0.8951388888888889</v>
      </c>
      <c r="L81" s="64">
        <v>46090.0</v>
      </c>
      <c r="M81" s="65">
        <v>0.9090277777777778</v>
      </c>
      <c r="N81" s="65">
        <v>0.013888888888888888</v>
      </c>
      <c r="O81" s="66">
        <v>0.333333</v>
      </c>
      <c r="R81" s="67"/>
      <c r="S81" s="68">
        <v>46090.0</v>
      </c>
      <c r="T81" s="38" t="str">
        <f>IFERROR(__xludf.DUMMYFUNCTION("""COMPUTED_VALUE"""),"General - Visual Arts Society")</f>
        <v>General - Visual Arts Society</v>
      </c>
      <c r="U81" s="38" t="s">
        <v>186</v>
      </c>
      <c r="V81" s="38" t="s">
        <v>53</v>
      </c>
      <c r="W81" s="38" t="str">
        <f>IFERROR(__xludf.DUMMYFUNCTION("""COMPUTED_VALUE"""),"Committee Member Hours")</f>
        <v>Committee Member Hours</v>
      </c>
      <c r="X81" s="38" t="s">
        <v>44</v>
      </c>
      <c r="Y81" s="38">
        <v>0.333333</v>
      </c>
      <c r="Z81" s="38" t="s">
        <v>187</v>
      </c>
      <c r="AA81" s="38" t="s">
        <v>152</v>
      </c>
      <c r="AB81" s="68">
        <v>46090.0</v>
      </c>
      <c r="AC81" s="38" t="s">
        <v>276</v>
      </c>
      <c r="AK81" s="38" t="str">
        <f>IFERROR(__xludf.DUMMYFUNCTION("""COMPUTED_VALUE"""),"Volunteer form and flyer")</f>
        <v>Volunteer form and flyer</v>
      </c>
      <c r="AP81" s="73">
        <v>46090.0</v>
      </c>
      <c r="AQ81" s="38" t="s">
        <v>185</v>
      </c>
      <c r="AR81" s="38" t="s">
        <v>186</v>
      </c>
      <c r="AS81" s="38" t="s">
        <v>53</v>
      </c>
      <c r="AT81" s="38" t="s">
        <v>42</v>
      </c>
      <c r="AU81" s="38" t="s">
        <v>44</v>
      </c>
      <c r="AV81" s="74">
        <v>0.8951388888888889</v>
      </c>
      <c r="AW81" s="74">
        <v>0.9090277777777778</v>
      </c>
      <c r="AX81" s="38">
        <v>0.333333</v>
      </c>
      <c r="AY81" s="38" t="s">
        <v>179</v>
      </c>
      <c r="AZ81" s="38" t="s">
        <v>179</v>
      </c>
      <c r="BA81" s="38" t="s">
        <v>179</v>
      </c>
      <c r="BB81" s="38" t="s">
        <v>179</v>
      </c>
      <c r="BC81" s="38" t="s">
        <v>187</v>
      </c>
      <c r="BD81" s="38" t="s">
        <v>152</v>
      </c>
      <c r="BE81" s="68">
        <v>46090.0</v>
      </c>
      <c r="BF81" s="38" t="s">
        <v>276</v>
      </c>
    </row>
    <row r="82">
      <c r="A82" s="62" t="s">
        <v>262</v>
      </c>
      <c r="B82" s="63"/>
      <c r="C82" s="62" t="s">
        <v>278</v>
      </c>
      <c r="D82" s="63"/>
      <c r="E82" s="62" t="s">
        <v>186</v>
      </c>
      <c r="F82" s="75" t="s">
        <v>53</v>
      </c>
      <c r="G82" s="63"/>
      <c r="H82" s="75" t="s">
        <v>187</v>
      </c>
      <c r="I82" s="63"/>
      <c r="J82" s="64">
        <v>46090.0</v>
      </c>
      <c r="K82" s="65">
        <v>0.8743055555555556</v>
      </c>
      <c r="L82" s="64">
        <v>46090.0</v>
      </c>
      <c r="M82" s="65">
        <v>0.8888888888888888</v>
      </c>
      <c r="N82" s="65">
        <v>0.014583333333333334</v>
      </c>
      <c r="O82" s="66">
        <v>0.35</v>
      </c>
      <c r="R82" s="67"/>
      <c r="S82" s="68">
        <v>46090.0</v>
      </c>
      <c r="T82" s="38" t="str">
        <f>IFERROR(__xludf.DUMMYFUNCTION("""COMPUTED_VALUE"""),"General - Visual Arts Society")</f>
        <v>General - Visual Arts Society</v>
      </c>
      <c r="U82" s="38" t="s">
        <v>186</v>
      </c>
      <c r="V82" s="38" t="s">
        <v>53</v>
      </c>
      <c r="W82" s="38" t="str">
        <f>IFERROR(__xludf.DUMMYFUNCTION("""COMPUTED_VALUE"""),"Committee Member Hours")</f>
        <v>Committee Member Hours</v>
      </c>
      <c r="X82" s="38" t="s">
        <v>44</v>
      </c>
      <c r="Y82" s="38">
        <v>0.35</v>
      </c>
      <c r="Z82" s="38" t="s">
        <v>187</v>
      </c>
      <c r="AA82" s="38" t="s">
        <v>152</v>
      </c>
      <c r="AB82" s="68">
        <v>46090.0</v>
      </c>
      <c r="AC82" s="38" t="s">
        <v>278</v>
      </c>
      <c r="AK82" s="38" t="str">
        <f>IFERROR(__xludf.DUMMYFUNCTION("""COMPUTED_VALUE"""),"volunteer hour tracking")</f>
        <v>volunteer hour tracking</v>
      </c>
      <c r="AP82" s="73">
        <v>46090.0</v>
      </c>
      <c r="AQ82" s="38" t="s">
        <v>185</v>
      </c>
      <c r="AR82" s="38" t="s">
        <v>186</v>
      </c>
      <c r="AS82" s="38" t="s">
        <v>53</v>
      </c>
      <c r="AT82" s="38" t="s">
        <v>42</v>
      </c>
      <c r="AU82" s="38" t="s">
        <v>44</v>
      </c>
      <c r="AV82" s="74">
        <v>0.8743055555555556</v>
      </c>
      <c r="AW82" s="74">
        <v>0.8888888888888888</v>
      </c>
      <c r="AX82" s="38">
        <v>0.35</v>
      </c>
      <c r="AY82" s="38" t="s">
        <v>179</v>
      </c>
      <c r="AZ82" s="38" t="s">
        <v>179</v>
      </c>
      <c r="BA82" s="38" t="s">
        <v>179</v>
      </c>
      <c r="BB82" s="38" t="s">
        <v>179</v>
      </c>
      <c r="BC82" s="38" t="s">
        <v>187</v>
      </c>
      <c r="BD82" s="38" t="s">
        <v>152</v>
      </c>
      <c r="BE82" s="68">
        <v>46090.0</v>
      </c>
      <c r="BF82" s="38" t="s">
        <v>278</v>
      </c>
    </row>
    <row r="83">
      <c r="A83" s="62" t="s">
        <v>262</v>
      </c>
      <c r="B83" s="63"/>
      <c r="C83" s="62" t="s">
        <v>280</v>
      </c>
      <c r="D83" s="63"/>
      <c r="E83" s="62" t="s">
        <v>301</v>
      </c>
      <c r="F83" s="75" t="s">
        <v>49</v>
      </c>
      <c r="G83" s="63"/>
      <c r="H83" s="62" t="s">
        <v>279</v>
      </c>
      <c r="I83" s="63"/>
      <c r="J83" s="64">
        <v>46090.0</v>
      </c>
      <c r="K83" s="65">
        <v>0.7916666666666666</v>
      </c>
      <c r="L83" s="64">
        <v>46090.0</v>
      </c>
      <c r="M83" s="65">
        <v>0.9166666666666666</v>
      </c>
      <c r="N83" s="65">
        <v>0.125</v>
      </c>
      <c r="O83" s="66">
        <v>3.0</v>
      </c>
      <c r="R83" s="67"/>
      <c r="S83" s="68">
        <v>46090.0</v>
      </c>
      <c r="T83" s="38" t="str">
        <f>IFERROR(__xludf.DUMMYFUNCTION("""COMPUTED_VALUE"""),"General - Sugar Factory Playhouse")</f>
        <v>General - Sugar Factory Playhouse</v>
      </c>
      <c r="U83" s="38" t="s">
        <v>228</v>
      </c>
      <c r="V83" s="38" t="s">
        <v>49</v>
      </c>
      <c r="W83" s="38" t="str">
        <f>IFERROR(__xludf.DUMMYFUNCTION("""COMPUTED_VALUE"""),"Committee Member Hours")</f>
        <v>Committee Member Hours</v>
      </c>
      <c r="X83" s="38" t="s">
        <v>44</v>
      </c>
      <c r="Y83" s="38">
        <v>3.0</v>
      </c>
      <c r="Z83" s="38" t="s">
        <v>279</v>
      </c>
      <c r="AA83" s="38" t="s">
        <v>152</v>
      </c>
      <c r="AB83" s="68">
        <v>46090.0</v>
      </c>
      <c r="AC83" s="38" t="s">
        <v>280</v>
      </c>
      <c r="AK83" s="38" t="str">
        <f>IFERROR(__xludf.DUMMYFUNCTION("""COMPUTED_VALUE"""),"Volunteer hours and thank you")</f>
        <v>Volunteer hours and thank you</v>
      </c>
      <c r="AP83" s="73">
        <v>46090.0</v>
      </c>
      <c r="AQ83" s="38" t="s">
        <v>227</v>
      </c>
      <c r="AR83" s="38" t="s">
        <v>228</v>
      </c>
      <c r="AS83" s="38" t="s">
        <v>49</v>
      </c>
      <c r="AT83" s="38" t="s">
        <v>42</v>
      </c>
      <c r="AU83" s="38" t="s">
        <v>44</v>
      </c>
      <c r="AV83" s="74">
        <v>0.7916666666666666</v>
      </c>
      <c r="AW83" s="74">
        <v>0.9166666666666666</v>
      </c>
      <c r="AX83" s="38">
        <v>3.0</v>
      </c>
      <c r="AY83" s="38" t="s">
        <v>179</v>
      </c>
      <c r="AZ83" s="38" t="s">
        <v>179</v>
      </c>
      <c r="BA83" s="38" t="s">
        <v>179</v>
      </c>
      <c r="BB83" s="38" t="s">
        <v>179</v>
      </c>
      <c r="BC83" s="38" t="s">
        <v>279</v>
      </c>
      <c r="BD83" s="38" t="s">
        <v>152</v>
      </c>
      <c r="BE83" s="68">
        <v>46090.0</v>
      </c>
      <c r="BF83" s="38" t="s">
        <v>280</v>
      </c>
    </row>
    <row r="84">
      <c r="A84" s="62" t="s">
        <v>262</v>
      </c>
      <c r="B84" s="63"/>
      <c r="C84" s="62" t="s">
        <v>225</v>
      </c>
      <c r="D84" s="63"/>
      <c r="E84" s="62" t="s">
        <v>285</v>
      </c>
      <c r="F84" s="75" t="s">
        <v>270</v>
      </c>
      <c r="G84" s="63"/>
      <c r="H84" s="62" t="s">
        <v>224</v>
      </c>
      <c r="I84" s="63"/>
      <c r="J84" s="64">
        <v>46090.0</v>
      </c>
      <c r="K84" s="65">
        <v>0.66875</v>
      </c>
      <c r="L84" s="64">
        <v>46090.0</v>
      </c>
      <c r="M84" s="65">
        <v>0.7104166666666667</v>
      </c>
      <c r="N84" s="65">
        <v>0.041666666666666664</v>
      </c>
      <c r="O84" s="66">
        <v>1.0</v>
      </c>
      <c r="R84" s="67"/>
      <c r="S84" s="68">
        <v>46090.0</v>
      </c>
      <c r="T84" s="38" t="str">
        <f>IFERROR(__xludf.DUMMYFUNCTION("""COMPUTED_VALUE"""),"General / No Specific Project")</f>
        <v>General / No Specific Project</v>
      </c>
      <c r="U84" s="38" t="s">
        <v>200</v>
      </c>
      <c r="V84" s="38" t="s">
        <v>33</v>
      </c>
      <c r="W84" s="38" t="str">
        <f>IFERROR(__xludf.DUMMYFUNCTION("""COMPUTED_VALUE"""),"CASWJ Board Hours")</f>
        <v>CASWJ Board Hours</v>
      </c>
      <c r="X84" s="38" t="s">
        <v>44</v>
      </c>
      <c r="Y84" s="38">
        <v>1.0</v>
      </c>
      <c r="Z84" s="38" t="s">
        <v>224</v>
      </c>
      <c r="AA84" s="38" t="s">
        <v>152</v>
      </c>
      <c r="AB84" s="68">
        <v>46090.0</v>
      </c>
      <c r="AC84" s="38" t="s">
        <v>225</v>
      </c>
      <c r="AK84" s="38" t="str">
        <f>IFERROR(__xludf.DUMMYFUNCTION("""COMPUTED_VALUE"""),"volunteer information/assignments, buy stamps, cut bingo cards")</f>
        <v>volunteer information/assignments, buy stamps, cut bingo cards</v>
      </c>
      <c r="AP84" s="73">
        <v>46090.0</v>
      </c>
      <c r="AQ84" s="38" t="s">
        <v>199</v>
      </c>
      <c r="AR84" s="38" t="s">
        <v>200</v>
      </c>
      <c r="AS84" s="38" t="s">
        <v>33</v>
      </c>
      <c r="AT84" s="38" t="s">
        <v>32</v>
      </c>
      <c r="AU84" s="38" t="s">
        <v>44</v>
      </c>
      <c r="AV84" s="74">
        <v>0.66875</v>
      </c>
      <c r="AW84" s="74">
        <v>0.7104166666666667</v>
      </c>
      <c r="AX84" s="38">
        <v>1.0</v>
      </c>
      <c r="AY84" s="38" t="s">
        <v>179</v>
      </c>
      <c r="AZ84" s="38" t="s">
        <v>179</v>
      </c>
      <c r="BA84" s="38" t="s">
        <v>179</v>
      </c>
      <c r="BB84" s="38" t="s">
        <v>179</v>
      </c>
      <c r="BC84" s="38" t="s">
        <v>224</v>
      </c>
      <c r="BD84" s="38" t="s">
        <v>152</v>
      </c>
      <c r="BE84" s="68">
        <v>46090.0</v>
      </c>
      <c r="BF84" s="38" t="s">
        <v>225</v>
      </c>
    </row>
    <row r="85">
      <c r="A85" s="62" t="s">
        <v>262</v>
      </c>
      <c r="B85" s="63"/>
      <c r="C85" s="62" t="s">
        <v>225</v>
      </c>
      <c r="D85" s="63"/>
      <c r="E85" s="62" t="s">
        <v>285</v>
      </c>
      <c r="F85" s="75" t="s">
        <v>270</v>
      </c>
      <c r="G85" s="63"/>
      <c r="H85" s="62" t="s">
        <v>224</v>
      </c>
      <c r="I85" s="63"/>
      <c r="J85" s="64">
        <v>46089.0</v>
      </c>
      <c r="K85" s="65">
        <v>0.6576388888888889</v>
      </c>
      <c r="L85" s="64">
        <v>46089.0</v>
      </c>
      <c r="M85" s="65">
        <v>0.6993055555555555</v>
      </c>
      <c r="N85" s="65">
        <v>0.041666666666666664</v>
      </c>
      <c r="O85" s="66">
        <v>1.0</v>
      </c>
      <c r="R85" s="67"/>
      <c r="S85" s="68">
        <v>46089.0</v>
      </c>
      <c r="T85" s="38" t="str">
        <f>IFERROR(__xludf.DUMMYFUNCTION("""COMPUTED_VALUE"""),"General / No Specific Project")</f>
        <v>General / No Specific Project</v>
      </c>
      <c r="U85" s="38" t="s">
        <v>200</v>
      </c>
      <c r="V85" s="38" t="s">
        <v>33</v>
      </c>
      <c r="W85" s="38" t="str">
        <f>IFERROR(__xludf.DUMMYFUNCTION("""COMPUTED_VALUE"""),"CASWJ Board Hours")</f>
        <v>CASWJ Board Hours</v>
      </c>
      <c r="X85" s="38" t="s">
        <v>44</v>
      </c>
      <c r="Y85" s="38">
        <v>1.0</v>
      </c>
      <c r="Z85" s="38" t="s">
        <v>224</v>
      </c>
      <c r="AA85" s="38" t="s">
        <v>152</v>
      </c>
      <c r="AB85" s="68">
        <v>46089.0</v>
      </c>
      <c r="AC85" s="38" t="s">
        <v>225</v>
      </c>
      <c r="AK85" s="38" t="str">
        <f>IFERROR(__xludf.DUMMYFUNCTION("""COMPUTED_VALUE"""),"volunteer outreach")</f>
        <v>volunteer outreach</v>
      </c>
      <c r="AP85" s="73">
        <v>46089.0</v>
      </c>
      <c r="AQ85" s="38" t="s">
        <v>199</v>
      </c>
      <c r="AR85" s="38" t="s">
        <v>200</v>
      </c>
      <c r="AS85" s="38" t="s">
        <v>33</v>
      </c>
      <c r="AT85" s="38" t="s">
        <v>32</v>
      </c>
      <c r="AU85" s="38" t="s">
        <v>44</v>
      </c>
      <c r="AV85" s="74">
        <v>0.6576388888888889</v>
      </c>
      <c r="AW85" s="74">
        <v>0.6993055555555555</v>
      </c>
      <c r="AX85" s="38">
        <v>1.0</v>
      </c>
      <c r="AY85" s="38" t="s">
        <v>179</v>
      </c>
      <c r="AZ85" s="38" t="s">
        <v>179</v>
      </c>
      <c r="BA85" s="38" t="s">
        <v>179</v>
      </c>
      <c r="BB85" s="38" t="s">
        <v>179</v>
      </c>
      <c r="BC85" s="38" t="s">
        <v>224</v>
      </c>
      <c r="BD85" s="38" t="s">
        <v>152</v>
      </c>
      <c r="BE85" s="68">
        <v>46089.0</v>
      </c>
      <c r="BF85" s="38" t="s">
        <v>225</v>
      </c>
    </row>
    <row r="86">
      <c r="A86" s="62" t="s">
        <v>262</v>
      </c>
      <c r="B86" s="63"/>
      <c r="C86" s="62" t="s">
        <v>173</v>
      </c>
      <c r="D86" s="63"/>
      <c r="E86" s="62" t="s">
        <v>263</v>
      </c>
      <c r="F86" s="75" t="s">
        <v>60</v>
      </c>
      <c r="G86" s="63"/>
      <c r="H86" s="62" t="s">
        <v>172</v>
      </c>
      <c r="I86" s="63"/>
      <c r="J86" s="64">
        <v>46088.0</v>
      </c>
      <c r="K86" s="65">
        <v>0.375</v>
      </c>
      <c r="L86" s="64">
        <v>46092.0</v>
      </c>
      <c r="M86" s="65">
        <v>0.020833333333333332</v>
      </c>
      <c r="N86" s="65">
        <v>3.6041666666666665</v>
      </c>
      <c r="O86" s="66">
        <v>86.5</v>
      </c>
      <c r="R86" s="67"/>
      <c r="S86" s="68">
        <v>46088.0</v>
      </c>
      <c r="T86" s="38" t="str">
        <f>IFERROR(__xludf.DUMMYFUNCTION("""COMPUTED_VALUE"""),"General - West Jordan Symphony")</f>
        <v>General - West Jordan Symphony</v>
      </c>
      <c r="U86" s="38" t="s">
        <v>170</v>
      </c>
      <c r="V86" s="38" t="s">
        <v>60</v>
      </c>
      <c r="W86" s="38" t="str">
        <f>IFERROR(__xludf.DUMMYFUNCTION("""COMPUTED_VALUE"""),"Participant Hours")</f>
        <v>Participant Hours</v>
      </c>
      <c r="X86" s="38" t="s">
        <v>44</v>
      </c>
      <c r="Y86" s="38">
        <v>86.5</v>
      </c>
      <c r="Z86" s="38" t="s">
        <v>172</v>
      </c>
      <c r="AA86" s="38" t="s">
        <v>152</v>
      </c>
      <c r="AB86" s="68">
        <v>46088.0</v>
      </c>
      <c r="AC86" s="38" t="s">
        <v>173</v>
      </c>
      <c r="AK86" s="38" t="str">
        <f>IFERROR(__xludf.DUMMYFUNCTION("""COMPUTED_VALUE"""),"volunteer outreach and sign in form")</f>
        <v>volunteer outreach and sign in form</v>
      </c>
      <c r="AP86" s="73">
        <v>46088.0</v>
      </c>
      <c r="AQ86" s="38" t="s">
        <v>64</v>
      </c>
      <c r="AR86" s="38" t="s">
        <v>170</v>
      </c>
      <c r="AS86" s="38" t="s">
        <v>60</v>
      </c>
      <c r="AT86" s="38" t="s">
        <v>48</v>
      </c>
      <c r="AU86" s="38" t="s">
        <v>44</v>
      </c>
      <c r="AV86" s="74">
        <v>0.375</v>
      </c>
      <c r="AW86" s="74">
        <v>0.020833333333333332</v>
      </c>
      <c r="AX86" s="38">
        <v>86.5</v>
      </c>
      <c r="AY86" s="38" t="s">
        <v>179</v>
      </c>
      <c r="AZ86" s="38" t="s">
        <v>179</v>
      </c>
      <c r="BA86" s="38" t="s">
        <v>179</v>
      </c>
      <c r="BB86" s="38" t="s">
        <v>179</v>
      </c>
      <c r="BC86" s="38" t="s">
        <v>172</v>
      </c>
      <c r="BD86" s="38" t="s">
        <v>152</v>
      </c>
      <c r="BE86" s="68">
        <v>46088.0</v>
      </c>
      <c r="BF86" s="38" t="s">
        <v>173</v>
      </c>
    </row>
    <row r="87">
      <c r="A87" s="62" t="s">
        <v>262</v>
      </c>
      <c r="B87" s="63"/>
      <c r="C87" s="62" t="s">
        <v>286</v>
      </c>
      <c r="D87" s="63"/>
      <c r="E87" s="62" t="s">
        <v>271</v>
      </c>
      <c r="F87" s="75" t="s">
        <v>53</v>
      </c>
      <c r="G87" s="63"/>
      <c r="H87" s="62" t="s">
        <v>176</v>
      </c>
      <c r="I87" s="63"/>
      <c r="J87" s="64">
        <v>46087.0</v>
      </c>
      <c r="K87" s="65">
        <v>0.625</v>
      </c>
      <c r="L87" s="64">
        <v>46087.0</v>
      </c>
      <c r="M87" s="65">
        <v>0.7375</v>
      </c>
      <c r="N87" s="65">
        <v>0.1125</v>
      </c>
      <c r="O87" s="66">
        <v>2.7</v>
      </c>
      <c r="R87" s="67"/>
      <c r="S87" s="68">
        <v>46087.0</v>
      </c>
      <c r="T87" s="38" t="str">
        <f>IFERROR(__xludf.DUMMYFUNCTION("""COMPUTED_VALUE"""),"Art in the Park 2026")</f>
        <v>Art in the Park 2026</v>
      </c>
      <c r="U87" s="38" t="s">
        <v>175</v>
      </c>
      <c r="V87" s="38" t="s">
        <v>53</v>
      </c>
      <c r="W87" s="38" t="str">
        <f>IFERROR(__xludf.DUMMYFUNCTION("""COMPUTED_VALUE"""),"Committee Member Hours")</f>
        <v>Committee Member Hours</v>
      </c>
      <c r="X87" s="38" t="s">
        <v>44</v>
      </c>
      <c r="Y87" s="38">
        <v>2.7</v>
      </c>
      <c r="Z87" s="38" t="s">
        <v>176</v>
      </c>
      <c r="AA87" s="38" t="s">
        <v>152</v>
      </c>
      <c r="AB87" s="68">
        <v>46087.0</v>
      </c>
      <c r="AC87" s="38" t="s">
        <v>286</v>
      </c>
      <c r="AK87" s="38" t="str">
        <f>IFERROR(__xludf.DUMMYFUNCTION("""COMPUTED_VALUE"""),"volunteer recruitment")</f>
        <v>volunteer recruitment</v>
      </c>
      <c r="AP87" s="73">
        <v>46087.0</v>
      </c>
      <c r="AQ87" s="38" t="s">
        <v>174</v>
      </c>
      <c r="AR87" s="38" t="s">
        <v>175</v>
      </c>
      <c r="AS87" s="38" t="s">
        <v>53</v>
      </c>
      <c r="AT87" s="38" t="s">
        <v>42</v>
      </c>
      <c r="AU87" s="38" t="s">
        <v>44</v>
      </c>
      <c r="AV87" s="74">
        <v>0.625</v>
      </c>
      <c r="AW87" s="74">
        <v>0.7375</v>
      </c>
      <c r="AX87" s="38">
        <v>2.7</v>
      </c>
      <c r="AY87" s="38" t="s">
        <v>179</v>
      </c>
      <c r="AZ87" s="38" t="s">
        <v>179</v>
      </c>
      <c r="BA87" s="38" t="s">
        <v>179</v>
      </c>
      <c r="BB87" s="38" t="s">
        <v>179</v>
      </c>
      <c r="BC87" s="38" t="s">
        <v>176</v>
      </c>
      <c r="BD87" s="38" t="s">
        <v>152</v>
      </c>
      <c r="BE87" s="68">
        <v>46087.0</v>
      </c>
      <c r="BF87" s="38" t="s">
        <v>286</v>
      </c>
    </row>
    <row r="88">
      <c r="A88" s="62" t="s">
        <v>262</v>
      </c>
      <c r="B88" s="63"/>
      <c r="C88" s="62" t="s">
        <v>203</v>
      </c>
      <c r="D88" s="63"/>
      <c r="E88" s="62" t="s">
        <v>271</v>
      </c>
      <c r="F88" s="75" t="s">
        <v>53</v>
      </c>
      <c r="G88" s="63"/>
      <c r="H88" s="62" t="s">
        <v>176</v>
      </c>
      <c r="I88" s="63"/>
      <c r="J88" s="64">
        <v>46086.0</v>
      </c>
      <c r="K88" s="65">
        <v>0.7763888888888889</v>
      </c>
      <c r="L88" s="64">
        <v>46086.0</v>
      </c>
      <c r="M88" s="65">
        <v>0.8097222222222222</v>
      </c>
      <c r="N88" s="65">
        <v>0.03333333333333333</v>
      </c>
      <c r="O88" s="66">
        <v>0.8</v>
      </c>
      <c r="R88" s="67"/>
      <c r="S88" s="68">
        <v>46086.0</v>
      </c>
      <c r="T88" s="38" t="str">
        <f>IFERROR(__xludf.DUMMYFUNCTION("""COMPUTED_VALUE"""),"Art in the Park 2026")</f>
        <v>Art in the Park 2026</v>
      </c>
      <c r="U88" s="38" t="s">
        <v>175</v>
      </c>
      <c r="V88" s="38" t="s">
        <v>53</v>
      </c>
      <c r="W88" s="38" t="str">
        <f>IFERROR(__xludf.DUMMYFUNCTION("""COMPUTED_VALUE"""),"Committee Member Hours")</f>
        <v>Committee Member Hours</v>
      </c>
      <c r="X88" s="38" t="s">
        <v>44</v>
      </c>
      <c r="Y88" s="38">
        <v>0.8</v>
      </c>
      <c r="Z88" s="38" t="s">
        <v>176</v>
      </c>
      <c r="AA88" s="38" t="s">
        <v>152</v>
      </c>
      <c r="AB88" s="68">
        <v>46086.0</v>
      </c>
      <c r="AC88" s="38" t="s">
        <v>203</v>
      </c>
      <c r="AK88" s="38" t="str">
        <f>IFERROR(__xludf.DUMMYFUNCTION("""COMPUTED_VALUE"""),"West Jordan board hours June")</f>
        <v>West Jordan board hours June</v>
      </c>
      <c r="AP88" s="73">
        <v>46086.0</v>
      </c>
      <c r="AQ88" s="38" t="s">
        <v>174</v>
      </c>
      <c r="AR88" s="38" t="s">
        <v>175</v>
      </c>
      <c r="AS88" s="38" t="s">
        <v>53</v>
      </c>
      <c r="AT88" s="38" t="s">
        <v>42</v>
      </c>
      <c r="AU88" s="38" t="s">
        <v>44</v>
      </c>
      <c r="AV88" s="74">
        <v>0.7763888888888889</v>
      </c>
      <c r="AW88" s="74">
        <v>0.8097222222222222</v>
      </c>
      <c r="AX88" s="38">
        <v>0.8</v>
      </c>
      <c r="AY88" s="38" t="s">
        <v>179</v>
      </c>
      <c r="AZ88" s="38" t="s">
        <v>179</v>
      </c>
      <c r="BA88" s="38" t="s">
        <v>179</v>
      </c>
      <c r="BB88" s="38" t="s">
        <v>179</v>
      </c>
      <c r="BC88" s="38" t="s">
        <v>176</v>
      </c>
      <c r="BD88" s="38" t="s">
        <v>152</v>
      </c>
      <c r="BE88" s="68">
        <v>46086.0</v>
      </c>
      <c r="BF88" s="38" t="s">
        <v>203</v>
      </c>
    </row>
    <row r="89">
      <c r="A89" s="62" t="s">
        <v>262</v>
      </c>
      <c r="B89" s="63"/>
      <c r="C89" s="62" t="s">
        <v>225</v>
      </c>
      <c r="D89" s="63"/>
      <c r="E89" s="62" t="s">
        <v>285</v>
      </c>
      <c r="F89" s="75" t="s">
        <v>270</v>
      </c>
      <c r="G89" s="63"/>
      <c r="H89" s="62" t="s">
        <v>224</v>
      </c>
      <c r="I89" s="63"/>
      <c r="J89" s="64">
        <v>46085.0</v>
      </c>
      <c r="K89" s="65">
        <v>0.75</v>
      </c>
      <c r="L89" s="64">
        <v>46085.0</v>
      </c>
      <c r="M89" s="65">
        <v>0.8277777777777777</v>
      </c>
      <c r="N89" s="65">
        <v>0.07777777777777778</v>
      </c>
      <c r="O89" s="66">
        <v>1.866667</v>
      </c>
      <c r="R89" s="67"/>
      <c r="S89" s="68">
        <v>46085.0</v>
      </c>
      <c r="T89" s="38" t="str">
        <f>IFERROR(__xludf.DUMMYFUNCTION("""COMPUTED_VALUE"""),"General / No Specific Project")</f>
        <v>General / No Specific Project</v>
      </c>
      <c r="U89" s="38" t="s">
        <v>200</v>
      </c>
      <c r="V89" s="38" t="s">
        <v>33</v>
      </c>
      <c r="W89" s="38" t="str">
        <f>IFERROR(__xludf.DUMMYFUNCTION("""COMPUTED_VALUE"""),"CASWJ Board Hours")</f>
        <v>CASWJ Board Hours</v>
      </c>
      <c r="X89" s="38" t="s">
        <v>44</v>
      </c>
      <c r="Y89" s="38">
        <v>1.866667</v>
      </c>
      <c r="Z89" s="38" t="s">
        <v>224</v>
      </c>
      <c r="AA89" s="38" t="s">
        <v>152</v>
      </c>
      <c r="AB89" s="68">
        <v>46085.0</v>
      </c>
      <c r="AC89" s="38" t="s">
        <v>225</v>
      </c>
      <c r="AK89" s="38" t="str">
        <f>IFERROR(__xludf.DUMMYFUNCTION("""COMPUTED_VALUE"""),"WJAC Meeting")</f>
        <v>WJAC Meeting</v>
      </c>
      <c r="AP89" s="73">
        <v>46085.0</v>
      </c>
      <c r="AQ89" s="38" t="s">
        <v>199</v>
      </c>
      <c r="AR89" s="38" t="s">
        <v>200</v>
      </c>
      <c r="AS89" s="38" t="s">
        <v>33</v>
      </c>
      <c r="AT89" s="38" t="s">
        <v>32</v>
      </c>
      <c r="AU89" s="38" t="s">
        <v>44</v>
      </c>
      <c r="AV89" s="74">
        <v>0.75</v>
      </c>
      <c r="AW89" s="74">
        <v>0.8277777777777777</v>
      </c>
      <c r="AX89" s="38">
        <v>1.866667</v>
      </c>
      <c r="AY89" s="38" t="s">
        <v>179</v>
      </c>
      <c r="AZ89" s="38" t="s">
        <v>179</v>
      </c>
      <c r="BA89" s="38" t="s">
        <v>179</v>
      </c>
      <c r="BB89" s="38" t="s">
        <v>179</v>
      </c>
      <c r="BC89" s="38" t="s">
        <v>224</v>
      </c>
      <c r="BD89" s="38" t="s">
        <v>152</v>
      </c>
      <c r="BE89" s="68">
        <v>46085.0</v>
      </c>
      <c r="BF89" s="38" t="s">
        <v>225</v>
      </c>
    </row>
    <row r="90">
      <c r="A90" s="62" t="s">
        <v>262</v>
      </c>
      <c r="B90" s="63"/>
      <c r="C90" s="62" t="s">
        <v>225</v>
      </c>
      <c r="D90" s="63"/>
      <c r="E90" s="62" t="s">
        <v>285</v>
      </c>
      <c r="F90" s="75" t="s">
        <v>270</v>
      </c>
      <c r="G90" s="63"/>
      <c r="H90" s="62" t="s">
        <v>224</v>
      </c>
      <c r="I90" s="63"/>
      <c r="J90" s="64">
        <v>46083.0</v>
      </c>
      <c r="K90" s="65">
        <v>0.8291666666666667</v>
      </c>
      <c r="L90" s="64">
        <v>46083.0</v>
      </c>
      <c r="M90" s="65">
        <v>0.8708333333333333</v>
      </c>
      <c r="N90" s="65">
        <v>0.041666666666666664</v>
      </c>
      <c r="O90" s="66">
        <v>1.0</v>
      </c>
      <c r="R90" s="67"/>
      <c r="S90" s="68">
        <v>46083.0</v>
      </c>
      <c r="T90" s="38" t="str">
        <f>IFERROR(__xludf.DUMMYFUNCTION("""COMPUTED_VALUE"""),"General / No Specific Project")</f>
        <v>General / No Specific Project</v>
      </c>
      <c r="U90" s="38" t="s">
        <v>200</v>
      </c>
      <c r="V90" s="38" t="s">
        <v>33</v>
      </c>
      <c r="W90" s="38" t="str">
        <f>IFERROR(__xludf.DUMMYFUNCTION("""COMPUTED_VALUE"""),"CASWJ Board Hours")</f>
        <v>CASWJ Board Hours</v>
      </c>
      <c r="X90" s="38" t="s">
        <v>44</v>
      </c>
      <c r="Y90" s="38">
        <v>1.0</v>
      </c>
      <c r="Z90" s="38" t="s">
        <v>224</v>
      </c>
      <c r="AA90" s="38" t="s">
        <v>152</v>
      </c>
      <c r="AB90" s="68">
        <v>46083.0</v>
      </c>
      <c r="AC90" s="38" t="s">
        <v>225</v>
      </c>
      <c r="AK90" s="38" t="str">
        <f>IFERROR(__xludf.DUMMYFUNCTION("""COMPUTED_VALUE"""),"WJAC Planning meeting")</f>
        <v>WJAC Planning meeting</v>
      </c>
      <c r="AP90" s="73">
        <v>46083.0</v>
      </c>
      <c r="AQ90" s="38" t="s">
        <v>199</v>
      </c>
      <c r="AR90" s="38" t="s">
        <v>200</v>
      </c>
      <c r="AS90" s="38" t="s">
        <v>33</v>
      </c>
      <c r="AT90" s="38" t="s">
        <v>32</v>
      </c>
      <c r="AU90" s="38" t="s">
        <v>44</v>
      </c>
      <c r="AV90" s="74">
        <v>0.8291666666666667</v>
      </c>
      <c r="AW90" s="74">
        <v>0.8708333333333333</v>
      </c>
      <c r="AX90" s="38">
        <v>1.0</v>
      </c>
      <c r="AY90" s="38" t="s">
        <v>179</v>
      </c>
      <c r="AZ90" s="38" t="s">
        <v>179</v>
      </c>
      <c r="BA90" s="38" t="s">
        <v>179</v>
      </c>
      <c r="BB90" s="38" t="s">
        <v>179</v>
      </c>
      <c r="BC90" s="38" t="s">
        <v>224</v>
      </c>
      <c r="BD90" s="38" t="s">
        <v>152</v>
      </c>
      <c r="BE90" s="68">
        <v>46083.0</v>
      </c>
      <c r="BF90" s="38" t="s">
        <v>225</v>
      </c>
    </row>
    <row r="91">
      <c r="A91" s="62" t="s">
        <v>262</v>
      </c>
      <c r="B91" s="63"/>
      <c r="C91" s="62" t="s">
        <v>225</v>
      </c>
      <c r="D91" s="63"/>
      <c r="E91" s="62" t="s">
        <v>285</v>
      </c>
      <c r="F91" s="75" t="s">
        <v>270</v>
      </c>
      <c r="G91" s="63"/>
      <c r="H91" s="62" t="s">
        <v>224</v>
      </c>
      <c r="I91" s="63"/>
      <c r="J91" s="64">
        <v>46083.0</v>
      </c>
      <c r="K91" s="65">
        <v>0.5034722222222222</v>
      </c>
      <c r="L91" s="64">
        <v>46083.0</v>
      </c>
      <c r="M91" s="65">
        <v>0.5104166666666666</v>
      </c>
      <c r="N91" s="65">
        <v>0.006944444444444444</v>
      </c>
      <c r="O91" s="66">
        <v>0.166667</v>
      </c>
      <c r="R91" s="67"/>
      <c r="S91" s="68">
        <v>46083.0</v>
      </c>
      <c r="T91" s="38" t="str">
        <f>IFERROR(__xludf.DUMMYFUNCTION("""COMPUTED_VALUE"""),"General / No Specific Project")</f>
        <v>General / No Specific Project</v>
      </c>
      <c r="U91" s="38" t="s">
        <v>200</v>
      </c>
      <c r="V91" s="38" t="s">
        <v>33</v>
      </c>
      <c r="W91" s="38" t="str">
        <f>IFERROR(__xludf.DUMMYFUNCTION("""COMPUTED_VALUE"""),"CASWJ Board Hours")</f>
        <v>CASWJ Board Hours</v>
      </c>
      <c r="X91" s="38" t="s">
        <v>44</v>
      </c>
      <c r="Y91" s="38">
        <v>0.166667</v>
      </c>
      <c r="Z91" s="38" t="s">
        <v>224</v>
      </c>
      <c r="AA91" s="38" t="s">
        <v>152</v>
      </c>
      <c r="AB91" s="68">
        <v>46083.0</v>
      </c>
      <c r="AC91" s="38" t="s">
        <v>225</v>
      </c>
      <c r="AK91" s="38" t="str">
        <f>IFERROR(__xludf.DUMMYFUNCTION("""COMPUTED_VALUE"""),"WJYT April Volunteer Hours")</f>
        <v>WJYT April Volunteer Hours</v>
      </c>
      <c r="AP91" s="73">
        <v>46083.0</v>
      </c>
      <c r="AQ91" s="38" t="s">
        <v>199</v>
      </c>
      <c r="AR91" s="38" t="s">
        <v>200</v>
      </c>
      <c r="AS91" s="38" t="s">
        <v>33</v>
      </c>
      <c r="AT91" s="38" t="s">
        <v>32</v>
      </c>
      <c r="AU91" s="38" t="s">
        <v>44</v>
      </c>
      <c r="AV91" s="74">
        <v>0.5034722222222222</v>
      </c>
      <c r="AW91" s="74">
        <v>0.5104166666666666</v>
      </c>
      <c r="AX91" s="38">
        <v>0.166667</v>
      </c>
      <c r="AY91" s="38" t="s">
        <v>179</v>
      </c>
      <c r="AZ91" s="38" t="s">
        <v>179</v>
      </c>
      <c r="BA91" s="38" t="s">
        <v>179</v>
      </c>
      <c r="BB91" s="38" t="s">
        <v>179</v>
      </c>
      <c r="BC91" s="38" t="s">
        <v>224</v>
      </c>
      <c r="BD91" s="38" t="s">
        <v>152</v>
      </c>
      <c r="BE91" s="68">
        <v>46083.0</v>
      </c>
      <c r="BF91" s="38" t="s">
        <v>225</v>
      </c>
    </row>
    <row r="92">
      <c r="A92" s="62" t="s">
        <v>262</v>
      </c>
      <c r="B92" s="63"/>
      <c r="C92" s="62" t="s">
        <v>225</v>
      </c>
      <c r="D92" s="63"/>
      <c r="E92" s="62" t="s">
        <v>285</v>
      </c>
      <c r="F92" s="75" t="s">
        <v>270</v>
      </c>
      <c r="G92" s="63"/>
      <c r="H92" s="62" t="s">
        <v>224</v>
      </c>
      <c r="I92" s="63"/>
      <c r="J92" s="64">
        <v>46082.0</v>
      </c>
      <c r="K92" s="65">
        <v>0.5541666666666667</v>
      </c>
      <c r="L92" s="64">
        <v>46082.0</v>
      </c>
      <c r="M92" s="65">
        <v>0.5958333333333333</v>
      </c>
      <c r="N92" s="65">
        <v>0.041666666666666664</v>
      </c>
      <c r="O92" s="66">
        <v>1.0</v>
      </c>
      <c r="R92" s="67"/>
      <c r="S92" s="68">
        <v>46082.0</v>
      </c>
      <c r="T92" s="38" t="str">
        <f>IFERROR(__xludf.DUMMYFUNCTION("""COMPUTED_VALUE"""),"General / No Specific Project")</f>
        <v>General / No Specific Project</v>
      </c>
      <c r="U92" s="38" t="s">
        <v>200</v>
      </c>
      <c r="V92" s="38" t="s">
        <v>33</v>
      </c>
      <c r="W92" s="38" t="str">
        <f>IFERROR(__xludf.DUMMYFUNCTION("""COMPUTED_VALUE"""),"CASWJ Board Hours")</f>
        <v>CASWJ Board Hours</v>
      </c>
      <c r="X92" s="38" t="s">
        <v>44</v>
      </c>
      <c r="Y92" s="38">
        <v>1.0</v>
      </c>
      <c r="Z92" s="38" t="s">
        <v>224</v>
      </c>
      <c r="AA92" s="38" t="s">
        <v>152</v>
      </c>
      <c r="AB92" s="68">
        <v>46082.0</v>
      </c>
      <c r="AC92" s="38" t="s">
        <v>225</v>
      </c>
      <c r="AK92" s="38" t="str">
        <f>IFERROR(__xludf.DUMMYFUNCTION("""COMPUTED_VALUE"""),"WJYT February Volunteer hours")</f>
        <v>WJYT February Volunteer hours</v>
      </c>
      <c r="AP92" s="73">
        <v>46082.0</v>
      </c>
      <c r="AQ92" s="38" t="s">
        <v>199</v>
      </c>
      <c r="AR92" s="38" t="s">
        <v>200</v>
      </c>
      <c r="AS92" s="38" t="s">
        <v>33</v>
      </c>
      <c r="AT92" s="38" t="s">
        <v>32</v>
      </c>
      <c r="AU92" s="38" t="s">
        <v>44</v>
      </c>
      <c r="AV92" s="74">
        <v>0.5541666666666667</v>
      </c>
      <c r="AW92" s="74">
        <v>0.5958333333333333</v>
      </c>
      <c r="AX92" s="38">
        <v>1.0</v>
      </c>
      <c r="AY92" s="38" t="s">
        <v>179</v>
      </c>
      <c r="AZ92" s="38" t="s">
        <v>179</v>
      </c>
      <c r="BA92" s="38" t="s">
        <v>179</v>
      </c>
      <c r="BB92" s="38" t="s">
        <v>179</v>
      </c>
      <c r="BC92" s="38" t="s">
        <v>224</v>
      </c>
      <c r="BD92" s="38" t="s">
        <v>152</v>
      </c>
      <c r="BE92" s="68">
        <v>46082.0</v>
      </c>
      <c r="BF92" s="38" t="s">
        <v>225</v>
      </c>
    </row>
    <row r="93">
      <c r="A93" s="62" t="s">
        <v>262</v>
      </c>
      <c r="B93" s="63"/>
      <c r="C93" s="62" t="s">
        <v>294</v>
      </c>
      <c r="D93" s="63"/>
      <c r="E93" s="62" t="s">
        <v>186</v>
      </c>
      <c r="F93" s="75" t="s">
        <v>53</v>
      </c>
      <c r="G93" s="63"/>
      <c r="H93" s="62" t="s">
        <v>217</v>
      </c>
      <c r="I93" s="63"/>
      <c r="J93" s="64">
        <v>46142.0</v>
      </c>
      <c r="K93" s="65">
        <v>0.5416666666666666</v>
      </c>
      <c r="L93" s="64">
        <v>46142.0</v>
      </c>
      <c r="M93" s="65">
        <v>0.5833333333333334</v>
      </c>
      <c r="N93" s="65">
        <v>0.041666666666666664</v>
      </c>
      <c r="O93" s="66">
        <v>1.0</v>
      </c>
      <c r="R93" s="67"/>
      <c r="S93" s="68">
        <v>46142.0</v>
      </c>
      <c r="T93" s="38" t="str">
        <f>IFERROR(__xludf.DUMMYFUNCTION("""COMPUTED_VALUE"""),"General - Visual Arts Society")</f>
        <v>General - Visual Arts Society</v>
      </c>
      <c r="U93" s="38" t="s">
        <v>186</v>
      </c>
      <c r="V93" s="38" t="s">
        <v>53</v>
      </c>
      <c r="W93" s="38" t="str">
        <f>IFERROR(__xludf.DUMMYFUNCTION("""COMPUTED_VALUE"""),"Committee Member Hours")</f>
        <v>Committee Member Hours</v>
      </c>
      <c r="X93" s="38" t="s">
        <v>44</v>
      </c>
      <c r="Y93" s="38">
        <v>1.0</v>
      </c>
      <c r="Z93" s="38" t="s">
        <v>217</v>
      </c>
      <c r="AA93" s="38" t="s">
        <v>152</v>
      </c>
      <c r="AB93" s="68">
        <v>46142.0</v>
      </c>
      <c r="AC93" s="38" t="s">
        <v>294</v>
      </c>
      <c r="AK93" s="38" t="str">
        <f>IFERROR(__xludf.DUMMYFUNCTION("""COMPUTED_VALUE"""),"WJYT January Volunteer Hours")</f>
        <v>WJYT January Volunteer Hours</v>
      </c>
      <c r="AP93" s="73">
        <v>46142.0</v>
      </c>
      <c r="AQ93" s="38" t="s">
        <v>185</v>
      </c>
      <c r="AR93" s="38" t="s">
        <v>186</v>
      </c>
      <c r="AS93" s="38" t="s">
        <v>53</v>
      </c>
      <c r="AT93" s="38" t="s">
        <v>42</v>
      </c>
      <c r="AU93" s="38" t="s">
        <v>44</v>
      </c>
      <c r="AV93" s="74">
        <v>0.5416666666666666</v>
      </c>
      <c r="AW93" s="74">
        <v>0.5833333333333334</v>
      </c>
      <c r="AX93" s="38">
        <v>1.0</v>
      </c>
      <c r="AY93" s="38" t="s">
        <v>179</v>
      </c>
      <c r="AZ93" s="38" t="s">
        <v>179</v>
      </c>
      <c r="BA93" s="38" t="s">
        <v>179</v>
      </c>
      <c r="BB93" s="38" t="s">
        <v>179</v>
      </c>
      <c r="BC93" s="38" t="s">
        <v>217</v>
      </c>
      <c r="BD93" s="38" t="s">
        <v>152</v>
      </c>
      <c r="BE93" s="68">
        <v>46142.0</v>
      </c>
      <c r="BF93" s="38" t="s">
        <v>294</v>
      </c>
    </row>
    <row r="94">
      <c r="A94" s="62" t="s">
        <v>262</v>
      </c>
      <c r="B94" s="63"/>
      <c r="C94" s="62" t="s">
        <v>296</v>
      </c>
      <c r="D94" s="63"/>
      <c r="E94" s="62" t="s">
        <v>281</v>
      </c>
      <c r="F94" s="75" t="s">
        <v>53</v>
      </c>
      <c r="G94" s="63"/>
      <c r="H94" s="62" t="s">
        <v>295</v>
      </c>
      <c r="I94" s="63"/>
      <c r="J94" s="64">
        <v>46142.0</v>
      </c>
      <c r="K94" s="65">
        <v>0.5416666666666666</v>
      </c>
      <c r="L94" s="64">
        <v>46142.0</v>
      </c>
      <c r="M94" s="65">
        <v>0.625</v>
      </c>
      <c r="N94" s="72">
        <v>0.08333333333333333</v>
      </c>
      <c r="O94" s="66">
        <v>2.0</v>
      </c>
      <c r="R94" s="67"/>
      <c r="S94" s="68">
        <v>46142.0</v>
      </c>
      <c r="T94" s="38" t="str">
        <f>IFERROR(__xludf.DUMMYFUNCTION("""COMPUTED_VALUE"""),"General - Visual Arts Society")</f>
        <v>General - Visual Arts Society</v>
      </c>
      <c r="U94" s="38" t="s">
        <v>189</v>
      </c>
      <c r="V94" s="38" t="s">
        <v>53</v>
      </c>
      <c r="W94" s="38" t="str">
        <f>IFERROR(__xludf.DUMMYFUNCTION("""COMPUTED_VALUE"""),"")</f>
        <v/>
      </c>
      <c r="X94" s="38" t="s">
        <v>44</v>
      </c>
      <c r="Y94" s="38">
        <v>2.0</v>
      </c>
      <c r="Z94" s="38" t="s">
        <v>295</v>
      </c>
      <c r="AA94" s="38" t="s">
        <v>152</v>
      </c>
      <c r="AB94" s="68">
        <v>46142.0</v>
      </c>
      <c r="AC94" s="38" t="s">
        <v>296</v>
      </c>
      <c r="AK94" s="38" t="str">
        <f>IFERROR(__xludf.DUMMYFUNCTION("""COMPUTED_VALUE"""),"WJYT June Volunteer hours")</f>
        <v>WJYT June Volunteer hours</v>
      </c>
      <c r="AP94" s="73">
        <v>46142.0</v>
      </c>
      <c r="AQ94" s="38" t="s">
        <v>185</v>
      </c>
      <c r="AR94" s="38" t="s">
        <v>189</v>
      </c>
      <c r="AS94" s="38" t="s">
        <v>53</v>
      </c>
      <c r="AT94" s="38" t="s">
        <v>179</v>
      </c>
      <c r="AU94" s="38" t="s">
        <v>44</v>
      </c>
      <c r="AV94" s="74">
        <v>0.5416666666666666</v>
      </c>
      <c r="AW94" s="74">
        <v>0.625</v>
      </c>
      <c r="AX94" s="38">
        <v>2.0</v>
      </c>
      <c r="AY94" s="38" t="s">
        <v>179</v>
      </c>
      <c r="AZ94" s="38" t="s">
        <v>179</v>
      </c>
      <c r="BA94" s="38" t="s">
        <v>179</v>
      </c>
      <c r="BB94" s="38" t="s">
        <v>179</v>
      </c>
      <c r="BC94" s="38" t="s">
        <v>295</v>
      </c>
      <c r="BD94" s="38" t="s">
        <v>152</v>
      </c>
      <c r="BE94" s="68">
        <v>46142.0</v>
      </c>
      <c r="BF94" s="38" t="s">
        <v>296</v>
      </c>
    </row>
    <row r="95">
      <c r="A95" s="62" t="s">
        <v>262</v>
      </c>
      <c r="B95" s="63"/>
      <c r="C95" s="62" t="s">
        <v>297</v>
      </c>
      <c r="D95" s="63"/>
      <c r="E95" s="62" t="s">
        <v>281</v>
      </c>
      <c r="F95" s="75" t="s">
        <v>53</v>
      </c>
      <c r="G95" s="63"/>
      <c r="H95" s="62" t="s">
        <v>217</v>
      </c>
      <c r="I95" s="63"/>
      <c r="J95" s="64">
        <v>46142.0</v>
      </c>
      <c r="K95" s="65">
        <v>0.4583333333333333</v>
      </c>
      <c r="L95" s="64">
        <v>46142.0</v>
      </c>
      <c r="M95" s="65">
        <v>0.5416666666666666</v>
      </c>
      <c r="N95" s="65">
        <v>0.08333333333333333</v>
      </c>
      <c r="O95" s="66">
        <v>2.0</v>
      </c>
      <c r="R95" s="67"/>
      <c r="S95" s="68">
        <v>46142.0</v>
      </c>
      <c r="T95" s="38" t="str">
        <f>IFERROR(__xludf.DUMMYFUNCTION("""COMPUTED_VALUE"""),"General - Visual Arts Society")</f>
        <v>General - Visual Arts Society</v>
      </c>
      <c r="U95" s="38" t="s">
        <v>189</v>
      </c>
      <c r="V95" s="38" t="s">
        <v>53</v>
      </c>
      <c r="W95" s="38" t="str">
        <f>IFERROR(__xludf.DUMMYFUNCTION("""COMPUTED_VALUE"""),"Committee Member Hours")</f>
        <v>Committee Member Hours</v>
      </c>
      <c r="X95" s="38" t="s">
        <v>44</v>
      </c>
      <c r="Y95" s="38">
        <v>2.0</v>
      </c>
      <c r="Z95" s="38" t="s">
        <v>217</v>
      </c>
      <c r="AA95" s="38" t="s">
        <v>152</v>
      </c>
      <c r="AB95" s="68">
        <v>46142.0</v>
      </c>
      <c r="AC95" s="38" t="s">
        <v>297</v>
      </c>
      <c r="AK95" s="38" t="str">
        <f>IFERROR(__xludf.DUMMYFUNCTION("""COMPUTED_VALUE"""),"WJYT March Volunteer Hours")</f>
        <v>WJYT March Volunteer Hours</v>
      </c>
      <c r="AP95" s="73">
        <v>46142.0</v>
      </c>
      <c r="AQ95" s="38" t="s">
        <v>185</v>
      </c>
      <c r="AR95" s="38" t="s">
        <v>189</v>
      </c>
      <c r="AS95" s="38" t="s">
        <v>53</v>
      </c>
      <c r="AT95" s="38" t="s">
        <v>42</v>
      </c>
      <c r="AU95" s="38" t="s">
        <v>44</v>
      </c>
      <c r="AV95" s="74">
        <v>0.4583333333333333</v>
      </c>
      <c r="AW95" s="74">
        <v>0.5416666666666666</v>
      </c>
      <c r="AX95" s="38">
        <v>2.0</v>
      </c>
      <c r="AY95" s="38" t="s">
        <v>179</v>
      </c>
      <c r="AZ95" s="38" t="s">
        <v>179</v>
      </c>
      <c r="BA95" s="38" t="s">
        <v>179</v>
      </c>
      <c r="BB95" s="38" t="s">
        <v>179</v>
      </c>
      <c r="BC95" s="38" t="s">
        <v>217</v>
      </c>
      <c r="BD95" s="38" t="s">
        <v>152</v>
      </c>
      <c r="BE95" s="68">
        <v>46142.0</v>
      </c>
      <c r="BF95" s="38" t="s">
        <v>297</v>
      </c>
    </row>
    <row r="96">
      <c r="A96" s="62" t="s">
        <v>262</v>
      </c>
      <c r="B96" s="63"/>
      <c r="C96" s="62" t="s">
        <v>294</v>
      </c>
      <c r="D96" s="63"/>
      <c r="E96" s="62" t="s">
        <v>186</v>
      </c>
      <c r="F96" s="75" t="s">
        <v>53</v>
      </c>
      <c r="G96" s="63"/>
      <c r="H96" s="62" t="s">
        <v>217</v>
      </c>
      <c r="I96" s="63"/>
      <c r="J96" s="64">
        <v>46139.0</v>
      </c>
      <c r="K96" s="65">
        <v>0.9479166666666666</v>
      </c>
      <c r="L96" s="64">
        <v>46139.0</v>
      </c>
      <c r="M96" s="65">
        <v>0.9902777777777778</v>
      </c>
      <c r="N96" s="65">
        <v>0.04236111111111111</v>
      </c>
      <c r="O96" s="66">
        <v>1.016667</v>
      </c>
      <c r="R96" s="67"/>
      <c r="S96" s="68">
        <v>46139.0</v>
      </c>
      <c r="T96" s="38" t="str">
        <f>IFERROR(__xludf.DUMMYFUNCTION("""COMPUTED_VALUE"""),"General - Visual Arts Society")</f>
        <v>General - Visual Arts Society</v>
      </c>
      <c r="U96" s="38" t="s">
        <v>186</v>
      </c>
      <c r="V96" s="38" t="s">
        <v>53</v>
      </c>
      <c r="W96" s="38" t="str">
        <f>IFERROR(__xludf.DUMMYFUNCTION("""COMPUTED_VALUE"""),"Committee Member Hours")</f>
        <v>Committee Member Hours</v>
      </c>
      <c r="X96" s="38" t="s">
        <v>44</v>
      </c>
      <c r="Y96" s="38">
        <v>1.016667</v>
      </c>
      <c r="Z96" s="38" t="s">
        <v>217</v>
      </c>
      <c r="AA96" s="38" t="s">
        <v>152</v>
      </c>
      <c r="AB96" s="68">
        <v>46139.0</v>
      </c>
      <c r="AC96" s="38" t="s">
        <v>294</v>
      </c>
      <c r="AK96" s="38" t="str">
        <f>IFERROR(__xludf.DUMMYFUNCTION("""COMPUTED_VALUE"""),"WJYT March Volunteer hours")</f>
        <v>WJYT March Volunteer hours</v>
      </c>
      <c r="AP96" s="73">
        <v>46139.0</v>
      </c>
      <c r="AQ96" s="38" t="s">
        <v>185</v>
      </c>
      <c r="AR96" s="38" t="s">
        <v>186</v>
      </c>
      <c r="AS96" s="38" t="s">
        <v>53</v>
      </c>
      <c r="AT96" s="38" t="s">
        <v>42</v>
      </c>
      <c r="AU96" s="38" t="s">
        <v>44</v>
      </c>
      <c r="AV96" s="74">
        <v>0.9479166666666666</v>
      </c>
      <c r="AW96" s="74">
        <v>0.9902777777777778</v>
      </c>
      <c r="AX96" s="38">
        <v>1.016667</v>
      </c>
      <c r="AY96" s="38" t="s">
        <v>179</v>
      </c>
      <c r="AZ96" s="38" t="s">
        <v>179</v>
      </c>
      <c r="BA96" s="38" t="s">
        <v>179</v>
      </c>
      <c r="BB96" s="38" t="s">
        <v>179</v>
      </c>
      <c r="BC96" s="38" t="s">
        <v>217</v>
      </c>
      <c r="BD96" s="38" t="s">
        <v>152</v>
      </c>
      <c r="BE96" s="68">
        <v>46139.0</v>
      </c>
      <c r="BF96" s="38" t="s">
        <v>294</v>
      </c>
    </row>
    <row r="97">
      <c r="A97" s="62" t="s">
        <v>262</v>
      </c>
      <c r="B97" s="63"/>
      <c r="C97" s="62" t="s">
        <v>225</v>
      </c>
      <c r="D97" s="63"/>
      <c r="E97" s="62" t="s">
        <v>285</v>
      </c>
      <c r="F97" s="75" t="s">
        <v>270</v>
      </c>
      <c r="G97" s="63"/>
      <c r="H97" s="62" t="s">
        <v>224</v>
      </c>
      <c r="I97" s="63"/>
      <c r="J97" s="64">
        <v>46139.0</v>
      </c>
      <c r="K97" s="65">
        <v>0.625</v>
      </c>
      <c r="L97" s="64">
        <v>46139.0</v>
      </c>
      <c r="M97" s="65">
        <v>0.6666666666666666</v>
      </c>
      <c r="N97" s="65">
        <v>0.041666666666666664</v>
      </c>
      <c r="O97" s="66">
        <v>1.0</v>
      </c>
      <c r="R97" s="67"/>
      <c r="S97" s="68">
        <v>46139.0</v>
      </c>
      <c r="T97" s="38" t="str">
        <f>IFERROR(__xludf.DUMMYFUNCTION("""COMPUTED_VALUE"""),"General / No Specific Project")</f>
        <v>General / No Specific Project</v>
      </c>
      <c r="U97" s="38" t="s">
        <v>200</v>
      </c>
      <c r="V97" s="38" t="s">
        <v>33</v>
      </c>
      <c r="W97" s="38" t="str">
        <f>IFERROR(__xludf.DUMMYFUNCTION("""COMPUTED_VALUE"""),"CASWJ Board Hours")</f>
        <v>CASWJ Board Hours</v>
      </c>
      <c r="X97" s="38" t="s">
        <v>44</v>
      </c>
      <c r="Y97" s="38">
        <v>1.0</v>
      </c>
      <c r="Z97" s="38" t="s">
        <v>224</v>
      </c>
      <c r="AA97" s="38" t="s">
        <v>152</v>
      </c>
      <c r="AB97" s="68">
        <v>46139.0</v>
      </c>
      <c r="AC97" s="38" t="s">
        <v>225</v>
      </c>
      <c r="AK97" s="38" t="str">
        <f>IFERROR(__xludf.DUMMYFUNCTION("""COMPUTED_VALUE"""),"WJYT May Volunteer Hours")</f>
        <v>WJYT May Volunteer Hours</v>
      </c>
      <c r="AP97" s="73">
        <v>46139.0</v>
      </c>
      <c r="AQ97" s="38" t="s">
        <v>199</v>
      </c>
      <c r="AR97" s="38" t="s">
        <v>200</v>
      </c>
      <c r="AS97" s="38" t="s">
        <v>33</v>
      </c>
      <c r="AT97" s="38" t="s">
        <v>32</v>
      </c>
      <c r="AU97" s="38" t="s">
        <v>44</v>
      </c>
      <c r="AV97" s="74">
        <v>0.625</v>
      </c>
      <c r="AW97" s="74">
        <v>0.6666666666666666</v>
      </c>
      <c r="AX97" s="38">
        <v>1.0</v>
      </c>
      <c r="AY97" s="38" t="s">
        <v>179</v>
      </c>
      <c r="AZ97" s="38" t="s">
        <v>179</v>
      </c>
      <c r="BA97" s="38" t="s">
        <v>179</v>
      </c>
      <c r="BB97" s="38" t="s">
        <v>179</v>
      </c>
      <c r="BC97" s="38" t="s">
        <v>224</v>
      </c>
      <c r="BD97" s="38" t="s">
        <v>152</v>
      </c>
      <c r="BE97" s="68">
        <v>46139.0</v>
      </c>
      <c r="BF97" s="38" t="s">
        <v>225</v>
      </c>
    </row>
    <row r="98">
      <c r="A98" s="62" t="s">
        <v>262</v>
      </c>
      <c r="B98" s="63"/>
      <c r="C98" s="62" t="s">
        <v>296</v>
      </c>
      <c r="D98" s="63"/>
      <c r="E98" s="62" t="s">
        <v>186</v>
      </c>
      <c r="F98" s="75" t="s">
        <v>53</v>
      </c>
      <c r="G98" s="63"/>
      <c r="H98" s="62" t="s">
        <v>217</v>
      </c>
      <c r="I98" s="63"/>
      <c r="J98" s="64">
        <v>46137.0</v>
      </c>
      <c r="K98" s="65">
        <v>0.7916666666666666</v>
      </c>
      <c r="L98" s="64">
        <v>46137.0</v>
      </c>
      <c r="M98" s="65">
        <v>0.8333333333333334</v>
      </c>
      <c r="N98" s="65">
        <v>0.041666666666666664</v>
      </c>
      <c r="O98" s="66">
        <v>1.0</v>
      </c>
      <c r="R98" s="67"/>
      <c r="S98" s="68">
        <v>46137.0</v>
      </c>
      <c r="T98" s="38" t="str">
        <f>IFERROR(__xludf.DUMMYFUNCTION("""COMPUTED_VALUE"""),"General - Visual Arts Society")</f>
        <v>General - Visual Arts Society</v>
      </c>
      <c r="U98" s="38" t="s">
        <v>186</v>
      </c>
      <c r="V98" s="38" t="s">
        <v>53</v>
      </c>
      <c r="W98" s="38" t="str">
        <f>IFERROR(__xludf.DUMMYFUNCTION("""COMPUTED_VALUE"""),"Committee Member Hours")</f>
        <v>Committee Member Hours</v>
      </c>
      <c r="X98" s="38" t="s">
        <v>44</v>
      </c>
      <c r="Y98" s="38">
        <v>1.0</v>
      </c>
      <c r="Z98" s="38" t="s">
        <v>217</v>
      </c>
      <c r="AA98" s="38" t="s">
        <v>152</v>
      </c>
      <c r="AB98" s="68">
        <v>46137.0</v>
      </c>
      <c r="AC98" s="38" t="s">
        <v>296</v>
      </c>
      <c r="AK98" s="38" t="str">
        <f>IFERROR(__xludf.DUMMYFUNCTION("""COMPUTED_VALUE"""),"WYJT May Volunteer Hours")</f>
        <v>WYJT May Volunteer Hours</v>
      </c>
      <c r="AP98" s="73">
        <v>46137.0</v>
      </c>
      <c r="AQ98" s="38" t="s">
        <v>185</v>
      </c>
      <c r="AR98" s="38" t="s">
        <v>186</v>
      </c>
      <c r="AS98" s="38" t="s">
        <v>53</v>
      </c>
      <c r="AT98" s="38" t="s">
        <v>42</v>
      </c>
      <c r="AU98" s="38" t="s">
        <v>44</v>
      </c>
      <c r="AV98" s="74">
        <v>0.7916666666666666</v>
      </c>
      <c r="AW98" s="74">
        <v>0.8333333333333334</v>
      </c>
      <c r="AX98" s="38">
        <v>1.0</v>
      </c>
      <c r="AY98" s="38" t="s">
        <v>179</v>
      </c>
      <c r="AZ98" s="38" t="s">
        <v>179</v>
      </c>
      <c r="BA98" s="38" t="s">
        <v>179</v>
      </c>
      <c r="BB98" s="38" t="s">
        <v>179</v>
      </c>
      <c r="BC98" s="38" t="s">
        <v>217</v>
      </c>
      <c r="BD98" s="38" t="s">
        <v>152</v>
      </c>
      <c r="BE98" s="68">
        <v>46137.0</v>
      </c>
      <c r="BF98" s="38" t="s">
        <v>296</v>
      </c>
    </row>
    <row r="99">
      <c r="A99" s="62" t="s">
        <v>262</v>
      </c>
      <c r="B99" s="63"/>
      <c r="C99" s="62" t="s">
        <v>300</v>
      </c>
      <c r="D99" s="63"/>
      <c r="E99" s="62" t="s">
        <v>186</v>
      </c>
      <c r="F99" s="75" t="s">
        <v>53</v>
      </c>
      <c r="G99" s="63"/>
      <c r="H99" s="62" t="s">
        <v>299</v>
      </c>
      <c r="I99" s="63"/>
      <c r="J99" s="64">
        <v>46137.0</v>
      </c>
      <c r="K99" s="65">
        <v>0.6875</v>
      </c>
      <c r="L99" s="64">
        <v>46137.0</v>
      </c>
      <c r="M99" s="65">
        <v>0.7083333333333334</v>
      </c>
      <c r="N99" s="65">
        <v>0.020833333333333332</v>
      </c>
      <c r="O99" s="66">
        <v>0.5</v>
      </c>
      <c r="R99" s="67"/>
      <c r="S99" s="68">
        <v>46137.0</v>
      </c>
      <c r="T99" s="38" t="str">
        <f>IFERROR(__xludf.DUMMYFUNCTION("""COMPUTED_VALUE"""),"General - Visual Arts Society")</f>
        <v>General - Visual Arts Society</v>
      </c>
      <c r="U99" s="38" t="s">
        <v>186</v>
      </c>
      <c r="V99" s="38" t="s">
        <v>53</v>
      </c>
      <c r="W99" s="38" t="str">
        <f>IFERROR(__xludf.DUMMYFUNCTION("""COMPUTED_VALUE"""),"Volunteer Hours")</f>
        <v>Volunteer Hours</v>
      </c>
      <c r="X99" s="38" t="s">
        <v>44</v>
      </c>
      <c r="Y99" s="38">
        <v>0.5</v>
      </c>
      <c r="Z99" s="38" t="s">
        <v>299</v>
      </c>
      <c r="AA99" s="38" t="s">
        <v>152</v>
      </c>
      <c r="AB99" s="68">
        <v>46137.0</v>
      </c>
      <c r="AC99" s="38" t="s">
        <v>300</v>
      </c>
      <c r="AP99" s="73">
        <v>46137.0</v>
      </c>
      <c r="AQ99" s="38" t="s">
        <v>185</v>
      </c>
      <c r="AR99" s="38" t="s">
        <v>186</v>
      </c>
      <c r="AS99" s="38" t="s">
        <v>53</v>
      </c>
      <c r="AT99" s="38" t="s">
        <v>52</v>
      </c>
      <c r="AU99" s="38" t="s">
        <v>44</v>
      </c>
      <c r="AV99" s="74">
        <v>0.6875</v>
      </c>
      <c r="AW99" s="74">
        <v>0.7083333333333334</v>
      </c>
      <c r="AX99" s="38">
        <v>0.5</v>
      </c>
      <c r="AY99" s="38" t="s">
        <v>179</v>
      </c>
      <c r="AZ99" s="38" t="s">
        <v>179</v>
      </c>
      <c r="BA99" s="38" t="s">
        <v>179</v>
      </c>
      <c r="BB99" s="38" t="s">
        <v>179</v>
      </c>
      <c r="BC99" s="38" t="s">
        <v>299</v>
      </c>
      <c r="BD99" s="38" t="s">
        <v>152</v>
      </c>
      <c r="BE99" s="68">
        <v>46137.0</v>
      </c>
      <c r="BF99" s="38" t="s">
        <v>300</v>
      </c>
    </row>
    <row r="100">
      <c r="A100" s="62" t="s">
        <v>262</v>
      </c>
      <c r="B100" s="63"/>
      <c r="C100" s="62" t="s">
        <v>173</v>
      </c>
      <c r="D100" s="63"/>
      <c r="E100" s="62" t="s">
        <v>263</v>
      </c>
      <c r="F100" s="75" t="s">
        <v>60</v>
      </c>
      <c r="G100" s="63"/>
      <c r="H100" s="62" t="s">
        <v>172</v>
      </c>
      <c r="I100" s="63"/>
      <c r="J100" s="64">
        <v>46137.0</v>
      </c>
      <c r="K100" s="65">
        <v>0.375</v>
      </c>
      <c r="L100" s="64">
        <v>46142.0</v>
      </c>
      <c r="M100" s="65">
        <v>0.16666666666666666</v>
      </c>
      <c r="N100" s="65">
        <v>4.791666666666667</v>
      </c>
      <c r="O100" s="66">
        <v>115.0</v>
      </c>
      <c r="R100" s="67"/>
      <c r="S100" s="68">
        <v>46137.0</v>
      </c>
      <c r="T100" s="38" t="str">
        <f>IFERROR(__xludf.DUMMYFUNCTION("""COMPUTED_VALUE"""),"General - West Jordan Symphony")</f>
        <v>General - West Jordan Symphony</v>
      </c>
      <c r="U100" s="38" t="s">
        <v>170</v>
      </c>
      <c r="V100" s="38" t="s">
        <v>60</v>
      </c>
      <c r="W100" s="38" t="str">
        <f>IFERROR(__xludf.DUMMYFUNCTION("""COMPUTED_VALUE"""),"Participant Hours")</f>
        <v>Participant Hours</v>
      </c>
      <c r="X100" s="38" t="s">
        <v>44</v>
      </c>
      <c r="Y100" s="38">
        <v>115.0</v>
      </c>
      <c r="Z100" s="38" t="s">
        <v>172</v>
      </c>
      <c r="AA100" s="38" t="s">
        <v>152</v>
      </c>
      <c r="AB100" s="68">
        <v>46137.0</v>
      </c>
      <c r="AC100" s="38" t="s">
        <v>173</v>
      </c>
      <c r="AP100" s="73">
        <v>46137.0</v>
      </c>
      <c r="AQ100" s="38" t="s">
        <v>64</v>
      </c>
      <c r="AR100" s="38" t="s">
        <v>170</v>
      </c>
      <c r="AS100" s="38" t="s">
        <v>60</v>
      </c>
      <c r="AT100" s="38" t="s">
        <v>48</v>
      </c>
      <c r="AU100" s="38" t="s">
        <v>44</v>
      </c>
      <c r="AV100" s="74">
        <v>0.375</v>
      </c>
      <c r="AW100" s="74">
        <v>0.16666666666666666</v>
      </c>
      <c r="AX100" s="38">
        <v>115.0</v>
      </c>
      <c r="AY100" s="38" t="s">
        <v>179</v>
      </c>
      <c r="AZ100" s="38" t="s">
        <v>179</v>
      </c>
      <c r="BA100" s="38" t="s">
        <v>179</v>
      </c>
      <c r="BB100" s="38" t="s">
        <v>179</v>
      </c>
      <c r="BC100" s="38" t="s">
        <v>172</v>
      </c>
      <c r="BD100" s="38" t="s">
        <v>152</v>
      </c>
      <c r="BE100" s="68">
        <v>46137.0</v>
      </c>
      <c r="BF100" s="38" t="s">
        <v>173</v>
      </c>
    </row>
    <row r="101">
      <c r="A101" s="62" t="s">
        <v>262</v>
      </c>
      <c r="B101" s="63"/>
      <c r="C101" s="62" t="s">
        <v>230</v>
      </c>
      <c r="D101" s="63"/>
      <c r="E101" s="62" t="s">
        <v>271</v>
      </c>
      <c r="F101" s="75" t="s">
        <v>53</v>
      </c>
      <c r="G101" s="63"/>
      <c r="H101" s="62" t="s">
        <v>217</v>
      </c>
      <c r="I101" s="63"/>
      <c r="J101" s="64">
        <v>46136.0</v>
      </c>
      <c r="K101" s="65">
        <v>0.5638888888888889</v>
      </c>
      <c r="L101" s="64">
        <v>46136.0</v>
      </c>
      <c r="M101" s="65">
        <v>0.5708333333333333</v>
      </c>
      <c r="N101" s="72">
        <v>0.006944444444444444</v>
      </c>
      <c r="O101" s="66">
        <v>0.166667</v>
      </c>
      <c r="R101" s="67"/>
      <c r="S101" s="68">
        <v>46136.0</v>
      </c>
      <c r="T101" s="38" t="str">
        <f>IFERROR(__xludf.DUMMYFUNCTION("""COMPUTED_VALUE"""),"General - Visual Arts Society")</f>
        <v>General - Visual Arts Society</v>
      </c>
      <c r="U101" s="38" t="s">
        <v>175</v>
      </c>
      <c r="V101" s="38" t="s">
        <v>53</v>
      </c>
      <c r="W101" s="38" t="str">
        <f>IFERROR(__xludf.DUMMYFUNCTION("""COMPUTED_VALUE"""),"Committee Member Hours")</f>
        <v>Committee Member Hours</v>
      </c>
      <c r="X101" s="38" t="s">
        <v>44</v>
      </c>
      <c r="Y101" s="38">
        <v>0.166667</v>
      </c>
      <c r="Z101" s="38" t="s">
        <v>217</v>
      </c>
      <c r="AA101" s="38" t="s">
        <v>152</v>
      </c>
      <c r="AB101" s="68">
        <v>46136.0</v>
      </c>
      <c r="AC101" s="38" t="s">
        <v>230</v>
      </c>
      <c r="AP101" s="73">
        <v>46136.0</v>
      </c>
      <c r="AQ101" s="38" t="s">
        <v>185</v>
      </c>
      <c r="AR101" s="38" t="s">
        <v>175</v>
      </c>
      <c r="AS101" s="38" t="s">
        <v>53</v>
      </c>
      <c r="AT101" s="38" t="s">
        <v>42</v>
      </c>
      <c r="AU101" s="38" t="s">
        <v>44</v>
      </c>
      <c r="AV101" s="74">
        <v>0.5638888888888889</v>
      </c>
      <c r="AW101" s="74">
        <v>0.5708333333333333</v>
      </c>
      <c r="AX101" s="38">
        <v>0.166667</v>
      </c>
      <c r="AY101" s="38" t="s">
        <v>179</v>
      </c>
      <c r="AZ101" s="38" t="s">
        <v>179</v>
      </c>
      <c r="BA101" s="38" t="s">
        <v>179</v>
      </c>
      <c r="BB101" s="38" t="s">
        <v>179</v>
      </c>
      <c r="BC101" s="38" t="s">
        <v>217</v>
      </c>
      <c r="BD101" s="38" t="s">
        <v>152</v>
      </c>
      <c r="BE101" s="68">
        <v>46136.0</v>
      </c>
      <c r="BF101" s="38" t="s">
        <v>230</v>
      </c>
    </row>
    <row r="102">
      <c r="A102" s="62" t="s">
        <v>262</v>
      </c>
      <c r="B102" s="63"/>
      <c r="C102" s="62" t="s">
        <v>230</v>
      </c>
      <c r="D102" s="63"/>
      <c r="E102" s="62" t="s">
        <v>271</v>
      </c>
      <c r="F102" s="75" t="s">
        <v>53</v>
      </c>
      <c r="G102" s="63"/>
      <c r="H102" s="62" t="s">
        <v>217</v>
      </c>
      <c r="I102" s="63"/>
      <c r="J102" s="64">
        <v>46134.0</v>
      </c>
      <c r="K102" s="65">
        <v>0.4826388888888889</v>
      </c>
      <c r="L102" s="64">
        <v>46134.0</v>
      </c>
      <c r="M102" s="65">
        <v>0.49027777777777776</v>
      </c>
      <c r="N102" s="65">
        <v>0.007638888888888889</v>
      </c>
      <c r="O102" s="66">
        <v>0.183333</v>
      </c>
      <c r="R102" s="67"/>
      <c r="S102" s="68">
        <v>46134.0</v>
      </c>
      <c r="T102" s="38" t="str">
        <f>IFERROR(__xludf.DUMMYFUNCTION("""COMPUTED_VALUE"""),"General - Visual Arts Society")</f>
        <v>General - Visual Arts Society</v>
      </c>
      <c r="U102" s="38" t="s">
        <v>175</v>
      </c>
      <c r="V102" s="38" t="s">
        <v>53</v>
      </c>
      <c r="W102" s="38" t="str">
        <f>IFERROR(__xludf.DUMMYFUNCTION("""COMPUTED_VALUE"""),"Committee Member Hours")</f>
        <v>Committee Member Hours</v>
      </c>
      <c r="X102" s="38" t="s">
        <v>44</v>
      </c>
      <c r="Y102" s="38">
        <v>0.183333</v>
      </c>
      <c r="Z102" s="38" t="s">
        <v>217</v>
      </c>
      <c r="AA102" s="38" t="s">
        <v>152</v>
      </c>
      <c r="AB102" s="68">
        <v>46134.0</v>
      </c>
      <c r="AC102" s="38" t="s">
        <v>230</v>
      </c>
      <c r="AP102" s="73">
        <v>46134.0</v>
      </c>
      <c r="AQ102" s="38" t="s">
        <v>185</v>
      </c>
      <c r="AR102" s="38" t="s">
        <v>175</v>
      </c>
      <c r="AS102" s="38" t="s">
        <v>53</v>
      </c>
      <c r="AT102" s="38" t="s">
        <v>42</v>
      </c>
      <c r="AU102" s="38" t="s">
        <v>44</v>
      </c>
      <c r="AV102" s="74">
        <v>0.4826388888888889</v>
      </c>
      <c r="AW102" s="74">
        <v>0.49027777777777776</v>
      </c>
      <c r="AX102" s="38">
        <v>0.183333</v>
      </c>
      <c r="AY102" s="38" t="s">
        <v>179</v>
      </c>
      <c r="AZ102" s="38" t="s">
        <v>179</v>
      </c>
      <c r="BA102" s="38" t="s">
        <v>179</v>
      </c>
      <c r="BB102" s="38" t="s">
        <v>179</v>
      </c>
      <c r="BC102" s="38" t="s">
        <v>217</v>
      </c>
      <c r="BD102" s="38" t="s">
        <v>152</v>
      </c>
      <c r="BE102" s="68">
        <v>46134.0</v>
      </c>
      <c r="BF102" s="38" t="s">
        <v>230</v>
      </c>
    </row>
    <row r="103">
      <c r="A103" s="62" t="s">
        <v>262</v>
      </c>
      <c r="B103" s="63"/>
      <c r="C103" s="62" t="s">
        <v>302</v>
      </c>
      <c r="D103" s="63"/>
      <c r="E103" s="62" t="s">
        <v>301</v>
      </c>
      <c r="F103" s="75" t="s">
        <v>53</v>
      </c>
      <c r="G103" s="63"/>
      <c r="H103" s="62" t="s">
        <v>299</v>
      </c>
      <c r="I103" s="63"/>
      <c r="J103" s="64">
        <v>46133.0</v>
      </c>
      <c r="K103" s="65">
        <v>0.7645833333333333</v>
      </c>
      <c r="L103" s="64">
        <v>46133.0</v>
      </c>
      <c r="M103" s="65">
        <v>0.8479166666666667</v>
      </c>
      <c r="N103" s="65">
        <v>0.08333333333333333</v>
      </c>
      <c r="O103" s="66">
        <v>2.0</v>
      </c>
      <c r="R103" s="67"/>
      <c r="S103" s="68">
        <v>46133.0</v>
      </c>
      <c r="T103" s="38" t="str">
        <f>IFERROR(__xludf.DUMMYFUNCTION("""COMPUTED_VALUE"""),"General - Visual Arts Society")</f>
        <v>General - Visual Arts Society</v>
      </c>
      <c r="U103" s="38" t="s">
        <v>228</v>
      </c>
      <c r="V103" s="38" t="s">
        <v>53</v>
      </c>
      <c r="W103" s="38" t="str">
        <f>IFERROR(__xludf.DUMMYFUNCTION("""COMPUTED_VALUE"""),"Volunteer Hours")</f>
        <v>Volunteer Hours</v>
      </c>
      <c r="X103" s="38" t="s">
        <v>44</v>
      </c>
      <c r="Y103" s="38">
        <v>2.0</v>
      </c>
      <c r="Z103" s="38" t="s">
        <v>299</v>
      </c>
      <c r="AA103" s="38" t="s">
        <v>152</v>
      </c>
      <c r="AB103" s="68">
        <v>46133.0</v>
      </c>
      <c r="AC103" s="38" t="s">
        <v>302</v>
      </c>
      <c r="AP103" s="73">
        <v>46133.0</v>
      </c>
      <c r="AQ103" s="38" t="s">
        <v>185</v>
      </c>
      <c r="AR103" s="38" t="s">
        <v>228</v>
      </c>
      <c r="AS103" s="38" t="s">
        <v>53</v>
      </c>
      <c r="AT103" s="38" t="s">
        <v>52</v>
      </c>
      <c r="AU103" s="38" t="s">
        <v>44</v>
      </c>
      <c r="AV103" s="74">
        <v>0.7645833333333333</v>
      </c>
      <c r="AW103" s="74">
        <v>0.8479166666666667</v>
      </c>
      <c r="AX103" s="38">
        <v>2.0</v>
      </c>
      <c r="AY103" s="38" t="s">
        <v>179</v>
      </c>
      <c r="AZ103" s="38" t="s">
        <v>179</v>
      </c>
      <c r="BA103" s="38" t="s">
        <v>179</v>
      </c>
      <c r="BB103" s="38" t="s">
        <v>179</v>
      </c>
      <c r="BC103" s="38" t="s">
        <v>299</v>
      </c>
      <c r="BD103" s="38" t="s">
        <v>152</v>
      </c>
      <c r="BE103" s="68">
        <v>46133.0</v>
      </c>
      <c r="BF103" s="38" t="s">
        <v>302</v>
      </c>
    </row>
    <row r="104">
      <c r="A104" s="62" t="s">
        <v>262</v>
      </c>
      <c r="B104" s="63"/>
      <c r="C104" s="62" t="s">
        <v>225</v>
      </c>
      <c r="D104" s="63"/>
      <c r="E104" s="62" t="s">
        <v>285</v>
      </c>
      <c r="F104" s="75" t="s">
        <v>270</v>
      </c>
      <c r="G104" s="63"/>
      <c r="H104" s="62" t="s">
        <v>224</v>
      </c>
      <c r="I104" s="63"/>
      <c r="J104" s="64">
        <v>46132.0</v>
      </c>
      <c r="K104" s="65">
        <v>0.6944444444444444</v>
      </c>
      <c r="L104" s="64">
        <v>46132.0</v>
      </c>
      <c r="M104" s="65">
        <v>0.7083333333333334</v>
      </c>
      <c r="N104" s="65">
        <v>0.013888888888888888</v>
      </c>
      <c r="O104" s="66">
        <v>0.333333</v>
      </c>
      <c r="R104" s="67"/>
      <c r="S104" s="68">
        <v>46132.0</v>
      </c>
      <c r="T104" s="38" t="str">
        <f>IFERROR(__xludf.DUMMYFUNCTION("""COMPUTED_VALUE"""),"General / No Specific Project")</f>
        <v>General / No Specific Project</v>
      </c>
      <c r="U104" s="38" t="s">
        <v>200</v>
      </c>
      <c r="V104" s="38" t="s">
        <v>33</v>
      </c>
      <c r="W104" s="38" t="str">
        <f>IFERROR(__xludf.DUMMYFUNCTION("""COMPUTED_VALUE"""),"CASWJ Board Hours")</f>
        <v>CASWJ Board Hours</v>
      </c>
      <c r="X104" s="38" t="s">
        <v>44</v>
      </c>
      <c r="Y104" s="38">
        <v>0.333333</v>
      </c>
      <c r="Z104" s="38" t="s">
        <v>224</v>
      </c>
      <c r="AA104" s="38" t="s">
        <v>152</v>
      </c>
      <c r="AB104" s="68">
        <v>46132.0</v>
      </c>
      <c r="AC104" s="38" t="s">
        <v>225</v>
      </c>
      <c r="AP104" s="73">
        <v>46132.0</v>
      </c>
      <c r="AQ104" s="38" t="s">
        <v>199</v>
      </c>
      <c r="AR104" s="38" t="s">
        <v>200</v>
      </c>
      <c r="AS104" s="38" t="s">
        <v>33</v>
      </c>
      <c r="AT104" s="38" t="s">
        <v>32</v>
      </c>
      <c r="AU104" s="38" t="s">
        <v>44</v>
      </c>
      <c r="AV104" s="74">
        <v>0.6944444444444444</v>
      </c>
      <c r="AW104" s="74">
        <v>0.7083333333333334</v>
      </c>
      <c r="AX104" s="38">
        <v>0.333333</v>
      </c>
      <c r="AY104" s="38" t="s">
        <v>179</v>
      </c>
      <c r="AZ104" s="38" t="s">
        <v>179</v>
      </c>
      <c r="BA104" s="38" t="s">
        <v>179</v>
      </c>
      <c r="BB104" s="38" t="s">
        <v>179</v>
      </c>
      <c r="BC104" s="38" t="s">
        <v>224</v>
      </c>
      <c r="BD104" s="38" t="s">
        <v>152</v>
      </c>
      <c r="BE104" s="68">
        <v>46132.0</v>
      </c>
      <c r="BF104" s="38" t="s">
        <v>225</v>
      </c>
    </row>
    <row r="105">
      <c r="A105" s="62" t="s">
        <v>262</v>
      </c>
      <c r="B105" s="63"/>
      <c r="C105" s="62" t="s">
        <v>303</v>
      </c>
      <c r="D105" s="63"/>
      <c r="E105" s="62" t="s">
        <v>186</v>
      </c>
      <c r="F105" s="75" t="s">
        <v>53</v>
      </c>
      <c r="G105" s="63"/>
      <c r="H105" s="75" t="s">
        <v>187</v>
      </c>
      <c r="I105" s="63"/>
      <c r="J105" s="64">
        <v>46132.0</v>
      </c>
      <c r="K105" s="65">
        <v>0.40902777777777777</v>
      </c>
      <c r="L105" s="64">
        <v>46132.0</v>
      </c>
      <c r="M105" s="65">
        <v>0.42291666666666666</v>
      </c>
      <c r="N105" s="65">
        <v>0.013888888888888888</v>
      </c>
      <c r="O105" s="66">
        <v>0.333333</v>
      </c>
      <c r="R105" s="67"/>
      <c r="S105" s="68">
        <v>46132.0</v>
      </c>
      <c r="T105" s="38" t="str">
        <f>IFERROR(__xludf.DUMMYFUNCTION("""COMPUTED_VALUE"""),"General - Visual Arts Society")</f>
        <v>General - Visual Arts Society</v>
      </c>
      <c r="U105" s="38" t="s">
        <v>186</v>
      </c>
      <c r="V105" s="38" t="s">
        <v>53</v>
      </c>
      <c r="W105" s="38" t="str">
        <f>IFERROR(__xludf.DUMMYFUNCTION("""COMPUTED_VALUE"""),"Committee Member Hours")</f>
        <v>Committee Member Hours</v>
      </c>
      <c r="X105" s="38" t="s">
        <v>44</v>
      </c>
      <c r="Y105" s="38">
        <v>0.333333</v>
      </c>
      <c r="Z105" s="38" t="s">
        <v>187</v>
      </c>
      <c r="AA105" s="38" t="s">
        <v>152</v>
      </c>
      <c r="AB105" s="68">
        <v>46132.0</v>
      </c>
      <c r="AC105" s="38" t="s">
        <v>303</v>
      </c>
      <c r="AP105" s="73">
        <v>46132.0</v>
      </c>
      <c r="AQ105" s="38" t="s">
        <v>185</v>
      </c>
      <c r="AR105" s="38" t="s">
        <v>186</v>
      </c>
      <c r="AS105" s="38" t="s">
        <v>53</v>
      </c>
      <c r="AT105" s="38" t="s">
        <v>42</v>
      </c>
      <c r="AU105" s="38" t="s">
        <v>44</v>
      </c>
      <c r="AV105" s="74">
        <v>0.40902777777777777</v>
      </c>
      <c r="AW105" s="74">
        <v>0.42291666666666666</v>
      </c>
      <c r="AX105" s="38">
        <v>0.333333</v>
      </c>
      <c r="AY105" s="38" t="s">
        <v>179</v>
      </c>
      <c r="AZ105" s="38" t="s">
        <v>179</v>
      </c>
      <c r="BA105" s="38" t="s">
        <v>179</v>
      </c>
      <c r="BB105" s="38" t="s">
        <v>179</v>
      </c>
      <c r="BC105" s="38" t="s">
        <v>187</v>
      </c>
      <c r="BD105" s="38" t="s">
        <v>152</v>
      </c>
      <c r="BE105" s="68">
        <v>46132.0</v>
      </c>
      <c r="BF105" s="38" t="s">
        <v>303</v>
      </c>
    </row>
    <row r="106">
      <c r="A106" s="62" t="s">
        <v>262</v>
      </c>
      <c r="B106" s="63"/>
      <c r="C106" s="62" t="s">
        <v>225</v>
      </c>
      <c r="D106" s="63"/>
      <c r="E106" s="62" t="s">
        <v>285</v>
      </c>
      <c r="F106" s="75" t="s">
        <v>270</v>
      </c>
      <c r="G106" s="63"/>
      <c r="H106" s="62" t="s">
        <v>224</v>
      </c>
      <c r="I106" s="63"/>
      <c r="J106" s="64">
        <v>46130.0</v>
      </c>
      <c r="K106" s="65">
        <v>0.6618055555555555</v>
      </c>
      <c r="L106" s="64">
        <v>46130.0</v>
      </c>
      <c r="M106" s="65">
        <v>0.6826388888888889</v>
      </c>
      <c r="N106" s="72">
        <v>0.020833333333333332</v>
      </c>
      <c r="O106" s="66">
        <v>0.5</v>
      </c>
      <c r="R106" s="67"/>
      <c r="S106" s="68">
        <v>46130.0</v>
      </c>
      <c r="T106" s="38" t="str">
        <f>IFERROR(__xludf.DUMMYFUNCTION("""COMPUTED_VALUE"""),"General / No Specific Project")</f>
        <v>General / No Specific Project</v>
      </c>
      <c r="U106" s="38" t="s">
        <v>200</v>
      </c>
      <c r="V106" s="38" t="s">
        <v>33</v>
      </c>
      <c r="W106" s="38" t="str">
        <f>IFERROR(__xludf.DUMMYFUNCTION("""COMPUTED_VALUE"""),"CASWJ Board Hours")</f>
        <v>CASWJ Board Hours</v>
      </c>
      <c r="X106" s="38" t="s">
        <v>44</v>
      </c>
      <c r="Y106" s="38">
        <v>0.5</v>
      </c>
      <c r="Z106" s="38" t="s">
        <v>224</v>
      </c>
      <c r="AA106" s="38" t="s">
        <v>152</v>
      </c>
      <c r="AB106" s="68">
        <v>46130.0</v>
      </c>
      <c r="AC106" s="38" t="s">
        <v>225</v>
      </c>
      <c r="AP106" s="73">
        <v>46130.0</v>
      </c>
      <c r="AQ106" s="38" t="s">
        <v>199</v>
      </c>
      <c r="AR106" s="38" t="s">
        <v>200</v>
      </c>
      <c r="AS106" s="38" t="s">
        <v>33</v>
      </c>
      <c r="AT106" s="38" t="s">
        <v>32</v>
      </c>
      <c r="AU106" s="38" t="s">
        <v>44</v>
      </c>
      <c r="AV106" s="74">
        <v>0.6618055555555555</v>
      </c>
      <c r="AW106" s="74">
        <v>0.6826388888888889</v>
      </c>
      <c r="AX106" s="38">
        <v>0.5</v>
      </c>
      <c r="AY106" s="38" t="s">
        <v>179</v>
      </c>
      <c r="AZ106" s="38" t="s">
        <v>179</v>
      </c>
      <c r="BA106" s="38" t="s">
        <v>179</v>
      </c>
      <c r="BB106" s="38" t="s">
        <v>179</v>
      </c>
      <c r="BC106" s="38" t="s">
        <v>224</v>
      </c>
      <c r="BD106" s="38" t="s">
        <v>152</v>
      </c>
      <c r="BE106" s="68">
        <v>46130.0</v>
      </c>
      <c r="BF106" s="38" t="s">
        <v>225</v>
      </c>
    </row>
    <row r="107">
      <c r="A107" s="62" t="s">
        <v>262</v>
      </c>
      <c r="B107" s="63"/>
      <c r="C107" s="62" t="s">
        <v>173</v>
      </c>
      <c r="D107" s="63"/>
      <c r="E107" s="62" t="s">
        <v>263</v>
      </c>
      <c r="F107" s="75" t="s">
        <v>60</v>
      </c>
      <c r="G107" s="63"/>
      <c r="H107" s="62" t="s">
        <v>172</v>
      </c>
      <c r="I107" s="63"/>
      <c r="J107" s="64">
        <v>46130.0</v>
      </c>
      <c r="K107" s="65">
        <v>0.375</v>
      </c>
      <c r="L107" s="64">
        <v>46135.0</v>
      </c>
      <c r="M107" s="65">
        <v>0.2847222222222222</v>
      </c>
      <c r="N107" s="65">
        <v>4.909722222222222</v>
      </c>
      <c r="O107" s="66">
        <v>117.833333</v>
      </c>
      <c r="R107" s="67"/>
      <c r="S107" s="68">
        <v>46130.0</v>
      </c>
      <c r="T107" s="38" t="str">
        <f>IFERROR(__xludf.DUMMYFUNCTION("""COMPUTED_VALUE"""),"General - West Jordan Symphony")</f>
        <v>General - West Jordan Symphony</v>
      </c>
      <c r="U107" s="38" t="s">
        <v>170</v>
      </c>
      <c r="V107" s="38" t="s">
        <v>60</v>
      </c>
      <c r="W107" s="38" t="str">
        <f>IFERROR(__xludf.DUMMYFUNCTION("""COMPUTED_VALUE"""),"Participant Hours")</f>
        <v>Participant Hours</v>
      </c>
      <c r="X107" s="38" t="s">
        <v>44</v>
      </c>
      <c r="Y107" s="38">
        <v>117.833333</v>
      </c>
      <c r="Z107" s="38" t="s">
        <v>172</v>
      </c>
      <c r="AA107" s="38" t="s">
        <v>152</v>
      </c>
      <c r="AB107" s="68">
        <v>46130.0</v>
      </c>
      <c r="AC107" s="38" t="s">
        <v>173</v>
      </c>
      <c r="AP107" s="73">
        <v>46130.0</v>
      </c>
      <c r="AQ107" s="38" t="s">
        <v>64</v>
      </c>
      <c r="AR107" s="38" t="s">
        <v>170</v>
      </c>
      <c r="AS107" s="38" t="s">
        <v>60</v>
      </c>
      <c r="AT107" s="38" t="s">
        <v>48</v>
      </c>
      <c r="AU107" s="38" t="s">
        <v>44</v>
      </c>
      <c r="AV107" s="74">
        <v>0.375</v>
      </c>
      <c r="AW107" s="74">
        <v>0.2847222222222222</v>
      </c>
      <c r="AX107" s="38">
        <v>117.833333</v>
      </c>
      <c r="AY107" s="38" t="s">
        <v>179</v>
      </c>
      <c r="AZ107" s="38" t="s">
        <v>179</v>
      </c>
      <c r="BA107" s="38" t="s">
        <v>179</v>
      </c>
      <c r="BB107" s="38" t="s">
        <v>179</v>
      </c>
      <c r="BC107" s="38" t="s">
        <v>172</v>
      </c>
      <c r="BD107" s="38" t="s">
        <v>152</v>
      </c>
      <c r="BE107" s="68">
        <v>46130.0</v>
      </c>
      <c r="BF107" s="38" t="s">
        <v>173</v>
      </c>
    </row>
    <row r="108">
      <c r="A108" s="62" t="s">
        <v>262</v>
      </c>
      <c r="B108" s="63"/>
      <c r="C108" s="62" t="s">
        <v>230</v>
      </c>
      <c r="D108" s="63"/>
      <c r="E108" s="62" t="s">
        <v>271</v>
      </c>
      <c r="F108" s="75" t="s">
        <v>53</v>
      </c>
      <c r="G108" s="63"/>
      <c r="H108" s="62" t="s">
        <v>217</v>
      </c>
      <c r="I108" s="63"/>
      <c r="J108" s="64">
        <v>46129.0</v>
      </c>
      <c r="K108" s="65">
        <v>0.625</v>
      </c>
      <c r="L108" s="64">
        <v>46129.0</v>
      </c>
      <c r="M108" s="65">
        <v>0.65</v>
      </c>
      <c r="N108" s="65">
        <v>0.025</v>
      </c>
      <c r="O108" s="66">
        <v>0.6</v>
      </c>
      <c r="R108" s="67"/>
      <c r="S108" s="68">
        <v>46129.0</v>
      </c>
      <c r="T108" s="38" t="str">
        <f>IFERROR(__xludf.DUMMYFUNCTION("""COMPUTED_VALUE"""),"General - Visual Arts Society")</f>
        <v>General - Visual Arts Society</v>
      </c>
      <c r="U108" s="38" t="s">
        <v>175</v>
      </c>
      <c r="V108" s="38" t="s">
        <v>53</v>
      </c>
      <c r="W108" s="38" t="str">
        <f>IFERROR(__xludf.DUMMYFUNCTION("""COMPUTED_VALUE"""),"Committee Member Hours")</f>
        <v>Committee Member Hours</v>
      </c>
      <c r="X108" s="38" t="s">
        <v>44</v>
      </c>
      <c r="Y108" s="38">
        <v>0.6</v>
      </c>
      <c r="Z108" s="38" t="s">
        <v>217</v>
      </c>
      <c r="AA108" s="38" t="s">
        <v>152</v>
      </c>
      <c r="AB108" s="68">
        <v>46129.0</v>
      </c>
      <c r="AC108" s="38" t="s">
        <v>230</v>
      </c>
      <c r="AP108" s="73">
        <v>46129.0</v>
      </c>
      <c r="AQ108" s="38" t="s">
        <v>185</v>
      </c>
      <c r="AR108" s="38" t="s">
        <v>175</v>
      </c>
      <c r="AS108" s="38" t="s">
        <v>53</v>
      </c>
      <c r="AT108" s="38" t="s">
        <v>42</v>
      </c>
      <c r="AU108" s="38" t="s">
        <v>44</v>
      </c>
      <c r="AV108" s="74">
        <v>0.625</v>
      </c>
      <c r="AW108" s="74">
        <v>0.65</v>
      </c>
      <c r="AX108" s="38">
        <v>0.6</v>
      </c>
      <c r="AY108" s="38" t="s">
        <v>179</v>
      </c>
      <c r="AZ108" s="38" t="s">
        <v>179</v>
      </c>
      <c r="BA108" s="38" t="s">
        <v>179</v>
      </c>
      <c r="BB108" s="38" t="s">
        <v>179</v>
      </c>
      <c r="BC108" s="38" t="s">
        <v>217</v>
      </c>
      <c r="BD108" s="38" t="s">
        <v>152</v>
      </c>
      <c r="BE108" s="68">
        <v>46129.0</v>
      </c>
      <c r="BF108" s="38" t="s">
        <v>230</v>
      </c>
    </row>
    <row r="109">
      <c r="A109" s="62" t="s">
        <v>262</v>
      </c>
      <c r="B109" s="63"/>
      <c r="C109" s="62" t="s">
        <v>225</v>
      </c>
      <c r="D109" s="63"/>
      <c r="E109" s="62" t="s">
        <v>285</v>
      </c>
      <c r="F109" s="62" t="s">
        <v>270</v>
      </c>
      <c r="G109" s="63"/>
      <c r="H109" s="62" t="s">
        <v>224</v>
      </c>
      <c r="I109" s="63"/>
      <c r="J109" s="64">
        <v>46125.0</v>
      </c>
      <c r="K109" s="65">
        <v>0.4930555555555556</v>
      </c>
      <c r="L109" s="64">
        <v>46125.0</v>
      </c>
      <c r="M109" s="65">
        <v>0.5034722222222222</v>
      </c>
      <c r="N109" s="65">
        <v>0.010416666666666666</v>
      </c>
      <c r="O109" s="66">
        <v>0.25</v>
      </c>
      <c r="R109" s="67"/>
      <c r="S109" s="68">
        <v>46125.0</v>
      </c>
      <c r="T109" s="38" t="str">
        <f>IFERROR(__xludf.DUMMYFUNCTION("""COMPUTED_VALUE"""),"General / No Specific Project")</f>
        <v>General / No Specific Project</v>
      </c>
      <c r="U109" s="38" t="s">
        <v>200</v>
      </c>
      <c r="V109" s="38" t="s">
        <v>33</v>
      </c>
      <c r="W109" s="38" t="str">
        <f>IFERROR(__xludf.DUMMYFUNCTION("""COMPUTED_VALUE"""),"CASWJ Board Hours")</f>
        <v>CASWJ Board Hours</v>
      </c>
      <c r="X109" s="38" t="s">
        <v>44</v>
      </c>
      <c r="Y109" s="38">
        <v>0.25</v>
      </c>
      <c r="Z109" s="38" t="s">
        <v>224</v>
      </c>
      <c r="AA109" s="38" t="s">
        <v>152</v>
      </c>
      <c r="AB109" s="68">
        <v>46125.0</v>
      </c>
      <c r="AC109" s="38" t="s">
        <v>225</v>
      </c>
      <c r="AP109" s="73">
        <v>46125.0</v>
      </c>
      <c r="AQ109" s="38" t="s">
        <v>199</v>
      </c>
      <c r="AR109" s="38" t="s">
        <v>200</v>
      </c>
      <c r="AS109" s="38" t="s">
        <v>33</v>
      </c>
      <c r="AT109" s="38" t="s">
        <v>32</v>
      </c>
      <c r="AU109" s="38" t="s">
        <v>44</v>
      </c>
      <c r="AV109" s="74">
        <v>0.4930555555555556</v>
      </c>
      <c r="AW109" s="74">
        <v>0.5034722222222222</v>
      </c>
      <c r="AX109" s="38">
        <v>0.25</v>
      </c>
      <c r="AY109" s="38" t="s">
        <v>179</v>
      </c>
      <c r="AZ109" s="38" t="s">
        <v>179</v>
      </c>
      <c r="BA109" s="38" t="s">
        <v>179</v>
      </c>
      <c r="BB109" s="38" t="s">
        <v>179</v>
      </c>
      <c r="BC109" s="38" t="s">
        <v>224</v>
      </c>
      <c r="BD109" s="38" t="s">
        <v>152</v>
      </c>
      <c r="BE109" s="68">
        <v>46125.0</v>
      </c>
      <c r="BF109" s="38" t="s">
        <v>225</v>
      </c>
    </row>
    <row r="110">
      <c r="A110" s="62" t="s">
        <v>262</v>
      </c>
      <c r="B110" s="63"/>
      <c r="C110" s="62" t="s">
        <v>225</v>
      </c>
      <c r="D110" s="63"/>
      <c r="E110" s="62" t="s">
        <v>285</v>
      </c>
      <c r="F110" s="62" t="s">
        <v>270</v>
      </c>
      <c r="G110" s="63"/>
      <c r="H110" s="62" t="s">
        <v>224</v>
      </c>
      <c r="I110" s="63"/>
      <c r="J110" s="64">
        <v>46124.0</v>
      </c>
      <c r="K110" s="65">
        <v>0.8854166666666666</v>
      </c>
      <c r="L110" s="64">
        <v>46124.0</v>
      </c>
      <c r="M110" s="65">
        <v>0.8958333333333334</v>
      </c>
      <c r="N110" s="65">
        <v>0.010416666666666666</v>
      </c>
      <c r="O110" s="66">
        <v>0.25</v>
      </c>
      <c r="R110" s="67"/>
      <c r="S110" s="68">
        <v>46124.0</v>
      </c>
      <c r="T110" s="38" t="str">
        <f>IFERROR(__xludf.DUMMYFUNCTION("""COMPUTED_VALUE"""),"General / No Specific Project")</f>
        <v>General / No Specific Project</v>
      </c>
      <c r="U110" s="38" t="s">
        <v>200</v>
      </c>
      <c r="V110" s="38" t="s">
        <v>33</v>
      </c>
      <c r="W110" s="38" t="str">
        <f>IFERROR(__xludf.DUMMYFUNCTION("""COMPUTED_VALUE"""),"CASWJ Board Hours")</f>
        <v>CASWJ Board Hours</v>
      </c>
      <c r="X110" s="38" t="s">
        <v>44</v>
      </c>
      <c r="Y110" s="38">
        <v>0.25</v>
      </c>
      <c r="Z110" s="38" t="s">
        <v>224</v>
      </c>
      <c r="AA110" s="38" t="s">
        <v>152</v>
      </c>
      <c r="AB110" s="68">
        <v>46124.0</v>
      </c>
      <c r="AC110" s="38" t="s">
        <v>225</v>
      </c>
      <c r="AP110" s="73">
        <v>46124.0</v>
      </c>
      <c r="AQ110" s="38" t="s">
        <v>199</v>
      </c>
      <c r="AR110" s="38" t="s">
        <v>200</v>
      </c>
      <c r="AS110" s="38" t="s">
        <v>33</v>
      </c>
      <c r="AT110" s="38" t="s">
        <v>32</v>
      </c>
      <c r="AU110" s="38" t="s">
        <v>44</v>
      </c>
      <c r="AV110" s="74">
        <v>0.8854166666666666</v>
      </c>
      <c r="AW110" s="74">
        <v>0.8958333333333334</v>
      </c>
      <c r="AX110" s="38">
        <v>0.25</v>
      </c>
      <c r="AY110" s="38" t="s">
        <v>179</v>
      </c>
      <c r="AZ110" s="38" t="s">
        <v>179</v>
      </c>
      <c r="BA110" s="38" t="s">
        <v>179</v>
      </c>
      <c r="BB110" s="38" t="s">
        <v>179</v>
      </c>
      <c r="BC110" s="38" t="s">
        <v>224</v>
      </c>
      <c r="BD110" s="38" t="s">
        <v>152</v>
      </c>
      <c r="BE110" s="68">
        <v>46124.0</v>
      </c>
      <c r="BF110" s="38" t="s">
        <v>225</v>
      </c>
    </row>
    <row r="111">
      <c r="A111" s="62" t="s">
        <v>262</v>
      </c>
      <c r="B111" s="63"/>
      <c r="C111" s="62" t="s">
        <v>225</v>
      </c>
      <c r="D111" s="63"/>
      <c r="E111" s="62" t="s">
        <v>285</v>
      </c>
      <c r="F111" s="62" t="s">
        <v>270</v>
      </c>
      <c r="G111" s="63"/>
      <c r="H111" s="62" t="s">
        <v>224</v>
      </c>
      <c r="I111" s="63"/>
      <c r="J111" s="64">
        <v>46123.0</v>
      </c>
      <c r="K111" s="65">
        <v>0.5416666666666666</v>
      </c>
      <c r="L111" s="64">
        <v>46123.0</v>
      </c>
      <c r="M111" s="65">
        <v>0.6111111111111112</v>
      </c>
      <c r="N111" s="65">
        <v>0.06944444444444445</v>
      </c>
      <c r="O111" s="66">
        <v>1.666667</v>
      </c>
      <c r="R111" s="67"/>
      <c r="S111" s="68">
        <v>46123.0</v>
      </c>
      <c r="T111" s="38" t="str">
        <f>IFERROR(__xludf.DUMMYFUNCTION("""COMPUTED_VALUE"""),"General / No Specific Project")</f>
        <v>General / No Specific Project</v>
      </c>
      <c r="U111" s="38" t="s">
        <v>200</v>
      </c>
      <c r="V111" s="38" t="s">
        <v>33</v>
      </c>
      <c r="W111" s="38" t="str">
        <f>IFERROR(__xludf.DUMMYFUNCTION("""COMPUTED_VALUE"""),"CASWJ Board Hours")</f>
        <v>CASWJ Board Hours</v>
      </c>
      <c r="X111" s="38" t="s">
        <v>44</v>
      </c>
      <c r="Y111" s="38">
        <v>1.666667</v>
      </c>
      <c r="Z111" s="38" t="s">
        <v>224</v>
      </c>
      <c r="AA111" s="38" t="s">
        <v>152</v>
      </c>
      <c r="AB111" s="68">
        <v>46123.0</v>
      </c>
      <c r="AC111" s="38" t="s">
        <v>225</v>
      </c>
      <c r="AP111" s="73">
        <v>46123.0</v>
      </c>
      <c r="AQ111" s="38" t="s">
        <v>199</v>
      </c>
      <c r="AR111" s="38" t="s">
        <v>200</v>
      </c>
      <c r="AS111" s="38" t="s">
        <v>33</v>
      </c>
      <c r="AT111" s="38" t="s">
        <v>32</v>
      </c>
      <c r="AU111" s="38" t="s">
        <v>44</v>
      </c>
      <c r="AV111" s="74">
        <v>0.5416666666666666</v>
      </c>
      <c r="AW111" s="74">
        <v>0.6111111111111112</v>
      </c>
      <c r="AX111" s="38">
        <v>1.666667</v>
      </c>
      <c r="AY111" s="38" t="s">
        <v>179</v>
      </c>
      <c r="AZ111" s="38" t="s">
        <v>179</v>
      </c>
      <c r="BA111" s="38" t="s">
        <v>179</v>
      </c>
      <c r="BB111" s="38" t="s">
        <v>179</v>
      </c>
      <c r="BC111" s="38" t="s">
        <v>224</v>
      </c>
      <c r="BD111" s="38" t="s">
        <v>152</v>
      </c>
      <c r="BE111" s="68">
        <v>46123.0</v>
      </c>
      <c r="BF111" s="38" t="s">
        <v>225</v>
      </c>
    </row>
    <row r="112">
      <c r="A112" s="62" t="s">
        <v>262</v>
      </c>
      <c r="B112" s="63"/>
      <c r="C112" s="62" t="s">
        <v>173</v>
      </c>
      <c r="D112" s="63"/>
      <c r="E112" s="62" t="s">
        <v>263</v>
      </c>
      <c r="F112" s="62" t="s">
        <v>60</v>
      </c>
      <c r="G112" s="63"/>
      <c r="H112" s="62" t="s">
        <v>172</v>
      </c>
      <c r="I112" s="63"/>
      <c r="J112" s="64">
        <v>46123.0</v>
      </c>
      <c r="K112" s="65">
        <v>0.375</v>
      </c>
      <c r="L112" s="64">
        <v>46128.0</v>
      </c>
      <c r="M112" s="65">
        <v>0.4791666666666667</v>
      </c>
      <c r="N112" s="65">
        <v>5.104166666666667</v>
      </c>
      <c r="O112" s="66">
        <v>122.5</v>
      </c>
      <c r="R112" s="67"/>
      <c r="S112" s="68">
        <v>46123.0</v>
      </c>
      <c r="T112" s="38" t="str">
        <f>IFERROR(__xludf.DUMMYFUNCTION("""COMPUTED_VALUE"""),"General - West Jordan Symphony")</f>
        <v>General - West Jordan Symphony</v>
      </c>
      <c r="U112" s="38" t="s">
        <v>170</v>
      </c>
      <c r="V112" s="38" t="s">
        <v>60</v>
      </c>
      <c r="W112" s="38" t="str">
        <f>IFERROR(__xludf.DUMMYFUNCTION("""COMPUTED_VALUE"""),"Participant Hours")</f>
        <v>Participant Hours</v>
      </c>
      <c r="X112" s="38" t="s">
        <v>44</v>
      </c>
      <c r="Y112" s="38">
        <v>122.5</v>
      </c>
      <c r="Z112" s="38" t="s">
        <v>172</v>
      </c>
      <c r="AA112" s="38" t="s">
        <v>152</v>
      </c>
      <c r="AB112" s="68">
        <v>46123.0</v>
      </c>
      <c r="AC112" s="38" t="s">
        <v>173</v>
      </c>
      <c r="AP112" s="73">
        <v>46123.0</v>
      </c>
      <c r="AQ112" s="38" t="s">
        <v>64</v>
      </c>
      <c r="AR112" s="38" t="s">
        <v>170</v>
      </c>
      <c r="AS112" s="38" t="s">
        <v>60</v>
      </c>
      <c r="AT112" s="38" t="s">
        <v>48</v>
      </c>
      <c r="AU112" s="38" t="s">
        <v>44</v>
      </c>
      <c r="AV112" s="74">
        <v>0.375</v>
      </c>
      <c r="AW112" s="74">
        <v>0.4791666666666667</v>
      </c>
      <c r="AX112" s="38">
        <v>122.5</v>
      </c>
      <c r="AY112" s="38" t="s">
        <v>179</v>
      </c>
      <c r="AZ112" s="38" t="s">
        <v>179</v>
      </c>
      <c r="BA112" s="38" t="s">
        <v>179</v>
      </c>
      <c r="BB112" s="38" t="s">
        <v>179</v>
      </c>
      <c r="BC112" s="38" t="s">
        <v>172</v>
      </c>
      <c r="BD112" s="38" t="s">
        <v>152</v>
      </c>
      <c r="BE112" s="68">
        <v>46123.0</v>
      </c>
      <c r="BF112" s="38" t="s">
        <v>173</v>
      </c>
    </row>
    <row r="113">
      <c r="A113" s="62" t="s">
        <v>262</v>
      </c>
      <c r="B113" s="63"/>
      <c r="C113" s="62" t="s">
        <v>225</v>
      </c>
      <c r="D113" s="63"/>
      <c r="E113" s="62" t="s">
        <v>285</v>
      </c>
      <c r="F113" s="62" t="s">
        <v>270</v>
      </c>
      <c r="G113" s="63"/>
      <c r="H113" s="62" t="s">
        <v>224</v>
      </c>
      <c r="I113" s="63"/>
      <c r="J113" s="64">
        <v>46121.0</v>
      </c>
      <c r="K113" s="65">
        <v>0.7777777777777778</v>
      </c>
      <c r="L113" s="64">
        <v>46121.0</v>
      </c>
      <c r="M113" s="65">
        <v>0.7916666666666666</v>
      </c>
      <c r="N113" s="65">
        <v>0.013888888888888888</v>
      </c>
      <c r="O113" s="66">
        <v>0.333333</v>
      </c>
      <c r="R113" s="67"/>
      <c r="S113" s="68">
        <v>46121.0</v>
      </c>
      <c r="T113" s="38" t="str">
        <f>IFERROR(__xludf.DUMMYFUNCTION("""COMPUTED_VALUE"""),"General / No Specific Project")</f>
        <v>General / No Specific Project</v>
      </c>
      <c r="U113" s="38" t="s">
        <v>200</v>
      </c>
      <c r="V113" s="38" t="s">
        <v>33</v>
      </c>
      <c r="W113" s="38" t="str">
        <f>IFERROR(__xludf.DUMMYFUNCTION("""COMPUTED_VALUE"""),"CASWJ Board Hours")</f>
        <v>CASWJ Board Hours</v>
      </c>
      <c r="X113" s="38" t="s">
        <v>44</v>
      </c>
      <c r="Y113" s="38">
        <v>0.333333</v>
      </c>
      <c r="Z113" s="38" t="s">
        <v>224</v>
      </c>
      <c r="AA113" s="38" t="s">
        <v>152</v>
      </c>
      <c r="AB113" s="68">
        <v>46121.0</v>
      </c>
      <c r="AC113" s="38" t="s">
        <v>225</v>
      </c>
      <c r="AP113" s="73">
        <v>46121.0</v>
      </c>
      <c r="AQ113" s="38" t="s">
        <v>199</v>
      </c>
      <c r="AR113" s="38" t="s">
        <v>200</v>
      </c>
      <c r="AS113" s="38" t="s">
        <v>33</v>
      </c>
      <c r="AT113" s="38" t="s">
        <v>32</v>
      </c>
      <c r="AU113" s="38" t="s">
        <v>44</v>
      </c>
      <c r="AV113" s="74">
        <v>0.7777777777777778</v>
      </c>
      <c r="AW113" s="74">
        <v>0.7916666666666666</v>
      </c>
      <c r="AX113" s="38">
        <v>0.333333</v>
      </c>
      <c r="AY113" s="38" t="s">
        <v>179</v>
      </c>
      <c r="AZ113" s="38" t="s">
        <v>179</v>
      </c>
      <c r="BA113" s="38" t="s">
        <v>179</v>
      </c>
      <c r="BB113" s="38" t="s">
        <v>179</v>
      </c>
      <c r="BC113" s="38" t="s">
        <v>224</v>
      </c>
      <c r="BD113" s="38" t="s">
        <v>152</v>
      </c>
      <c r="BE113" s="68">
        <v>46121.0</v>
      </c>
      <c r="BF113" s="38" t="s">
        <v>225</v>
      </c>
    </row>
    <row r="114">
      <c r="A114" s="62" t="s">
        <v>262</v>
      </c>
      <c r="B114" s="63"/>
      <c r="C114" s="62" t="s">
        <v>225</v>
      </c>
      <c r="D114" s="63"/>
      <c r="E114" s="62" t="s">
        <v>285</v>
      </c>
      <c r="F114" s="62" t="s">
        <v>270</v>
      </c>
      <c r="G114" s="63"/>
      <c r="H114" s="62" t="s">
        <v>224</v>
      </c>
      <c r="I114" s="63"/>
      <c r="J114" s="64">
        <v>46118.0</v>
      </c>
      <c r="K114" s="65">
        <v>0.4895833333333333</v>
      </c>
      <c r="L114" s="64">
        <v>46118.0</v>
      </c>
      <c r="M114" s="65">
        <v>0.5041666666666667</v>
      </c>
      <c r="N114" s="65">
        <v>0.014583333333333334</v>
      </c>
      <c r="O114" s="66">
        <v>0.35</v>
      </c>
      <c r="R114" s="67"/>
      <c r="S114" s="68">
        <v>46118.0</v>
      </c>
      <c r="T114" s="38" t="str">
        <f>IFERROR(__xludf.DUMMYFUNCTION("""COMPUTED_VALUE"""),"General / No Specific Project")</f>
        <v>General / No Specific Project</v>
      </c>
      <c r="U114" s="38" t="s">
        <v>200</v>
      </c>
      <c r="V114" s="38" t="s">
        <v>33</v>
      </c>
      <c r="W114" s="38" t="str">
        <f>IFERROR(__xludf.DUMMYFUNCTION("""COMPUTED_VALUE"""),"CASWJ Board Hours")</f>
        <v>CASWJ Board Hours</v>
      </c>
      <c r="X114" s="38" t="s">
        <v>44</v>
      </c>
      <c r="Y114" s="38">
        <v>0.35</v>
      </c>
      <c r="Z114" s="38" t="s">
        <v>224</v>
      </c>
      <c r="AA114" s="38" t="s">
        <v>152</v>
      </c>
      <c r="AB114" s="68">
        <v>46118.0</v>
      </c>
      <c r="AC114" s="38" t="s">
        <v>225</v>
      </c>
      <c r="AP114" s="73">
        <v>46118.0</v>
      </c>
      <c r="AQ114" s="38" t="s">
        <v>199</v>
      </c>
      <c r="AR114" s="38" t="s">
        <v>200</v>
      </c>
      <c r="AS114" s="38" t="s">
        <v>33</v>
      </c>
      <c r="AT114" s="38" t="s">
        <v>32</v>
      </c>
      <c r="AU114" s="38" t="s">
        <v>44</v>
      </c>
      <c r="AV114" s="74">
        <v>0.4895833333333333</v>
      </c>
      <c r="AW114" s="74">
        <v>0.5041666666666667</v>
      </c>
      <c r="AX114" s="38">
        <v>0.35</v>
      </c>
      <c r="AY114" s="38" t="s">
        <v>179</v>
      </c>
      <c r="AZ114" s="38" t="s">
        <v>179</v>
      </c>
      <c r="BA114" s="38" t="s">
        <v>179</v>
      </c>
      <c r="BB114" s="38" t="s">
        <v>179</v>
      </c>
      <c r="BC114" s="38" t="s">
        <v>224</v>
      </c>
      <c r="BD114" s="38" t="s">
        <v>152</v>
      </c>
      <c r="BE114" s="68">
        <v>46118.0</v>
      </c>
      <c r="BF114" s="38" t="s">
        <v>225</v>
      </c>
    </row>
    <row r="115">
      <c r="A115" s="62" t="s">
        <v>262</v>
      </c>
      <c r="B115" s="63"/>
      <c r="C115" s="62" t="s">
        <v>198</v>
      </c>
      <c r="D115" s="63"/>
      <c r="E115" s="62" t="s">
        <v>283</v>
      </c>
      <c r="F115" s="75" t="s">
        <v>33</v>
      </c>
      <c r="G115" s="63"/>
      <c r="H115" s="62" t="s">
        <v>195</v>
      </c>
      <c r="I115" s="63"/>
      <c r="J115" s="64">
        <v>46117.0</v>
      </c>
      <c r="K115" s="65">
        <v>0.5</v>
      </c>
      <c r="L115" s="64">
        <v>46117.0</v>
      </c>
      <c r="M115" s="65">
        <v>0.5625</v>
      </c>
      <c r="N115" s="65">
        <v>0.0625</v>
      </c>
      <c r="O115" s="66">
        <v>1.5</v>
      </c>
      <c r="R115" s="67"/>
      <c r="S115" s="68">
        <v>46117.0</v>
      </c>
      <c r="T115" s="38" t="str">
        <f>IFERROR(__xludf.DUMMYFUNCTION("""COMPUTED_VALUE"""),"")</f>
        <v/>
      </c>
      <c r="U115" s="38" t="s">
        <v>197</v>
      </c>
      <c r="V115" s="38" t="s">
        <v>179</v>
      </c>
      <c r="W115" s="38" t="str">
        <f>IFERROR(__xludf.DUMMYFUNCTION("""COMPUTED_VALUE"""),"CASWJ Board Hours")</f>
        <v>CASWJ Board Hours</v>
      </c>
      <c r="X115" s="38" t="s">
        <v>44</v>
      </c>
      <c r="Y115" s="38">
        <v>1.5</v>
      </c>
      <c r="Z115" s="38" t="s">
        <v>195</v>
      </c>
      <c r="AA115" s="38" t="s">
        <v>152</v>
      </c>
      <c r="AB115" s="68">
        <v>46117.0</v>
      </c>
      <c r="AC115" s="38" t="s">
        <v>198</v>
      </c>
      <c r="AP115" s="73">
        <v>46117.0</v>
      </c>
      <c r="AQ115" s="38" t="s">
        <v>179</v>
      </c>
      <c r="AR115" s="38" t="s">
        <v>197</v>
      </c>
      <c r="AS115" s="38" t="s">
        <v>179</v>
      </c>
      <c r="AT115" s="38" t="s">
        <v>32</v>
      </c>
      <c r="AU115" s="38" t="s">
        <v>44</v>
      </c>
      <c r="AV115" s="74">
        <v>0.5</v>
      </c>
      <c r="AW115" s="74">
        <v>0.5625</v>
      </c>
      <c r="AX115" s="38">
        <v>1.5</v>
      </c>
      <c r="AY115" s="38" t="s">
        <v>179</v>
      </c>
      <c r="AZ115" s="38" t="s">
        <v>179</v>
      </c>
      <c r="BA115" s="38" t="s">
        <v>179</v>
      </c>
      <c r="BB115" s="38" t="s">
        <v>179</v>
      </c>
      <c r="BC115" s="38" t="s">
        <v>195</v>
      </c>
      <c r="BD115" s="38" t="s">
        <v>152</v>
      </c>
      <c r="BE115" s="68">
        <v>46117.0</v>
      </c>
      <c r="BF115" s="38" t="s">
        <v>198</v>
      </c>
    </row>
    <row r="116">
      <c r="A116" s="62" t="s">
        <v>262</v>
      </c>
      <c r="B116" s="63"/>
      <c r="C116" s="62" t="s">
        <v>32</v>
      </c>
      <c r="D116" s="63"/>
      <c r="E116" s="62" t="s">
        <v>282</v>
      </c>
      <c r="F116" s="75" t="s">
        <v>33</v>
      </c>
      <c r="G116" s="63"/>
      <c r="H116" s="62" t="s">
        <v>195</v>
      </c>
      <c r="I116" s="63"/>
      <c r="J116" s="64">
        <v>46117.0</v>
      </c>
      <c r="K116" s="65">
        <v>0.5</v>
      </c>
      <c r="L116" s="64">
        <v>46117.0</v>
      </c>
      <c r="M116" s="65">
        <v>0.5833333333333334</v>
      </c>
      <c r="N116" s="65">
        <v>0.08333333333333333</v>
      </c>
      <c r="O116" s="66">
        <v>2.0</v>
      </c>
      <c r="R116" s="67"/>
      <c r="S116" s="68">
        <v>46117.0</v>
      </c>
      <c r="T116" s="38" t="str">
        <f>IFERROR(__xludf.DUMMYFUNCTION("""COMPUTED_VALUE"""),"")</f>
        <v/>
      </c>
      <c r="U116" s="38" t="s">
        <v>194</v>
      </c>
      <c r="V116" s="38" t="s">
        <v>179</v>
      </c>
      <c r="W116" s="38" t="str">
        <f>IFERROR(__xludf.DUMMYFUNCTION("""COMPUTED_VALUE"""),"CASWJ Board Hours")</f>
        <v>CASWJ Board Hours</v>
      </c>
      <c r="X116" s="38" t="s">
        <v>44</v>
      </c>
      <c r="Y116" s="38">
        <v>2.0</v>
      </c>
      <c r="Z116" s="38" t="s">
        <v>195</v>
      </c>
      <c r="AA116" s="38" t="s">
        <v>152</v>
      </c>
      <c r="AB116" s="68">
        <v>46117.0</v>
      </c>
      <c r="AC116" s="38" t="s">
        <v>32</v>
      </c>
      <c r="AP116" s="73">
        <v>46117.0</v>
      </c>
      <c r="AQ116" s="38" t="s">
        <v>179</v>
      </c>
      <c r="AR116" s="38" t="s">
        <v>194</v>
      </c>
      <c r="AS116" s="38" t="s">
        <v>179</v>
      </c>
      <c r="AT116" s="38" t="s">
        <v>32</v>
      </c>
      <c r="AU116" s="38" t="s">
        <v>44</v>
      </c>
      <c r="AV116" s="74">
        <v>0.5</v>
      </c>
      <c r="AW116" s="74">
        <v>0.5833333333333334</v>
      </c>
      <c r="AX116" s="38">
        <v>2.0</v>
      </c>
      <c r="AY116" s="38" t="s">
        <v>179</v>
      </c>
      <c r="AZ116" s="38" t="s">
        <v>179</v>
      </c>
      <c r="BA116" s="38" t="s">
        <v>179</v>
      </c>
      <c r="BB116" s="38" t="s">
        <v>179</v>
      </c>
      <c r="BC116" s="38" t="s">
        <v>195</v>
      </c>
      <c r="BD116" s="38" t="s">
        <v>152</v>
      </c>
      <c r="BE116" s="68">
        <v>46117.0</v>
      </c>
      <c r="BF116" s="38" t="s">
        <v>32</v>
      </c>
    </row>
    <row r="117">
      <c r="A117" s="62" t="s">
        <v>262</v>
      </c>
      <c r="B117" s="63"/>
      <c r="C117" s="62" t="s">
        <v>225</v>
      </c>
      <c r="D117" s="63"/>
      <c r="E117" s="62" t="s">
        <v>285</v>
      </c>
      <c r="F117" s="62" t="s">
        <v>270</v>
      </c>
      <c r="G117" s="63"/>
      <c r="H117" s="62" t="s">
        <v>224</v>
      </c>
      <c r="I117" s="63"/>
      <c r="J117" s="64">
        <v>46116.0</v>
      </c>
      <c r="K117" s="65">
        <v>0.8361111111111111</v>
      </c>
      <c r="L117" s="64">
        <v>46116.0</v>
      </c>
      <c r="M117" s="65">
        <v>0.8680555555555556</v>
      </c>
      <c r="N117" s="72">
        <v>0.03194444444444444</v>
      </c>
      <c r="O117" s="66">
        <v>0.766667</v>
      </c>
      <c r="R117" s="67"/>
      <c r="S117" s="68">
        <v>46116.0</v>
      </c>
      <c r="T117" s="38" t="str">
        <f>IFERROR(__xludf.DUMMYFUNCTION("""COMPUTED_VALUE"""),"General / No Specific Project")</f>
        <v>General / No Specific Project</v>
      </c>
      <c r="U117" s="38" t="s">
        <v>200</v>
      </c>
      <c r="V117" s="38" t="s">
        <v>33</v>
      </c>
      <c r="W117" s="38" t="str">
        <f>IFERROR(__xludf.DUMMYFUNCTION("""COMPUTED_VALUE"""),"CASWJ Board Hours")</f>
        <v>CASWJ Board Hours</v>
      </c>
      <c r="X117" s="38" t="s">
        <v>44</v>
      </c>
      <c r="Y117" s="38">
        <v>0.766667</v>
      </c>
      <c r="Z117" s="38" t="s">
        <v>224</v>
      </c>
      <c r="AA117" s="38" t="s">
        <v>152</v>
      </c>
      <c r="AB117" s="68">
        <v>46116.0</v>
      </c>
      <c r="AC117" s="38" t="s">
        <v>225</v>
      </c>
      <c r="AP117" s="73">
        <v>46116.0</v>
      </c>
      <c r="AQ117" s="38" t="s">
        <v>199</v>
      </c>
      <c r="AR117" s="38" t="s">
        <v>200</v>
      </c>
      <c r="AS117" s="38" t="s">
        <v>33</v>
      </c>
      <c r="AT117" s="38" t="s">
        <v>32</v>
      </c>
      <c r="AU117" s="38" t="s">
        <v>44</v>
      </c>
      <c r="AV117" s="74">
        <v>0.8361111111111111</v>
      </c>
      <c r="AW117" s="74">
        <v>0.8680555555555556</v>
      </c>
      <c r="AX117" s="38">
        <v>0.766667</v>
      </c>
      <c r="AY117" s="38" t="s">
        <v>179</v>
      </c>
      <c r="AZ117" s="38" t="s">
        <v>179</v>
      </c>
      <c r="BA117" s="38" t="s">
        <v>179</v>
      </c>
      <c r="BB117" s="38" t="s">
        <v>179</v>
      </c>
      <c r="BC117" s="38" t="s">
        <v>224</v>
      </c>
      <c r="BD117" s="38" t="s">
        <v>152</v>
      </c>
      <c r="BE117" s="68">
        <v>46116.0</v>
      </c>
      <c r="BF117" s="38" t="s">
        <v>225</v>
      </c>
    </row>
    <row r="118">
      <c r="A118" s="62" t="s">
        <v>262</v>
      </c>
      <c r="B118" s="63"/>
      <c r="C118" s="62" t="s">
        <v>225</v>
      </c>
      <c r="D118" s="63"/>
      <c r="E118" s="62" t="s">
        <v>285</v>
      </c>
      <c r="F118" s="62" t="s">
        <v>270</v>
      </c>
      <c r="G118" s="63"/>
      <c r="H118" s="62" t="s">
        <v>201</v>
      </c>
      <c r="I118" s="63"/>
      <c r="J118" s="64">
        <v>46116.0</v>
      </c>
      <c r="K118" s="65">
        <v>0.5</v>
      </c>
      <c r="L118" s="64">
        <v>46116.0</v>
      </c>
      <c r="M118" s="65">
        <v>0.5833333333333334</v>
      </c>
      <c r="N118" s="65">
        <v>0.08333333333333333</v>
      </c>
      <c r="O118" s="66">
        <v>2.0</v>
      </c>
      <c r="R118" s="67"/>
      <c r="S118" s="68">
        <v>46116.0</v>
      </c>
      <c r="T118" s="38" t="str">
        <f>IFERROR(__xludf.DUMMYFUNCTION("""COMPUTED_VALUE"""),"General / No Specific Project")</f>
        <v>General / No Specific Project</v>
      </c>
      <c r="U118" s="38" t="s">
        <v>200</v>
      </c>
      <c r="V118" s="38" t="s">
        <v>33</v>
      </c>
      <c r="W118" s="38" t="str">
        <f>IFERROR(__xludf.DUMMYFUNCTION("""COMPUTED_VALUE"""),"CASWJ Board Hours")</f>
        <v>CASWJ Board Hours</v>
      </c>
      <c r="X118" s="38" t="s">
        <v>44</v>
      </c>
      <c r="Y118" s="38">
        <v>2.0</v>
      </c>
      <c r="Z118" s="38" t="s">
        <v>201</v>
      </c>
      <c r="AA118" s="38" t="s">
        <v>152</v>
      </c>
      <c r="AB118" s="68">
        <v>46116.0</v>
      </c>
      <c r="AC118" s="38" t="s">
        <v>225</v>
      </c>
      <c r="AP118" s="73">
        <v>46116.0</v>
      </c>
      <c r="AQ118" s="38" t="s">
        <v>199</v>
      </c>
      <c r="AR118" s="38" t="s">
        <v>200</v>
      </c>
      <c r="AS118" s="38" t="s">
        <v>33</v>
      </c>
      <c r="AT118" s="38" t="s">
        <v>32</v>
      </c>
      <c r="AU118" s="38" t="s">
        <v>44</v>
      </c>
      <c r="AV118" s="74">
        <v>0.5</v>
      </c>
      <c r="AW118" s="74">
        <v>0.5833333333333334</v>
      </c>
      <c r="AX118" s="38">
        <v>2.0</v>
      </c>
      <c r="AY118" s="38" t="s">
        <v>179</v>
      </c>
      <c r="AZ118" s="38" t="s">
        <v>179</v>
      </c>
      <c r="BA118" s="38" t="s">
        <v>179</v>
      </c>
      <c r="BB118" s="38" t="s">
        <v>179</v>
      </c>
      <c r="BC118" s="38" t="s">
        <v>201</v>
      </c>
      <c r="BD118" s="38" t="s">
        <v>152</v>
      </c>
      <c r="BE118" s="68">
        <v>46116.0</v>
      </c>
      <c r="BF118" s="38" t="s">
        <v>225</v>
      </c>
    </row>
    <row r="119">
      <c r="A119" s="62" t="s">
        <v>262</v>
      </c>
      <c r="B119" s="63"/>
      <c r="C119" s="62" t="s">
        <v>204</v>
      </c>
      <c r="D119" s="63"/>
      <c r="E119" s="62" t="s">
        <v>186</v>
      </c>
      <c r="F119" s="75" t="s">
        <v>53</v>
      </c>
      <c r="G119" s="63"/>
      <c r="H119" s="75" t="s">
        <v>187</v>
      </c>
      <c r="I119" s="63"/>
      <c r="J119" s="64">
        <v>46116.0</v>
      </c>
      <c r="K119" s="65">
        <v>0.4263888888888889</v>
      </c>
      <c r="L119" s="64">
        <v>46116.0</v>
      </c>
      <c r="M119" s="65">
        <v>0.4583333333333333</v>
      </c>
      <c r="N119" s="72">
        <v>0.03194444444444444</v>
      </c>
      <c r="O119" s="66">
        <v>0.766667</v>
      </c>
      <c r="R119" s="67"/>
      <c r="S119" s="68">
        <v>46116.0</v>
      </c>
      <c r="T119" s="38" t="str">
        <f>IFERROR(__xludf.DUMMYFUNCTION("""COMPUTED_VALUE"""),"General - Visual Arts Society")</f>
        <v>General - Visual Arts Society</v>
      </c>
      <c r="U119" s="38" t="s">
        <v>186</v>
      </c>
      <c r="V119" s="38" t="s">
        <v>53</v>
      </c>
      <c r="W119" s="38" t="str">
        <f>IFERROR(__xludf.DUMMYFUNCTION("""COMPUTED_VALUE"""),"Committee Member Hours")</f>
        <v>Committee Member Hours</v>
      </c>
      <c r="X119" s="38" t="s">
        <v>44</v>
      </c>
      <c r="Y119" s="38">
        <v>0.766667</v>
      </c>
      <c r="Z119" s="38" t="s">
        <v>187</v>
      </c>
      <c r="AA119" s="38" t="s">
        <v>152</v>
      </c>
      <c r="AB119" s="68">
        <v>46116.0</v>
      </c>
      <c r="AC119" s="38" t="s">
        <v>204</v>
      </c>
      <c r="AP119" s="73">
        <v>46116.0</v>
      </c>
      <c r="AQ119" s="38" t="s">
        <v>185</v>
      </c>
      <c r="AR119" s="38" t="s">
        <v>186</v>
      </c>
      <c r="AS119" s="38" t="s">
        <v>53</v>
      </c>
      <c r="AT119" s="38" t="s">
        <v>42</v>
      </c>
      <c r="AU119" s="38" t="s">
        <v>44</v>
      </c>
      <c r="AV119" s="74">
        <v>0.4263888888888889</v>
      </c>
      <c r="AW119" s="74">
        <v>0.4583333333333333</v>
      </c>
      <c r="AX119" s="38">
        <v>0.766667</v>
      </c>
      <c r="AY119" s="38" t="s">
        <v>179</v>
      </c>
      <c r="AZ119" s="38" t="s">
        <v>179</v>
      </c>
      <c r="BA119" s="38" t="s">
        <v>179</v>
      </c>
      <c r="BB119" s="38" t="s">
        <v>179</v>
      </c>
      <c r="BC119" s="38" t="s">
        <v>187</v>
      </c>
      <c r="BD119" s="38" t="s">
        <v>152</v>
      </c>
      <c r="BE119" s="68">
        <v>46116.0</v>
      </c>
      <c r="BF119" s="38" t="s">
        <v>204</v>
      </c>
    </row>
    <row r="120">
      <c r="A120" s="62" t="s">
        <v>262</v>
      </c>
      <c r="B120" s="63"/>
      <c r="C120" s="62" t="s">
        <v>305</v>
      </c>
      <c r="D120" s="63"/>
      <c r="E120" s="62" t="s">
        <v>186</v>
      </c>
      <c r="F120" s="75" t="s">
        <v>53</v>
      </c>
      <c r="G120" s="63"/>
      <c r="H120" s="75" t="s">
        <v>187</v>
      </c>
      <c r="I120" s="63"/>
      <c r="J120" s="64">
        <v>46115.0</v>
      </c>
      <c r="K120" s="65">
        <v>0.9444444444444444</v>
      </c>
      <c r="L120" s="64">
        <v>46115.0</v>
      </c>
      <c r="M120" s="65">
        <v>0.9909722222222223</v>
      </c>
      <c r="N120" s="72">
        <v>0.04652777777777778</v>
      </c>
      <c r="O120" s="66">
        <v>1.116667</v>
      </c>
      <c r="R120" s="67"/>
      <c r="S120" s="68">
        <v>46115.0</v>
      </c>
      <c r="T120" s="38" t="str">
        <f>IFERROR(__xludf.DUMMYFUNCTION("""COMPUTED_VALUE"""),"General - Visual Arts Society")</f>
        <v>General - Visual Arts Society</v>
      </c>
      <c r="U120" s="38" t="s">
        <v>186</v>
      </c>
      <c r="V120" s="38" t="s">
        <v>53</v>
      </c>
      <c r="W120" s="38" t="str">
        <f>IFERROR(__xludf.DUMMYFUNCTION("""COMPUTED_VALUE"""),"Committee Member Hours")</f>
        <v>Committee Member Hours</v>
      </c>
      <c r="X120" s="38" t="s">
        <v>44</v>
      </c>
      <c r="Y120" s="38">
        <v>1.116667</v>
      </c>
      <c r="Z120" s="38" t="s">
        <v>187</v>
      </c>
      <c r="AA120" s="38" t="s">
        <v>152</v>
      </c>
      <c r="AB120" s="68">
        <v>46115.0</v>
      </c>
      <c r="AC120" s="38" t="s">
        <v>305</v>
      </c>
      <c r="AP120" s="73">
        <v>46115.0</v>
      </c>
      <c r="AQ120" s="38" t="s">
        <v>185</v>
      </c>
      <c r="AR120" s="38" t="s">
        <v>186</v>
      </c>
      <c r="AS120" s="38" t="s">
        <v>53</v>
      </c>
      <c r="AT120" s="38" t="s">
        <v>42</v>
      </c>
      <c r="AU120" s="38" t="s">
        <v>44</v>
      </c>
      <c r="AV120" s="74">
        <v>0.9444444444444444</v>
      </c>
      <c r="AW120" s="74">
        <v>0.9909722222222223</v>
      </c>
      <c r="AX120" s="38">
        <v>1.116667</v>
      </c>
      <c r="AY120" s="38" t="s">
        <v>179</v>
      </c>
      <c r="AZ120" s="38" t="s">
        <v>179</v>
      </c>
      <c r="BA120" s="38" t="s">
        <v>179</v>
      </c>
      <c r="BB120" s="38" t="s">
        <v>179</v>
      </c>
      <c r="BC120" s="38" t="s">
        <v>187</v>
      </c>
      <c r="BD120" s="38" t="s">
        <v>152</v>
      </c>
      <c r="BE120" s="68">
        <v>46115.0</v>
      </c>
      <c r="BF120" s="38" t="s">
        <v>305</v>
      </c>
    </row>
    <row r="121">
      <c r="A121" s="62" t="s">
        <v>262</v>
      </c>
      <c r="B121" s="63"/>
      <c r="C121" s="62" t="s">
        <v>230</v>
      </c>
      <c r="D121" s="63"/>
      <c r="E121" s="62" t="s">
        <v>271</v>
      </c>
      <c r="F121" s="62" t="s">
        <v>53</v>
      </c>
      <c r="G121" s="63"/>
      <c r="H121" s="62" t="s">
        <v>217</v>
      </c>
      <c r="I121" s="63"/>
      <c r="J121" s="64">
        <v>46114.0</v>
      </c>
      <c r="K121" s="65">
        <v>0.8333333333333334</v>
      </c>
      <c r="L121" s="64">
        <v>46114.0</v>
      </c>
      <c r="M121" s="65">
        <v>0.8395833333333333</v>
      </c>
      <c r="N121" s="72">
        <v>0.00625</v>
      </c>
      <c r="O121" s="66">
        <v>0.15</v>
      </c>
      <c r="R121" s="67"/>
      <c r="S121" s="68">
        <v>46114.0</v>
      </c>
      <c r="T121" s="38" t="str">
        <f>IFERROR(__xludf.DUMMYFUNCTION("""COMPUTED_VALUE"""),"General - Visual Arts Society")</f>
        <v>General - Visual Arts Society</v>
      </c>
      <c r="U121" s="38" t="s">
        <v>175</v>
      </c>
      <c r="V121" s="38" t="s">
        <v>53</v>
      </c>
      <c r="W121" s="38" t="str">
        <f>IFERROR(__xludf.DUMMYFUNCTION("""COMPUTED_VALUE"""),"Committee Member Hours")</f>
        <v>Committee Member Hours</v>
      </c>
      <c r="X121" s="38" t="s">
        <v>44</v>
      </c>
      <c r="Y121" s="38">
        <v>0.15</v>
      </c>
      <c r="Z121" s="38" t="s">
        <v>217</v>
      </c>
      <c r="AA121" s="38" t="s">
        <v>152</v>
      </c>
      <c r="AB121" s="68">
        <v>46114.0</v>
      </c>
      <c r="AC121" s="38" t="s">
        <v>230</v>
      </c>
      <c r="AP121" s="73">
        <v>46114.0</v>
      </c>
      <c r="AQ121" s="38" t="s">
        <v>185</v>
      </c>
      <c r="AR121" s="38" t="s">
        <v>175</v>
      </c>
      <c r="AS121" s="38" t="s">
        <v>53</v>
      </c>
      <c r="AT121" s="38" t="s">
        <v>42</v>
      </c>
      <c r="AU121" s="38" t="s">
        <v>44</v>
      </c>
      <c r="AV121" s="74">
        <v>0.8333333333333334</v>
      </c>
      <c r="AW121" s="74">
        <v>0.8395833333333333</v>
      </c>
      <c r="AX121" s="38">
        <v>0.15</v>
      </c>
      <c r="AY121" s="38" t="s">
        <v>179</v>
      </c>
      <c r="AZ121" s="38" t="s">
        <v>179</v>
      </c>
      <c r="BA121" s="38" t="s">
        <v>179</v>
      </c>
      <c r="BB121" s="38" t="s">
        <v>179</v>
      </c>
      <c r="BC121" s="38" t="s">
        <v>217</v>
      </c>
      <c r="BD121" s="38" t="s">
        <v>152</v>
      </c>
      <c r="BE121" s="68">
        <v>46114.0</v>
      </c>
      <c r="BF121" s="38" t="s">
        <v>230</v>
      </c>
    </row>
    <row r="122">
      <c r="A122" s="62" t="s">
        <v>262</v>
      </c>
      <c r="B122" s="63"/>
      <c r="C122" s="62" t="s">
        <v>306</v>
      </c>
      <c r="D122" s="63"/>
      <c r="E122" s="62" t="s">
        <v>186</v>
      </c>
      <c r="F122" s="75" t="s">
        <v>53</v>
      </c>
      <c r="G122" s="63"/>
      <c r="H122" s="75" t="s">
        <v>187</v>
      </c>
      <c r="I122" s="63"/>
      <c r="J122" s="64">
        <v>46114.0</v>
      </c>
      <c r="K122" s="65">
        <v>0.4673611111111111</v>
      </c>
      <c r="L122" s="64">
        <v>46114.0</v>
      </c>
      <c r="M122" s="65">
        <v>0.4826388888888889</v>
      </c>
      <c r="N122" s="65">
        <v>0.015277777777777777</v>
      </c>
      <c r="O122" s="66">
        <v>0.366667</v>
      </c>
      <c r="R122" s="67"/>
      <c r="S122" s="68">
        <v>46114.0</v>
      </c>
      <c r="T122" s="38" t="str">
        <f>IFERROR(__xludf.DUMMYFUNCTION("""COMPUTED_VALUE"""),"General - Visual Arts Society")</f>
        <v>General - Visual Arts Society</v>
      </c>
      <c r="U122" s="38" t="s">
        <v>186</v>
      </c>
      <c r="V122" s="38" t="s">
        <v>53</v>
      </c>
      <c r="W122" s="38" t="str">
        <f>IFERROR(__xludf.DUMMYFUNCTION("""COMPUTED_VALUE"""),"Committee Member Hours")</f>
        <v>Committee Member Hours</v>
      </c>
      <c r="X122" s="38" t="s">
        <v>44</v>
      </c>
      <c r="Y122" s="38">
        <v>0.366667</v>
      </c>
      <c r="Z122" s="38" t="s">
        <v>187</v>
      </c>
      <c r="AA122" s="38" t="s">
        <v>152</v>
      </c>
      <c r="AB122" s="68">
        <v>46114.0</v>
      </c>
      <c r="AC122" s="38" t="s">
        <v>306</v>
      </c>
      <c r="AP122" s="73">
        <v>46114.0</v>
      </c>
      <c r="AQ122" s="38" t="s">
        <v>185</v>
      </c>
      <c r="AR122" s="38" t="s">
        <v>186</v>
      </c>
      <c r="AS122" s="38" t="s">
        <v>53</v>
      </c>
      <c r="AT122" s="38" t="s">
        <v>42</v>
      </c>
      <c r="AU122" s="38" t="s">
        <v>44</v>
      </c>
      <c r="AV122" s="74">
        <v>0.4673611111111111</v>
      </c>
      <c r="AW122" s="74">
        <v>0.4826388888888889</v>
      </c>
      <c r="AX122" s="38">
        <v>0.366667</v>
      </c>
      <c r="AY122" s="38" t="s">
        <v>179</v>
      </c>
      <c r="AZ122" s="38" t="s">
        <v>179</v>
      </c>
      <c r="BA122" s="38" t="s">
        <v>179</v>
      </c>
      <c r="BB122" s="38" t="s">
        <v>179</v>
      </c>
      <c r="BC122" s="38" t="s">
        <v>187</v>
      </c>
      <c r="BD122" s="38" t="s">
        <v>152</v>
      </c>
      <c r="BE122" s="68">
        <v>46114.0</v>
      </c>
      <c r="BF122" s="38" t="s">
        <v>306</v>
      </c>
    </row>
    <row r="123">
      <c r="A123" s="62" t="s">
        <v>262</v>
      </c>
      <c r="B123" s="63"/>
      <c r="C123" s="62" t="s">
        <v>307</v>
      </c>
      <c r="D123" s="63"/>
      <c r="E123" s="62" t="s">
        <v>269</v>
      </c>
      <c r="F123" s="62" t="s">
        <v>65</v>
      </c>
      <c r="G123" s="63"/>
      <c r="H123" s="62" t="s">
        <v>168</v>
      </c>
      <c r="I123" s="63"/>
      <c r="J123" s="64">
        <v>46113.0</v>
      </c>
      <c r="K123" s="65">
        <v>0.8673611111111111</v>
      </c>
      <c r="L123" s="64">
        <v>46155.0</v>
      </c>
      <c r="M123" s="65">
        <v>0.49236111111111114</v>
      </c>
      <c r="N123" s="72">
        <v>41.625</v>
      </c>
      <c r="O123" s="66">
        <v>999.0</v>
      </c>
      <c r="R123" s="67"/>
      <c r="S123" s="68">
        <v>46113.0</v>
      </c>
      <c r="T123" s="38" t="str">
        <f>IFERROR(__xludf.DUMMYFUNCTION("""COMPUTED_VALUE"""),"General - West Jordan Youth Theatre")</f>
        <v>General - West Jordan Youth Theatre</v>
      </c>
      <c r="U123" s="38" t="s">
        <v>165</v>
      </c>
      <c r="V123" s="38" t="s">
        <v>65</v>
      </c>
      <c r="W123" s="38" t="str">
        <f>IFERROR(__xludf.DUMMYFUNCTION("""COMPUTED_VALUE"""),"")</f>
        <v/>
      </c>
      <c r="X123" s="38" t="s">
        <v>44</v>
      </c>
      <c r="Y123" s="38">
        <v>999.0</v>
      </c>
      <c r="Z123" s="38" t="s">
        <v>168</v>
      </c>
      <c r="AA123" s="38" t="s">
        <v>152</v>
      </c>
      <c r="AB123" s="68">
        <v>46113.0</v>
      </c>
      <c r="AC123" s="38" t="s">
        <v>307</v>
      </c>
      <c r="AP123" s="73">
        <v>46113.0</v>
      </c>
      <c r="AQ123" s="38" t="s">
        <v>164</v>
      </c>
      <c r="AR123" s="38" t="s">
        <v>165</v>
      </c>
      <c r="AS123" s="38" t="s">
        <v>65</v>
      </c>
      <c r="AT123" s="38" t="s">
        <v>179</v>
      </c>
      <c r="AU123" s="38" t="s">
        <v>44</v>
      </c>
      <c r="AV123" s="74">
        <v>0.8673611111111111</v>
      </c>
      <c r="AW123" s="74">
        <v>0.49236111111111114</v>
      </c>
      <c r="AX123" s="38">
        <v>999.0</v>
      </c>
      <c r="AY123" s="38" t="s">
        <v>179</v>
      </c>
      <c r="AZ123" s="38" t="s">
        <v>179</v>
      </c>
      <c r="BA123" s="38" t="s">
        <v>179</v>
      </c>
      <c r="BB123" s="38" t="s">
        <v>179</v>
      </c>
      <c r="BC123" s="38" t="s">
        <v>168</v>
      </c>
      <c r="BD123" s="38" t="s">
        <v>152</v>
      </c>
      <c r="BE123" s="68">
        <v>46113.0</v>
      </c>
      <c r="BF123" s="38" t="s">
        <v>307</v>
      </c>
    </row>
    <row r="124">
      <c r="A124" s="62" t="s">
        <v>262</v>
      </c>
      <c r="B124" s="63"/>
      <c r="C124" s="62" t="s">
        <v>308</v>
      </c>
      <c r="D124" s="63"/>
      <c r="E124" s="62" t="s">
        <v>313</v>
      </c>
      <c r="F124" s="75" t="s">
        <v>65</v>
      </c>
      <c r="G124" s="63"/>
      <c r="H124" s="75" t="s">
        <v>187</v>
      </c>
      <c r="I124" s="63"/>
      <c r="J124" s="64">
        <v>46113.0</v>
      </c>
      <c r="K124" s="65">
        <v>0.7916666666666666</v>
      </c>
      <c r="L124" s="64">
        <v>46113.0</v>
      </c>
      <c r="M124" s="65">
        <v>0.8333333333333334</v>
      </c>
      <c r="N124" s="72">
        <v>0.041666666666666664</v>
      </c>
      <c r="O124" s="66">
        <v>1.0</v>
      </c>
      <c r="R124" s="67"/>
      <c r="S124" s="68">
        <v>46113.0</v>
      </c>
      <c r="T124" s="38" t="str">
        <f>IFERROR(__xludf.DUMMYFUNCTION("""COMPUTED_VALUE"""),"General - West Jordan Youth Theatre")</f>
        <v>General - West Jordan Youth Theatre</v>
      </c>
      <c r="U124" s="38" t="s">
        <v>277</v>
      </c>
      <c r="V124" s="38" t="s">
        <v>65</v>
      </c>
      <c r="W124" s="38" t="str">
        <f>IFERROR(__xludf.DUMMYFUNCTION("""COMPUTED_VALUE"""),"Committee Member Hours")</f>
        <v>Committee Member Hours</v>
      </c>
      <c r="X124" s="38" t="s">
        <v>44</v>
      </c>
      <c r="Y124" s="38">
        <v>1.0</v>
      </c>
      <c r="Z124" s="38" t="s">
        <v>187</v>
      </c>
      <c r="AA124" s="38" t="s">
        <v>152</v>
      </c>
      <c r="AB124" s="68">
        <v>46113.0</v>
      </c>
      <c r="AC124" s="38" t="s">
        <v>308</v>
      </c>
      <c r="AP124" s="73">
        <v>46113.0</v>
      </c>
      <c r="AQ124" s="38" t="s">
        <v>164</v>
      </c>
      <c r="AR124" s="38" t="s">
        <v>277</v>
      </c>
      <c r="AS124" s="38" t="s">
        <v>65</v>
      </c>
      <c r="AT124" s="38" t="s">
        <v>42</v>
      </c>
      <c r="AU124" s="38" t="s">
        <v>44</v>
      </c>
      <c r="AV124" s="74">
        <v>0.7916666666666666</v>
      </c>
      <c r="AW124" s="74">
        <v>0.8333333333333334</v>
      </c>
      <c r="AX124" s="38">
        <v>1.0</v>
      </c>
      <c r="AY124" s="38" t="s">
        <v>179</v>
      </c>
      <c r="AZ124" s="38" t="s">
        <v>179</v>
      </c>
      <c r="BA124" s="38" t="s">
        <v>179</v>
      </c>
      <c r="BB124" s="38" t="s">
        <v>179</v>
      </c>
      <c r="BC124" s="38" t="s">
        <v>187</v>
      </c>
      <c r="BD124" s="38" t="s">
        <v>152</v>
      </c>
      <c r="BE124" s="68">
        <v>46113.0</v>
      </c>
      <c r="BF124" s="38" t="s">
        <v>308</v>
      </c>
    </row>
    <row r="125">
      <c r="A125" s="62" t="s">
        <v>262</v>
      </c>
      <c r="B125" s="63"/>
      <c r="C125" s="62" t="s">
        <v>307</v>
      </c>
      <c r="D125" s="63"/>
      <c r="E125" s="62" t="s">
        <v>269</v>
      </c>
      <c r="F125" s="62" t="s">
        <v>65</v>
      </c>
      <c r="G125" s="63"/>
      <c r="H125" s="62" t="s">
        <v>168</v>
      </c>
      <c r="I125" s="63"/>
      <c r="J125" s="64">
        <v>46113.0</v>
      </c>
      <c r="K125" s="65">
        <v>0.6173611111111111</v>
      </c>
      <c r="L125" s="64">
        <v>46155.0</v>
      </c>
      <c r="M125" s="65">
        <v>0.2423611111111111</v>
      </c>
      <c r="N125" s="65">
        <v>41.625</v>
      </c>
      <c r="O125" s="66">
        <v>999.0</v>
      </c>
      <c r="R125" s="67"/>
      <c r="S125" s="68">
        <v>46113.0</v>
      </c>
      <c r="T125" s="38" t="str">
        <f>IFERROR(__xludf.DUMMYFUNCTION("""COMPUTED_VALUE"""),"General - West Jordan Youth Theatre")</f>
        <v>General - West Jordan Youth Theatre</v>
      </c>
      <c r="U125" s="38" t="s">
        <v>165</v>
      </c>
      <c r="V125" s="38" t="s">
        <v>65</v>
      </c>
      <c r="W125" s="38" t="str">
        <f>IFERROR(__xludf.DUMMYFUNCTION("""COMPUTED_VALUE"""),"")</f>
        <v/>
      </c>
      <c r="X125" s="38" t="s">
        <v>44</v>
      </c>
      <c r="Y125" s="38">
        <v>999.0</v>
      </c>
      <c r="Z125" s="38" t="s">
        <v>168</v>
      </c>
      <c r="AA125" s="38" t="s">
        <v>152</v>
      </c>
      <c r="AB125" s="68">
        <v>46113.0</v>
      </c>
      <c r="AC125" s="38" t="s">
        <v>307</v>
      </c>
      <c r="AP125" s="73">
        <v>46113.0</v>
      </c>
      <c r="AQ125" s="38" t="s">
        <v>164</v>
      </c>
      <c r="AR125" s="38" t="s">
        <v>165</v>
      </c>
      <c r="AS125" s="38" t="s">
        <v>65</v>
      </c>
      <c r="AT125" s="38" t="s">
        <v>179</v>
      </c>
      <c r="AU125" s="38" t="s">
        <v>44</v>
      </c>
      <c r="AV125" s="74">
        <v>0.6173611111111111</v>
      </c>
      <c r="AW125" s="74">
        <v>0.2423611111111111</v>
      </c>
      <c r="AX125" s="38">
        <v>999.0</v>
      </c>
      <c r="AY125" s="38" t="s">
        <v>179</v>
      </c>
      <c r="AZ125" s="38" t="s">
        <v>179</v>
      </c>
      <c r="BA125" s="38" t="s">
        <v>179</v>
      </c>
      <c r="BB125" s="38" t="s">
        <v>179</v>
      </c>
      <c r="BC125" s="38" t="s">
        <v>168</v>
      </c>
      <c r="BD125" s="38" t="s">
        <v>152</v>
      </c>
      <c r="BE125" s="68">
        <v>46113.0</v>
      </c>
      <c r="BF125" s="38" t="s">
        <v>307</v>
      </c>
    </row>
    <row r="126">
      <c r="A126" s="62" t="s">
        <v>262</v>
      </c>
      <c r="B126" s="63"/>
      <c r="C126" s="62" t="s">
        <v>307</v>
      </c>
      <c r="D126" s="63"/>
      <c r="E126" s="62" t="s">
        <v>269</v>
      </c>
      <c r="F126" s="62" t="s">
        <v>65</v>
      </c>
      <c r="G126" s="63"/>
      <c r="H126" s="62" t="s">
        <v>168</v>
      </c>
      <c r="I126" s="63"/>
      <c r="J126" s="64">
        <v>46113.0</v>
      </c>
      <c r="K126" s="65">
        <v>0.49236111111111114</v>
      </c>
      <c r="L126" s="64">
        <v>46149.0</v>
      </c>
      <c r="M126" s="65">
        <v>0.32569444444444445</v>
      </c>
      <c r="N126" s="65">
        <v>35.833333333333336</v>
      </c>
      <c r="O126" s="66">
        <v>860.0</v>
      </c>
      <c r="R126" s="67"/>
      <c r="S126" s="68">
        <v>46113.0</v>
      </c>
      <c r="T126" s="38" t="str">
        <f>IFERROR(__xludf.DUMMYFUNCTION("""COMPUTED_VALUE"""),"General - West Jordan Youth Theatre")</f>
        <v>General - West Jordan Youth Theatre</v>
      </c>
      <c r="U126" s="38" t="s">
        <v>165</v>
      </c>
      <c r="V126" s="38" t="s">
        <v>65</v>
      </c>
      <c r="W126" s="38" t="str">
        <f>IFERROR(__xludf.DUMMYFUNCTION("""COMPUTED_VALUE"""),"")</f>
        <v/>
      </c>
      <c r="X126" s="38" t="s">
        <v>44</v>
      </c>
      <c r="Y126" s="38">
        <v>860.0</v>
      </c>
      <c r="Z126" s="38" t="s">
        <v>168</v>
      </c>
      <c r="AA126" s="38" t="s">
        <v>152</v>
      </c>
      <c r="AB126" s="68">
        <v>46113.0</v>
      </c>
      <c r="AC126" s="38" t="s">
        <v>307</v>
      </c>
      <c r="AP126" s="73">
        <v>46113.0</v>
      </c>
      <c r="AQ126" s="38" t="s">
        <v>164</v>
      </c>
      <c r="AR126" s="38" t="s">
        <v>165</v>
      </c>
      <c r="AS126" s="38" t="s">
        <v>65</v>
      </c>
      <c r="AT126" s="38" t="s">
        <v>179</v>
      </c>
      <c r="AU126" s="38" t="s">
        <v>44</v>
      </c>
      <c r="AV126" s="74">
        <v>0.49236111111111114</v>
      </c>
      <c r="AW126" s="74">
        <v>0.32569444444444445</v>
      </c>
      <c r="AX126" s="38">
        <v>860.0</v>
      </c>
      <c r="AY126" s="38" t="s">
        <v>179</v>
      </c>
      <c r="AZ126" s="38" t="s">
        <v>179</v>
      </c>
      <c r="BA126" s="38" t="s">
        <v>179</v>
      </c>
      <c r="BB126" s="38" t="s">
        <v>179</v>
      </c>
      <c r="BC126" s="38" t="s">
        <v>168</v>
      </c>
      <c r="BD126" s="38" t="s">
        <v>152</v>
      </c>
      <c r="BE126" s="68">
        <v>46113.0</v>
      </c>
      <c r="BF126" s="38" t="s">
        <v>307</v>
      </c>
    </row>
    <row r="127">
      <c r="A127" s="62" t="s">
        <v>262</v>
      </c>
      <c r="B127" s="63"/>
      <c r="C127" s="62" t="s">
        <v>307</v>
      </c>
      <c r="D127" s="63"/>
      <c r="E127" s="62" t="s">
        <v>269</v>
      </c>
      <c r="F127" s="62" t="s">
        <v>65</v>
      </c>
      <c r="G127" s="63"/>
      <c r="H127" s="62" t="s">
        <v>168</v>
      </c>
      <c r="I127" s="63"/>
      <c r="J127" s="64">
        <v>46113.0</v>
      </c>
      <c r="K127" s="65">
        <v>0.2423611111111111</v>
      </c>
      <c r="L127" s="64">
        <v>46154.0</v>
      </c>
      <c r="M127" s="65">
        <v>0.8673611111111111</v>
      </c>
      <c r="N127" s="65">
        <v>41.625</v>
      </c>
      <c r="O127" s="66">
        <v>999.0</v>
      </c>
      <c r="R127" s="67"/>
      <c r="S127" s="68">
        <v>46113.0</v>
      </c>
      <c r="T127" s="38" t="str">
        <f>IFERROR(__xludf.DUMMYFUNCTION("""COMPUTED_VALUE"""),"General - West Jordan Youth Theatre")</f>
        <v>General - West Jordan Youth Theatre</v>
      </c>
      <c r="U127" s="38" t="s">
        <v>165</v>
      </c>
      <c r="V127" s="38" t="s">
        <v>65</v>
      </c>
      <c r="W127" s="38" t="str">
        <f>IFERROR(__xludf.DUMMYFUNCTION("""COMPUTED_VALUE"""),"")</f>
        <v/>
      </c>
      <c r="X127" s="38" t="s">
        <v>44</v>
      </c>
      <c r="Y127" s="38">
        <v>999.0</v>
      </c>
      <c r="Z127" s="38" t="s">
        <v>168</v>
      </c>
      <c r="AA127" s="38" t="s">
        <v>152</v>
      </c>
      <c r="AB127" s="68">
        <v>46113.0</v>
      </c>
      <c r="AC127" s="38" t="s">
        <v>307</v>
      </c>
      <c r="AP127" s="73">
        <v>46113.0</v>
      </c>
      <c r="AQ127" s="38" t="s">
        <v>164</v>
      </c>
      <c r="AR127" s="38" t="s">
        <v>165</v>
      </c>
      <c r="AS127" s="38" t="s">
        <v>65</v>
      </c>
      <c r="AT127" s="38" t="s">
        <v>179</v>
      </c>
      <c r="AU127" s="38" t="s">
        <v>44</v>
      </c>
      <c r="AV127" s="74">
        <v>0.2423611111111111</v>
      </c>
      <c r="AW127" s="74">
        <v>0.8673611111111111</v>
      </c>
      <c r="AX127" s="38">
        <v>999.0</v>
      </c>
      <c r="AY127" s="38" t="s">
        <v>179</v>
      </c>
      <c r="AZ127" s="38" t="s">
        <v>179</v>
      </c>
      <c r="BA127" s="38" t="s">
        <v>179</v>
      </c>
      <c r="BB127" s="38" t="s">
        <v>179</v>
      </c>
      <c r="BC127" s="38" t="s">
        <v>168</v>
      </c>
      <c r="BD127" s="38" t="s">
        <v>152</v>
      </c>
      <c r="BE127" s="68">
        <v>46113.0</v>
      </c>
      <c r="BF127" s="38" t="s">
        <v>307</v>
      </c>
    </row>
    <row r="128">
      <c r="A128" s="62" t="s">
        <v>262</v>
      </c>
      <c r="B128" s="63"/>
      <c r="C128" s="62" t="s">
        <v>309</v>
      </c>
      <c r="D128" s="63"/>
      <c r="E128" s="62" t="s">
        <v>263</v>
      </c>
      <c r="F128" s="62" t="s">
        <v>60</v>
      </c>
      <c r="G128" s="63"/>
      <c r="H128" s="62" t="s">
        <v>151</v>
      </c>
      <c r="I128" s="63"/>
      <c r="J128" s="64">
        <v>46113.0</v>
      </c>
      <c r="K128" s="65">
        <v>0.11805555555555555</v>
      </c>
      <c r="L128" s="64">
        <v>46113.0</v>
      </c>
      <c r="M128" s="65">
        <v>0.5347222222222222</v>
      </c>
      <c r="N128" s="65">
        <v>0.4166666666666667</v>
      </c>
      <c r="O128" s="66">
        <v>10.0</v>
      </c>
      <c r="R128" s="67"/>
      <c r="S128" s="68">
        <v>46113.0</v>
      </c>
      <c r="T128" s="38" t="str">
        <f>IFERROR(__xludf.DUMMYFUNCTION("""COMPUTED_VALUE"""),"General - West Jordan Symphony")</f>
        <v>General - West Jordan Symphony</v>
      </c>
      <c r="U128" s="38" t="s">
        <v>170</v>
      </c>
      <c r="V128" s="38" t="s">
        <v>60</v>
      </c>
      <c r="W128" s="38" t="str">
        <f>IFERROR(__xludf.DUMMYFUNCTION("""COMPUTED_VALUE"""),"Committee Member Hours")</f>
        <v>Committee Member Hours</v>
      </c>
      <c r="X128" s="38" t="s">
        <v>44</v>
      </c>
      <c r="Y128" s="38">
        <v>10.0</v>
      </c>
      <c r="Z128" s="38" t="s">
        <v>151</v>
      </c>
      <c r="AA128" s="38" t="s">
        <v>152</v>
      </c>
      <c r="AB128" s="68">
        <v>46113.0</v>
      </c>
      <c r="AC128" s="38" t="s">
        <v>309</v>
      </c>
      <c r="AP128" s="73">
        <v>46113.0</v>
      </c>
      <c r="AQ128" s="38" t="s">
        <v>64</v>
      </c>
      <c r="AR128" s="38" t="s">
        <v>170</v>
      </c>
      <c r="AS128" s="38" t="s">
        <v>60</v>
      </c>
      <c r="AT128" s="38" t="s">
        <v>42</v>
      </c>
      <c r="AU128" s="38" t="s">
        <v>44</v>
      </c>
      <c r="AV128" s="74">
        <v>0.11805555555555555</v>
      </c>
      <c r="AW128" s="74">
        <v>0.5347222222222222</v>
      </c>
      <c r="AX128" s="38">
        <v>10.0</v>
      </c>
      <c r="AY128" s="38" t="s">
        <v>179</v>
      </c>
      <c r="AZ128" s="38" t="s">
        <v>179</v>
      </c>
      <c r="BA128" s="38" t="s">
        <v>179</v>
      </c>
      <c r="BB128" s="38" t="s">
        <v>179</v>
      </c>
      <c r="BC128" s="38" t="s">
        <v>151</v>
      </c>
      <c r="BD128" s="38" t="s">
        <v>152</v>
      </c>
      <c r="BE128" s="68">
        <v>46113.0</v>
      </c>
      <c r="BF128" s="38" t="s">
        <v>309</v>
      </c>
    </row>
    <row r="129">
      <c r="A129" s="62" t="s">
        <v>262</v>
      </c>
      <c r="B129" s="63"/>
      <c r="C129" s="62" t="s">
        <v>310</v>
      </c>
      <c r="D129" s="63"/>
      <c r="E129" s="62" t="s">
        <v>269</v>
      </c>
      <c r="F129" s="62" t="s">
        <v>65</v>
      </c>
      <c r="G129" s="63"/>
      <c r="H129" s="62" t="s">
        <v>168</v>
      </c>
      <c r="I129" s="63"/>
      <c r="J129" s="64">
        <v>46173.0</v>
      </c>
      <c r="K129" s="65">
        <v>0.6104166666666667</v>
      </c>
      <c r="L129" s="64">
        <v>46215.0</v>
      </c>
      <c r="M129" s="65">
        <v>0.23541666666666666</v>
      </c>
      <c r="N129" s="65">
        <v>41.625</v>
      </c>
      <c r="O129" s="66">
        <v>999.0</v>
      </c>
      <c r="R129" s="67"/>
      <c r="S129" s="68">
        <v>46173.0</v>
      </c>
      <c r="T129" s="38" t="str">
        <f>IFERROR(__xludf.DUMMYFUNCTION("""COMPUTED_VALUE"""),"General - West Jordan Youth Theatre")</f>
        <v>General - West Jordan Youth Theatre</v>
      </c>
      <c r="U129" s="38" t="s">
        <v>165</v>
      </c>
      <c r="V129" s="38" t="s">
        <v>65</v>
      </c>
      <c r="W129" s="38" t="str">
        <f>IFERROR(__xludf.DUMMYFUNCTION("""COMPUTED_VALUE"""),"")</f>
        <v/>
      </c>
      <c r="X129" s="38" t="s">
        <v>44</v>
      </c>
      <c r="Y129" s="38">
        <v>999.0</v>
      </c>
      <c r="Z129" s="38" t="s">
        <v>168</v>
      </c>
      <c r="AA129" s="38" t="s">
        <v>152</v>
      </c>
      <c r="AB129" s="68">
        <v>46173.0</v>
      </c>
      <c r="AC129" s="38" t="s">
        <v>310</v>
      </c>
      <c r="AP129" s="73">
        <v>46173.0</v>
      </c>
      <c r="AQ129" s="38" t="s">
        <v>164</v>
      </c>
      <c r="AR129" s="38" t="s">
        <v>165</v>
      </c>
      <c r="AS129" s="38" t="s">
        <v>65</v>
      </c>
      <c r="AT129" s="38" t="s">
        <v>179</v>
      </c>
      <c r="AU129" s="38" t="s">
        <v>44</v>
      </c>
      <c r="AV129" s="74">
        <v>0.6104166666666667</v>
      </c>
      <c r="AW129" s="74">
        <v>0.23541666666666666</v>
      </c>
      <c r="AX129" s="38">
        <v>999.0</v>
      </c>
      <c r="AY129" s="38" t="s">
        <v>179</v>
      </c>
      <c r="AZ129" s="38" t="s">
        <v>179</v>
      </c>
      <c r="BA129" s="38" t="s">
        <v>179</v>
      </c>
      <c r="BB129" s="38" t="s">
        <v>179</v>
      </c>
      <c r="BC129" s="38" t="s">
        <v>168</v>
      </c>
      <c r="BD129" s="38" t="s">
        <v>152</v>
      </c>
      <c r="BE129" s="68">
        <v>46173.0</v>
      </c>
      <c r="BF129" s="38" t="s">
        <v>310</v>
      </c>
    </row>
    <row r="130">
      <c r="A130" s="62" t="s">
        <v>262</v>
      </c>
      <c r="B130" s="63"/>
      <c r="C130" s="62" t="s">
        <v>311</v>
      </c>
      <c r="D130" s="63"/>
      <c r="E130" s="62" t="s">
        <v>269</v>
      </c>
      <c r="F130" s="62" t="s">
        <v>65</v>
      </c>
      <c r="G130" s="63"/>
      <c r="H130" s="62" t="s">
        <v>168</v>
      </c>
      <c r="I130" s="63"/>
      <c r="J130" s="64">
        <v>46173.0</v>
      </c>
      <c r="K130" s="65">
        <v>0.23541666666666666</v>
      </c>
      <c r="L130" s="64">
        <v>46185.0</v>
      </c>
      <c r="M130" s="65">
        <v>0.5270833333333333</v>
      </c>
      <c r="N130" s="65">
        <v>12.291666666666666</v>
      </c>
      <c r="O130" s="66">
        <v>295.0</v>
      </c>
      <c r="R130" s="67"/>
      <c r="S130" s="68">
        <v>46173.0</v>
      </c>
      <c r="T130" s="38" t="str">
        <f>IFERROR(__xludf.DUMMYFUNCTION("""COMPUTED_VALUE"""),"General - West Jordan Youth Theatre")</f>
        <v>General - West Jordan Youth Theatre</v>
      </c>
      <c r="U130" s="38" t="s">
        <v>165</v>
      </c>
      <c r="V130" s="38" t="s">
        <v>65</v>
      </c>
      <c r="W130" s="38" t="str">
        <f>IFERROR(__xludf.DUMMYFUNCTION("""COMPUTED_VALUE"""),"")</f>
        <v/>
      </c>
      <c r="X130" s="38" t="s">
        <v>44</v>
      </c>
      <c r="Y130" s="38">
        <v>295.0</v>
      </c>
      <c r="Z130" s="38" t="s">
        <v>168</v>
      </c>
      <c r="AA130" s="38" t="s">
        <v>152</v>
      </c>
      <c r="AB130" s="68">
        <v>46173.0</v>
      </c>
      <c r="AC130" s="38" t="s">
        <v>311</v>
      </c>
      <c r="AP130" s="73">
        <v>46173.0</v>
      </c>
      <c r="AQ130" s="38" t="s">
        <v>164</v>
      </c>
      <c r="AR130" s="38" t="s">
        <v>165</v>
      </c>
      <c r="AS130" s="38" t="s">
        <v>65</v>
      </c>
      <c r="AT130" s="38" t="s">
        <v>179</v>
      </c>
      <c r="AU130" s="38" t="s">
        <v>44</v>
      </c>
      <c r="AV130" s="74">
        <v>0.23541666666666666</v>
      </c>
      <c r="AW130" s="74">
        <v>0.5270833333333333</v>
      </c>
      <c r="AX130" s="38">
        <v>295.0</v>
      </c>
      <c r="AY130" s="38" t="s">
        <v>179</v>
      </c>
      <c r="AZ130" s="38" t="s">
        <v>179</v>
      </c>
      <c r="BA130" s="38" t="s">
        <v>179</v>
      </c>
      <c r="BB130" s="38" t="s">
        <v>179</v>
      </c>
      <c r="BC130" s="38" t="s">
        <v>168</v>
      </c>
      <c r="BD130" s="38" t="s">
        <v>152</v>
      </c>
      <c r="BE130" s="68">
        <v>46173.0</v>
      </c>
      <c r="BF130" s="38" t="s">
        <v>311</v>
      </c>
    </row>
    <row r="131">
      <c r="A131" s="62" t="s">
        <v>262</v>
      </c>
      <c r="B131" s="63"/>
      <c r="C131" s="62" t="s">
        <v>184</v>
      </c>
      <c r="D131" s="63"/>
      <c r="E131" s="62" t="s">
        <v>263</v>
      </c>
      <c r="F131" s="62" t="s">
        <v>60</v>
      </c>
      <c r="G131" s="63"/>
      <c r="H131" s="62" t="s">
        <v>172</v>
      </c>
      <c r="I131" s="63"/>
      <c r="J131" s="64">
        <v>46172.0</v>
      </c>
      <c r="K131" s="65">
        <v>0.6666666666666666</v>
      </c>
      <c r="L131" s="64">
        <v>46179.0</v>
      </c>
      <c r="M131" s="65">
        <v>0.5416666666666666</v>
      </c>
      <c r="N131" s="65">
        <v>6.875</v>
      </c>
      <c r="O131" s="66">
        <v>165.0</v>
      </c>
      <c r="R131" s="67"/>
      <c r="S131" s="68">
        <v>46172.0</v>
      </c>
      <c r="T131" s="38" t="str">
        <f>IFERROR(__xludf.DUMMYFUNCTION("""COMPUTED_VALUE"""),"General - West Jordan Symphony")</f>
        <v>General - West Jordan Symphony</v>
      </c>
      <c r="U131" s="38" t="s">
        <v>170</v>
      </c>
      <c r="V131" s="38" t="s">
        <v>60</v>
      </c>
      <c r="W131" s="38" t="str">
        <f>IFERROR(__xludf.DUMMYFUNCTION("""COMPUTED_VALUE"""),"Participant Hours")</f>
        <v>Participant Hours</v>
      </c>
      <c r="X131" s="38" t="s">
        <v>44</v>
      </c>
      <c r="Y131" s="38">
        <v>165.0</v>
      </c>
      <c r="Z131" s="38" t="s">
        <v>172</v>
      </c>
      <c r="AA131" s="38" t="s">
        <v>152</v>
      </c>
      <c r="AB131" s="68">
        <v>46172.0</v>
      </c>
      <c r="AC131" s="38" t="s">
        <v>184</v>
      </c>
      <c r="AP131" s="73">
        <v>46172.0</v>
      </c>
      <c r="AQ131" s="38" t="s">
        <v>64</v>
      </c>
      <c r="AR131" s="38" t="s">
        <v>170</v>
      </c>
      <c r="AS131" s="38" t="s">
        <v>60</v>
      </c>
      <c r="AT131" s="38" t="s">
        <v>48</v>
      </c>
      <c r="AU131" s="38" t="s">
        <v>44</v>
      </c>
      <c r="AV131" s="74">
        <v>0.6666666666666666</v>
      </c>
      <c r="AW131" s="74">
        <v>0.5416666666666666</v>
      </c>
      <c r="AX131" s="38">
        <v>165.0</v>
      </c>
      <c r="AY131" s="38" t="s">
        <v>179</v>
      </c>
      <c r="AZ131" s="38" t="s">
        <v>179</v>
      </c>
      <c r="BA131" s="38" t="s">
        <v>179</v>
      </c>
      <c r="BB131" s="38" t="s">
        <v>179</v>
      </c>
      <c r="BC131" s="38" t="s">
        <v>172</v>
      </c>
      <c r="BD131" s="38" t="s">
        <v>152</v>
      </c>
      <c r="BE131" s="68">
        <v>46172.0</v>
      </c>
      <c r="BF131" s="38" t="s">
        <v>184</v>
      </c>
    </row>
    <row r="132">
      <c r="A132" s="62" t="s">
        <v>262</v>
      </c>
      <c r="B132" s="63"/>
      <c r="C132" s="62" t="s">
        <v>173</v>
      </c>
      <c r="D132" s="63"/>
      <c r="E132" s="62" t="s">
        <v>263</v>
      </c>
      <c r="F132" s="62" t="s">
        <v>60</v>
      </c>
      <c r="G132" s="63"/>
      <c r="H132" s="62" t="s">
        <v>172</v>
      </c>
      <c r="I132" s="63"/>
      <c r="J132" s="64">
        <v>46172.0</v>
      </c>
      <c r="K132" s="65">
        <v>0.375</v>
      </c>
      <c r="L132" s="64">
        <v>46177.0</v>
      </c>
      <c r="M132" s="65">
        <v>0.4791666666666667</v>
      </c>
      <c r="N132" s="72">
        <v>5.104166666666667</v>
      </c>
      <c r="O132" s="66">
        <v>122.5</v>
      </c>
      <c r="R132" s="67"/>
      <c r="S132" s="68">
        <v>46172.0</v>
      </c>
      <c r="T132" s="38" t="str">
        <f>IFERROR(__xludf.DUMMYFUNCTION("""COMPUTED_VALUE"""),"General - West Jordan Symphony")</f>
        <v>General - West Jordan Symphony</v>
      </c>
      <c r="U132" s="38" t="s">
        <v>170</v>
      </c>
      <c r="V132" s="38" t="s">
        <v>60</v>
      </c>
      <c r="W132" s="38" t="str">
        <f>IFERROR(__xludf.DUMMYFUNCTION("""COMPUTED_VALUE"""),"Participant Hours")</f>
        <v>Participant Hours</v>
      </c>
      <c r="X132" s="38" t="s">
        <v>44</v>
      </c>
      <c r="Y132" s="38">
        <v>122.5</v>
      </c>
      <c r="Z132" s="38" t="s">
        <v>172</v>
      </c>
      <c r="AA132" s="38" t="s">
        <v>152</v>
      </c>
      <c r="AB132" s="68">
        <v>46172.0</v>
      </c>
      <c r="AC132" s="38" t="s">
        <v>173</v>
      </c>
      <c r="AP132" s="73">
        <v>46172.0</v>
      </c>
      <c r="AQ132" s="38" t="s">
        <v>64</v>
      </c>
      <c r="AR132" s="38" t="s">
        <v>170</v>
      </c>
      <c r="AS132" s="38" t="s">
        <v>60</v>
      </c>
      <c r="AT132" s="38" t="s">
        <v>48</v>
      </c>
      <c r="AU132" s="38" t="s">
        <v>44</v>
      </c>
      <c r="AV132" s="74">
        <v>0.375</v>
      </c>
      <c r="AW132" s="74">
        <v>0.4791666666666667</v>
      </c>
      <c r="AX132" s="38">
        <v>122.5</v>
      </c>
      <c r="AY132" s="38" t="s">
        <v>179</v>
      </c>
      <c r="AZ132" s="38" t="s">
        <v>179</v>
      </c>
      <c r="BA132" s="38" t="s">
        <v>179</v>
      </c>
      <c r="BB132" s="38" t="s">
        <v>179</v>
      </c>
      <c r="BC132" s="38" t="s">
        <v>172</v>
      </c>
      <c r="BD132" s="38" t="s">
        <v>152</v>
      </c>
      <c r="BE132" s="68">
        <v>46172.0</v>
      </c>
      <c r="BF132" s="38" t="s">
        <v>173</v>
      </c>
    </row>
    <row r="133">
      <c r="A133" s="62" t="s">
        <v>262</v>
      </c>
      <c r="B133" s="63"/>
      <c r="C133" s="62" t="s">
        <v>225</v>
      </c>
      <c r="D133" s="63"/>
      <c r="E133" s="62" t="s">
        <v>285</v>
      </c>
      <c r="F133" s="62" t="s">
        <v>270</v>
      </c>
      <c r="G133" s="63"/>
      <c r="H133" s="62" t="s">
        <v>224</v>
      </c>
      <c r="I133" s="63"/>
      <c r="J133" s="64">
        <v>46168.0</v>
      </c>
      <c r="K133" s="65">
        <v>0.4618055555555556</v>
      </c>
      <c r="L133" s="64">
        <v>46168.0</v>
      </c>
      <c r="M133" s="65">
        <v>0.4826388888888889</v>
      </c>
      <c r="N133" s="65">
        <v>0.020833333333333332</v>
      </c>
      <c r="O133" s="66">
        <v>0.5</v>
      </c>
      <c r="R133" s="67"/>
      <c r="S133" s="68">
        <v>46168.0</v>
      </c>
      <c r="T133" s="38" t="str">
        <f>IFERROR(__xludf.DUMMYFUNCTION("""COMPUTED_VALUE"""),"General / No Specific Project")</f>
        <v>General / No Specific Project</v>
      </c>
      <c r="U133" s="38" t="s">
        <v>200</v>
      </c>
      <c r="V133" s="38" t="s">
        <v>33</v>
      </c>
      <c r="W133" s="38" t="str">
        <f>IFERROR(__xludf.DUMMYFUNCTION("""COMPUTED_VALUE"""),"CASWJ Board Hours")</f>
        <v>CASWJ Board Hours</v>
      </c>
      <c r="X133" s="38" t="s">
        <v>44</v>
      </c>
      <c r="Y133" s="38">
        <v>0.5</v>
      </c>
      <c r="Z133" s="38" t="s">
        <v>224</v>
      </c>
      <c r="AA133" s="38" t="s">
        <v>152</v>
      </c>
      <c r="AB133" s="68">
        <v>46168.0</v>
      </c>
      <c r="AC133" s="38" t="s">
        <v>225</v>
      </c>
      <c r="AP133" s="73">
        <v>46168.0</v>
      </c>
      <c r="AQ133" s="38" t="s">
        <v>199</v>
      </c>
      <c r="AR133" s="38" t="s">
        <v>200</v>
      </c>
      <c r="AS133" s="38" t="s">
        <v>33</v>
      </c>
      <c r="AT133" s="38" t="s">
        <v>32</v>
      </c>
      <c r="AU133" s="38" t="s">
        <v>44</v>
      </c>
      <c r="AV133" s="74">
        <v>0.4618055555555556</v>
      </c>
      <c r="AW133" s="74">
        <v>0.4826388888888889</v>
      </c>
      <c r="AX133" s="38">
        <v>0.5</v>
      </c>
      <c r="AY133" s="38" t="s">
        <v>179</v>
      </c>
      <c r="AZ133" s="38" t="s">
        <v>179</v>
      </c>
      <c r="BA133" s="38" t="s">
        <v>179</v>
      </c>
      <c r="BB133" s="38" t="s">
        <v>179</v>
      </c>
      <c r="BC133" s="38" t="s">
        <v>224</v>
      </c>
      <c r="BD133" s="38" t="s">
        <v>152</v>
      </c>
      <c r="BE133" s="68">
        <v>46168.0</v>
      </c>
      <c r="BF133" s="38" t="s">
        <v>225</v>
      </c>
    </row>
    <row r="134">
      <c r="A134" s="62" t="s">
        <v>262</v>
      </c>
      <c r="B134" s="63"/>
      <c r="C134" s="62" t="s">
        <v>173</v>
      </c>
      <c r="D134" s="63"/>
      <c r="E134" s="62" t="s">
        <v>263</v>
      </c>
      <c r="F134" s="62" t="s">
        <v>60</v>
      </c>
      <c r="G134" s="63"/>
      <c r="H134" s="62" t="s">
        <v>172</v>
      </c>
      <c r="I134" s="63"/>
      <c r="J134" s="64">
        <v>46165.0</v>
      </c>
      <c r="K134" s="65">
        <v>0.375</v>
      </c>
      <c r="L134" s="64">
        <v>46171.0</v>
      </c>
      <c r="M134" s="65">
        <v>0.9513888888888888</v>
      </c>
      <c r="N134" s="65">
        <v>6.576388888888889</v>
      </c>
      <c r="O134" s="66">
        <v>157.833333</v>
      </c>
      <c r="R134" s="67"/>
      <c r="S134" s="68">
        <v>46165.0</v>
      </c>
      <c r="T134" s="38" t="str">
        <f>IFERROR(__xludf.DUMMYFUNCTION("""COMPUTED_VALUE"""),"General - West Jordan Symphony")</f>
        <v>General - West Jordan Symphony</v>
      </c>
      <c r="U134" s="38" t="s">
        <v>170</v>
      </c>
      <c r="V134" s="38" t="s">
        <v>60</v>
      </c>
      <c r="W134" s="38" t="str">
        <f>IFERROR(__xludf.DUMMYFUNCTION("""COMPUTED_VALUE"""),"Participant Hours")</f>
        <v>Participant Hours</v>
      </c>
      <c r="X134" s="38" t="s">
        <v>44</v>
      </c>
      <c r="Y134" s="38">
        <v>157.833333</v>
      </c>
      <c r="Z134" s="38" t="s">
        <v>172</v>
      </c>
      <c r="AA134" s="38" t="s">
        <v>152</v>
      </c>
      <c r="AB134" s="68">
        <v>46165.0</v>
      </c>
      <c r="AC134" s="38" t="s">
        <v>173</v>
      </c>
      <c r="AP134" s="73">
        <v>46165.0</v>
      </c>
      <c r="AQ134" s="38" t="s">
        <v>64</v>
      </c>
      <c r="AR134" s="38" t="s">
        <v>170</v>
      </c>
      <c r="AS134" s="38" t="s">
        <v>60</v>
      </c>
      <c r="AT134" s="38" t="s">
        <v>48</v>
      </c>
      <c r="AU134" s="38" t="s">
        <v>44</v>
      </c>
      <c r="AV134" s="74">
        <v>0.375</v>
      </c>
      <c r="AW134" s="74">
        <v>0.9513888888888888</v>
      </c>
      <c r="AX134" s="38">
        <v>157.833333</v>
      </c>
      <c r="AY134" s="38" t="s">
        <v>179</v>
      </c>
      <c r="AZ134" s="38" t="s">
        <v>179</v>
      </c>
      <c r="BA134" s="38" t="s">
        <v>179</v>
      </c>
      <c r="BB134" s="38" t="s">
        <v>179</v>
      </c>
      <c r="BC134" s="38" t="s">
        <v>172</v>
      </c>
      <c r="BD134" s="38" t="s">
        <v>152</v>
      </c>
      <c r="BE134" s="68">
        <v>46165.0</v>
      </c>
      <c r="BF134" s="38" t="s">
        <v>173</v>
      </c>
    </row>
    <row r="135">
      <c r="A135" s="62" t="s">
        <v>262</v>
      </c>
      <c r="B135" s="63"/>
      <c r="C135" s="62" t="s">
        <v>225</v>
      </c>
      <c r="D135" s="63"/>
      <c r="E135" s="62" t="s">
        <v>285</v>
      </c>
      <c r="F135" s="62" t="s">
        <v>270</v>
      </c>
      <c r="G135" s="63"/>
      <c r="H135" s="62" t="s">
        <v>224</v>
      </c>
      <c r="I135" s="63"/>
      <c r="J135" s="64">
        <v>46162.0</v>
      </c>
      <c r="K135" s="65">
        <v>0.9472222222222222</v>
      </c>
      <c r="L135" s="64">
        <v>46163.0</v>
      </c>
      <c r="M135" s="65">
        <v>0.009722222222222222</v>
      </c>
      <c r="N135" s="65">
        <v>0.0625</v>
      </c>
      <c r="O135" s="66">
        <v>1.5</v>
      </c>
      <c r="R135" s="67"/>
      <c r="S135" s="68">
        <v>46162.0</v>
      </c>
      <c r="T135" s="38" t="str">
        <f>IFERROR(__xludf.DUMMYFUNCTION("""COMPUTED_VALUE"""),"General / No Specific Project")</f>
        <v>General / No Specific Project</v>
      </c>
      <c r="U135" s="38" t="s">
        <v>200</v>
      </c>
      <c r="V135" s="38" t="s">
        <v>33</v>
      </c>
      <c r="W135" s="38" t="str">
        <f>IFERROR(__xludf.DUMMYFUNCTION("""COMPUTED_VALUE"""),"CASWJ Board Hours")</f>
        <v>CASWJ Board Hours</v>
      </c>
      <c r="X135" s="38" t="s">
        <v>44</v>
      </c>
      <c r="Y135" s="38">
        <v>1.5</v>
      </c>
      <c r="Z135" s="38" t="s">
        <v>224</v>
      </c>
      <c r="AA135" s="38" t="s">
        <v>152</v>
      </c>
      <c r="AB135" s="68">
        <v>46162.0</v>
      </c>
      <c r="AC135" s="38" t="s">
        <v>225</v>
      </c>
      <c r="AP135" s="73">
        <v>46162.0</v>
      </c>
      <c r="AQ135" s="38" t="s">
        <v>199</v>
      </c>
      <c r="AR135" s="38" t="s">
        <v>200</v>
      </c>
      <c r="AS135" s="38" t="s">
        <v>33</v>
      </c>
      <c r="AT135" s="38" t="s">
        <v>32</v>
      </c>
      <c r="AU135" s="38" t="s">
        <v>44</v>
      </c>
      <c r="AV135" s="74">
        <v>0.9472222222222222</v>
      </c>
      <c r="AW135" s="74">
        <v>0.009722222222222222</v>
      </c>
      <c r="AX135" s="38">
        <v>1.5</v>
      </c>
      <c r="AY135" s="38" t="s">
        <v>179</v>
      </c>
      <c r="AZ135" s="38" t="s">
        <v>179</v>
      </c>
      <c r="BA135" s="38" t="s">
        <v>179</v>
      </c>
      <c r="BB135" s="38" t="s">
        <v>179</v>
      </c>
      <c r="BC135" s="38" t="s">
        <v>224</v>
      </c>
      <c r="BD135" s="38" t="s">
        <v>152</v>
      </c>
      <c r="BE135" s="68">
        <v>46162.0</v>
      </c>
      <c r="BF135" s="38" t="s">
        <v>225</v>
      </c>
    </row>
    <row r="136">
      <c r="A136" s="62" t="s">
        <v>262</v>
      </c>
      <c r="B136" s="63"/>
      <c r="C136" s="62" t="s">
        <v>225</v>
      </c>
      <c r="D136" s="63"/>
      <c r="E136" s="62" t="s">
        <v>285</v>
      </c>
      <c r="F136" s="62" t="s">
        <v>270</v>
      </c>
      <c r="G136" s="63"/>
      <c r="H136" s="62" t="s">
        <v>224</v>
      </c>
      <c r="I136" s="63"/>
      <c r="J136" s="64">
        <v>46160.0</v>
      </c>
      <c r="K136" s="65">
        <v>0.9409722222222222</v>
      </c>
      <c r="L136" s="64">
        <v>46160.0</v>
      </c>
      <c r="M136" s="65">
        <v>0.9548611111111112</v>
      </c>
      <c r="N136" s="65">
        <v>0.013888888888888888</v>
      </c>
      <c r="O136" s="66">
        <v>0.333333</v>
      </c>
      <c r="R136" s="67"/>
      <c r="S136" s="68">
        <v>46160.0</v>
      </c>
      <c r="T136" s="38" t="str">
        <f>IFERROR(__xludf.DUMMYFUNCTION("""COMPUTED_VALUE"""),"General / No Specific Project")</f>
        <v>General / No Specific Project</v>
      </c>
      <c r="U136" s="38" t="s">
        <v>200</v>
      </c>
      <c r="V136" s="38" t="s">
        <v>33</v>
      </c>
      <c r="W136" s="38" t="str">
        <f>IFERROR(__xludf.DUMMYFUNCTION("""COMPUTED_VALUE"""),"CASWJ Board Hours")</f>
        <v>CASWJ Board Hours</v>
      </c>
      <c r="X136" s="38" t="s">
        <v>44</v>
      </c>
      <c r="Y136" s="38">
        <v>0.333333</v>
      </c>
      <c r="Z136" s="38" t="s">
        <v>224</v>
      </c>
      <c r="AA136" s="38" t="s">
        <v>152</v>
      </c>
      <c r="AB136" s="68">
        <v>46160.0</v>
      </c>
      <c r="AC136" s="38" t="s">
        <v>225</v>
      </c>
      <c r="AP136" s="73">
        <v>46160.0</v>
      </c>
      <c r="AQ136" s="38" t="s">
        <v>199</v>
      </c>
      <c r="AR136" s="38" t="s">
        <v>200</v>
      </c>
      <c r="AS136" s="38" t="s">
        <v>33</v>
      </c>
      <c r="AT136" s="38" t="s">
        <v>32</v>
      </c>
      <c r="AU136" s="38" t="s">
        <v>44</v>
      </c>
      <c r="AV136" s="74">
        <v>0.9409722222222222</v>
      </c>
      <c r="AW136" s="74">
        <v>0.9548611111111112</v>
      </c>
      <c r="AX136" s="38">
        <v>0.333333</v>
      </c>
      <c r="AY136" s="38" t="s">
        <v>179</v>
      </c>
      <c r="AZ136" s="38" t="s">
        <v>179</v>
      </c>
      <c r="BA136" s="38" t="s">
        <v>179</v>
      </c>
      <c r="BB136" s="38" t="s">
        <v>179</v>
      </c>
      <c r="BC136" s="38" t="s">
        <v>224</v>
      </c>
      <c r="BD136" s="38" t="s">
        <v>152</v>
      </c>
      <c r="BE136" s="68">
        <v>46160.0</v>
      </c>
      <c r="BF136" s="38" t="s">
        <v>225</v>
      </c>
    </row>
    <row r="137">
      <c r="A137" s="62" t="s">
        <v>262</v>
      </c>
      <c r="B137" s="63"/>
      <c r="C137" s="62" t="s">
        <v>173</v>
      </c>
      <c r="D137" s="63"/>
      <c r="E137" s="62" t="s">
        <v>263</v>
      </c>
      <c r="F137" s="62" t="s">
        <v>60</v>
      </c>
      <c r="G137" s="63"/>
      <c r="H137" s="62" t="s">
        <v>172</v>
      </c>
      <c r="I137" s="63"/>
      <c r="J137" s="64">
        <v>46158.0</v>
      </c>
      <c r="K137" s="65">
        <v>0.375</v>
      </c>
      <c r="L137" s="64">
        <v>46163.0</v>
      </c>
      <c r="M137" s="65">
        <v>0.375</v>
      </c>
      <c r="N137" s="65">
        <v>5.0</v>
      </c>
      <c r="O137" s="66">
        <v>120.0</v>
      </c>
      <c r="R137" s="67"/>
      <c r="S137" s="68">
        <v>46158.0</v>
      </c>
      <c r="T137" s="38" t="str">
        <f>IFERROR(__xludf.DUMMYFUNCTION("""COMPUTED_VALUE"""),"General - West Jordan Symphony")</f>
        <v>General - West Jordan Symphony</v>
      </c>
      <c r="U137" s="38" t="s">
        <v>170</v>
      </c>
      <c r="V137" s="38" t="s">
        <v>60</v>
      </c>
      <c r="W137" s="38" t="str">
        <f>IFERROR(__xludf.DUMMYFUNCTION("""COMPUTED_VALUE"""),"Participant Hours")</f>
        <v>Participant Hours</v>
      </c>
      <c r="X137" s="38" t="s">
        <v>44</v>
      </c>
      <c r="Y137" s="38">
        <v>120.0</v>
      </c>
      <c r="Z137" s="38" t="s">
        <v>172</v>
      </c>
      <c r="AA137" s="38" t="s">
        <v>152</v>
      </c>
      <c r="AB137" s="68">
        <v>46158.0</v>
      </c>
      <c r="AC137" s="38" t="s">
        <v>173</v>
      </c>
      <c r="AP137" s="73">
        <v>46158.0</v>
      </c>
      <c r="AQ137" s="38" t="s">
        <v>64</v>
      </c>
      <c r="AR137" s="38" t="s">
        <v>170</v>
      </c>
      <c r="AS137" s="38" t="s">
        <v>60</v>
      </c>
      <c r="AT137" s="38" t="s">
        <v>48</v>
      </c>
      <c r="AU137" s="38" t="s">
        <v>44</v>
      </c>
      <c r="AV137" s="74">
        <v>0.375</v>
      </c>
      <c r="AW137" s="74">
        <v>0.375</v>
      </c>
      <c r="AX137" s="38">
        <v>120.0</v>
      </c>
      <c r="AY137" s="38" t="s">
        <v>179</v>
      </c>
      <c r="AZ137" s="38" t="s">
        <v>179</v>
      </c>
      <c r="BA137" s="38" t="s">
        <v>179</v>
      </c>
      <c r="BB137" s="38" t="s">
        <v>179</v>
      </c>
      <c r="BC137" s="38" t="s">
        <v>172</v>
      </c>
      <c r="BD137" s="38" t="s">
        <v>152</v>
      </c>
      <c r="BE137" s="68">
        <v>46158.0</v>
      </c>
      <c r="BF137" s="38" t="s">
        <v>173</v>
      </c>
    </row>
    <row r="138">
      <c r="A138" s="62" t="s">
        <v>262</v>
      </c>
      <c r="B138" s="63"/>
      <c r="C138" s="62" t="s">
        <v>225</v>
      </c>
      <c r="D138" s="63"/>
      <c r="E138" s="62" t="s">
        <v>285</v>
      </c>
      <c r="F138" s="62" t="s">
        <v>270</v>
      </c>
      <c r="G138" s="63"/>
      <c r="H138" s="62" t="s">
        <v>224</v>
      </c>
      <c r="I138" s="63"/>
      <c r="J138" s="64">
        <v>46153.0</v>
      </c>
      <c r="K138" s="65">
        <v>0.3715277777777778</v>
      </c>
      <c r="L138" s="64">
        <v>46153.0</v>
      </c>
      <c r="M138" s="65">
        <v>0.3854166666666667</v>
      </c>
      <c r="N138" s="72">
        <v>0.013888888888888888</v>
      </c>
      <c r="O138" s="66">
        <v>0.333333</v>
      </c>
      <c r="R138" s="67"/>
      <c r="S138" s="68">
        <v>46153.0</v>
      </c>
      <c r="T138" s="38" t="str">
        <f>IFERROR(__xludf.DUMMYFUNCTION("""COMPUTED_VALUE"""),"General / No Specific Project")</f>
        <v>General / No Specific Project</v>
      </c>
      <c r="U138" s="38" t="s">
        <v>200</v>
      </c>
      <c r="V138" s="38" t="s">
        <v>33</v>
      </c>
      <c r="W138" s="38" t="str">
        <f>IFERROR(__xludf.DUMMYFUNCTION("""COMPUTED_VALUE"""),"CASWJ Board Hours")</f>
        <v>CASWJ Board Hours</v>
      </c>
      <c r="X138" s="38" t="s">
        <v>44</v>
      </c>
      <c r="Y138" s="38">
        <v>0.333333</v>
      </c>
      <c r="Z138" s="38" t="s">
        <v>224</v>
      </c>
      <c r="AA138" s="38" t="s">
        <v>152</v>
      </c>
      <c r="AB138" s="68">
        <v>46153.0</v>
      </c>
      <c r="AC138" s="38" t="s">
        <v>225</v>
      </c>
      <c r="AP138" s="73">
        <v>46153.0</v>
      </c>
      <c r="AQ138" s="38" t="s">
        <v>199</v>
      </c>
      <c r="AR138" s="38" t="s">
        <v>200</v>
      </c>
      <c r="AS138" s="38" t="s">
        <v>33</v>
      </c>
      <c r="AT138" s="38" t="s">
        <v>32</v>
      </c>
      <c r="AU138" s="38" t="s">
        <v>44</v>
      </c>
      <c r="AV138" s="74">
        <v>0.3715277777777778</v>
      </c>
      <c r="AW138" s="74">
        <v>0.3854166666666667</v>
      </c>
      <c r="AX138" s="38">
        <v>0.333333</v>
      </c>
      <c r="AY138" s="38" t="s">
        <v>179</v>
      </c>
      <c r="AZ138" s="38" t="s">
        <v>179</v>
      </c>
      <c r="BA138" s="38" t="s">
        <v>179</v>
      </c>
      <c r="BB138" s="38" t="s">
        <v>179</v>
      </c>
      <c r="BC138" s="38" t="s">
        <v>224</v>
      </c>
      <c r="BD138" s="38" t="s">
        <v>152</v>
      </c>
      <c r="BE138" s="68">
        <v>46153.0</v>
      </c>
      <c r="BF138" s="38" t="s">
        <v>225</v>
      </c>
    </row>
    <row r="139">
      <c r="A139" s="62" t="s">
        <v>262</v>
      </c>
      <c r="B139" s="63"/>
      <c r="C139" s="62" t="s">
        <v>173</v>
      </c>
      <c r="D139" s="63"/>
      <c r="E139" s="62" t="s">
        <v>263</v>
      </c>
      <c r="F139" s="62" t="s">
        <v>60</v>
      </c>
      <c r="G139" s="63"/>
      <c r="H139" s="62" t="s">
        <v>172</v>
      </c>
      <c r="I139" s="63"/>
      <c r="J139" s="64">
        <v>46151.0</v>
      </c>
      <c r="K139" s="65">
        <v>0.375</v>
      </c>
      <c r="L139" s="64">
        <v>46156.0</v>
      </c>
      <c r="M139" s="65">
        <v>0.4930555555555556</v>
      </c>
      <c r="N139" s="65">
        <v>5.118055555555555</v>
      </c>
      <c r="O139" s="66">
        <v>122.833333</v>
      </c>
      <c r="R139" s="67"/>
      <c r="S139" s="68">
        <v>46151.0</v>
      </c>
      <c r="T139" s="38" t="str">
        <f>IFERROR(__xludf.DUMMYFUNCTION("""COMPUTED_VALUE"""),"General - West Jordan Symphony")</f>
        <v>General - West Jordan Symphony</v>
      </c>
      <c r="U139" s="38" t="s">
        <v>170</v>
      </c>
      <c r="V139" s="38" t="s">
        <v>60</v>
      </c>
      <c r="W139" s="38" t="str">
        <f>IFERROR(__xludf.DUMMYFUNCTION("""COMPUTED_VALUE"""),"Participant Hours")</f>
        <v>Participant Hours</v>
      </c>
      <c r="X139" s="38" t="s">
        <v>44</v>
      </c>
      <c r="Y139" s="38">
        <v>122.833333</v>
      </c>
      <c r="Z139" s="38" t="s">
        <v>172</v>
      </c>
      <c r="AA139" s="38" t="s">
        <v>152</v>
      </c>
      <c r="AB139" s="68">
        <v>46151.0</v>
      </c>
      <c r="AC139" s="38" t="s">
        <v>173</v>
      </c>
      <c r="AP139" s="73">
        <v>46151.0</v>
      </c>
      <c r="AQ139" s="38" t="s">
        <v>64</v>
      </c>
      <c r="AR139" s="38" t="s">
        <v>170</v>
      </c>
      <c r="AS139" s="38" t="s">
        <v>60</v>
      </c>
      <c r="AT139" s="38" t="s">
        <v>48</v>
      </c>
      <c r="AU139" s="38" t="s">
        <v>44</v>
      </c>
      <c r="AV139" s="74">
        <v>0.375</v>
      </c>
      <c r="AW139" s="74">
        <v>0.4930555555555556</v>
      </c>
      <c r="AX139" s="38">
        <v>122.833333</v>
      </c>
      <c r="AY139" s="38" t="s">
        <v>179</v>
      </c>
      <c r="AZ139" s="38" t="s">
        <v>179</v>
      </c>
      <c r="BA139" s="38" t="s">
        <v>179</v>
      </c>
      <c r="BB139" s="38" t="s">
        <v>179</v>
      </c>
      <c r="BC139" s="38" t="s">
        <v>172</v>
      </c>
      <c r="BD139" s="38" t="s">
        <v>152</v>
      </c>
      <c r="BE139" s="68">
        <v>46151.0</v>
      </c>
      <c r="BF139" s="38" t="s">
        <v>173</v>
      </c>
    </row>
    <row r="140">
      <c r="A140" s="62" t="s">
        <v>262</v>
      </c>
      <c r="B140" s="63"/>
      <c r="C140" s="62" t="s">
        <v>225</v>
      </c>
      <c r="D140" s="63"/>
      <c r="E140" s="62" t="s">
        <v>285</v>
      </c>
      <c r="F140" s="62" t="s">
        <v>270</v>
      </c>
      <c r="G140" s="63"/>
      <c r="H140" s="62" t="s">
        <v>224</v>
      </c>
      <c r="I140" s="63"/>
      <c r="J140" s="64">
        <v>46148.0</v>
      </c>
      <c r="K140" s="65">
        <v>0.6979166666666666</v>
      </c>
      <c r="L140" s="64">
        <v>46148.0</v>
      </c>
      <c r="M140" s="65">
        <v>0.7291666666666666</v>
      </c>
      <c r="N140" s="65">
        <v>0.03125</v>
      </c>
      <c r="O140" s="66">
        <v>0.75</v>
      </c>
      <c r="R140" s="67"/>
      <c r="S140" s="68">
        <v>46148.0</v>
      </c>
      <c r="T140" s="38" t="str">
        <f>IFERROR(__xludf.DUMMYFUNCTION("""COMPUTED_VALUE"""),"General / No Specific Project")</f>
        <v>General / No Specific Project</v>
      </c>
      <c r="U140" s="38" t="s">
        <v>200</v>
      </c>
      <c r="V140" s="38" t="s">
        <v>33</v>
      </c>
      <c r="W140" s="38" t="str">
        <f>IFERROR(__xludf.DUMMYFUNCTION("""COMPUTED_VALUE"""),"CASWJ Board Hours")</f>
        <v>CASWJ Board Hours</v>
      </c>
      <c r="X140" s="38" t="s">
        <v>44</v>
      </c>
      <c r="Y140" s="38">
        <v>0.75</v>
      </c>
      <c r="Z140" s="38" t="s">
        <v>224</v>
      </c>
      <c r="AA140" s="38" t="s">
        <v>152</v>
      </c>
      <c r="AB140" s="68">
        <v>46148.0</v>
      </c>
      <c r="AC140" s="38" t="s">
        <v>225</v>
      </c>
      <c r="AP140" s="73">
        <v>46148.0</v>
      </c>
      <c r="AQ140" s="38" t="s">
        <v>199</v>
      </c>
      <c r="AR140" s="38" t="s">
        <v>200</v>
      </c>
      <c r="AS140" s="38" t="s">
        <v>33</v>
      </c>
      <c r="AT140" s="38" t="s">
        <v>32</v>
      </c>
      <c r="AU140" s="38" t="s">
        <v>44</v>
      </c>
      <c r="AV140" s="74">
        <v>0.6979166666666666</v>
      </c>
      <c r="AW140" s="74">
        <v>0.7291666666666666</v>
      </c>
      <c r="AX140" s="38">
        <v>0.75</v>
      </c>
      <c r="AY140" s="38" t="s">
        <v>179</v>
      </c>
      <c r="AZ140" s="38" t="s">
        <v>179</v>
      </c>
      <c r="BA140" s="38" t="s">
        <v>179</v>
      </c>
      <c r="BB140" s="38" t="s">
        <v>179</v>
      </c>
      <c r="BC140" s="38" t="s">
        <v>224</v>
      </c>
      <c r="BD140" s="38" t="s">
        <v>152</v>
      </c>
      <c r="BE140" s="68">
        <v>46148.0</v>
      </c>
      <c r="BF140" s="38" t="s">
        <v>225</v>
      </c>
    </row>
    <row r="141">
      <c r="A141" s="62" t="s">
        <v>262</v>
      </c>
      <c r="B141" s="63"/>
      <c r="C141" s="62" t="s">
        <v>312</v>
      </c>
      <c r="D141" s="63"/>
      <c r="E141" s="62" t="s">
        <v>186</v>
      </c>
      <c r="F141" s="62" t="s">
        <v>53</v>
      </c>
      <c r="G141" s="63"/>
      <c r="H141" s="62" t="s">
        <v>299</v>
      </c>
      <c r="I141" s="63"/>
      <c r="J141" s="64">
        <v>46144.0</v>
      </c>
      <c r="K141" s="65">
        <v>0.6486111111111111</v>
      </c>
      <c r="L141" s="64">
        <v>46144.0</v>
      </c>
      <c r="M141" s="65">
        <v>0.7395833333333334</v>
      </c>
      <c r="N141" s="65">
        <v>0.09097222222222222</v>
      </c>
      <c r="O141" s="66">
        <v>2.183333</v>
      </c>
      <c r="R141" s="67"/>
      <c r="S141" s="68">
        <v>46144.0</v>
      </c>
      <c r="T141" s="38" t="str">
        <f>IFERROR(__xludf.DUMMYFUNCTION("""COMPUTED_VALUE"""),"General - Visual Arts Society")</f>
        <v>General - Visual Arts Society</v>
      </c>
      <c r="U141" s="38" t="s">
        <v>186</v>
      </c>
      <c r="V141" s="38" t="s">
        <v>53</v>
      </c>
      <c r="W141" s="38" t="str">
        <f>IFERROR(__xludf.DUMMYFUNCTION("""COMPUTED_VALUE"""),"Volunteer Hours")</f>
        <v>Volunteer Hours</v>
      </c>
      <c r="X141" s="38" t="s">
        <v>44</v>
      </c>
      <c r="Y141" s="38">
        <v>2.183333</v>
      </c>
      <c r="Z141" s="38" t="s">
        <v>299</v>
      </c>
      <c r="AA141" s="38" t="s">
        <v>152</v>
      </c>
      <c r="AB141" s="68">
        <v>46144.0</v>
      </c>
      <c r="AC141" s="38" t="s">
        <v>312</v>
      </c>
      <c r="AP141" s="73">
        <v>46144.0</v>
      </c>
      <c r="AQ141" s="38" t="s">
        <v>185</v>
      </c>
      <c r="AR141" s="38" t="s">
        <v>186</v>
      </c>
      <c r="AS141" s="38" t="s">
        <v>53</v>
      </c>
      <c r="AT141" s="38" t="s">
        <v>52</v>
      </c>
      <c r="AU141" s="38" t="s">
        <v>44</v>
      </c>
      <c r="AV141" s="74">
        <v>0.6486111111111111</v>
      </c>
      <c r="AW141" s="74">
        <v>0.7395833333333334</v>
      </c>
      <c r="AX141" s="38">
        <v>2.183333</v>
      </c>
      <c r="AY141" s="38" t="s">
        <v>179</v>
      </c>
      <c r="AZ141" s="38" t="s">
        <v>179</v>
      </c>
      <c r="BA141" s="38" t="s">
        <v>179</v>
      </c>
      <c r="BB141" s="38" t="s">
        <v>179</v>
      </c>
      <c r="BC141" s="38" t="s">
        <v>299</v>
      </c>
      <c r="BD141" s="38" t="s">
        <v>152</v>
      </c>
      <c r="BE141" s="68">
        <v>46144.0</v>
      </c>
      <c r="BF141" s="38" t="s">
        <v>312</v>
      </c>
    </row>
    <row r="142">
      <c r="A142" s="62" t="s">
        <v>262</v>
      </c>
      <c r="B142" s="63"/>
      <c r="C142" s="62" t="s">
        <v>312</v>
      </c>
      <c r="D142" s="63"/>
      <c r="E142" s="62" t="s">
        <v>186</v>
      </c>
      <c r="F142" s="62" t="s">
        <v>53</v>
      </c>
      <c r="G142" s="63"/>
      <c r="H142" s="62" t="s">
        <v>299</v>
      </c>
      <c r="I142" s="63"/>
      <c r="J142" s="64">
        <v>46144.0</v>
      </c>
      <c r="K142" s="65">
        <v>0.6395833333333333</v>
      </c>
      <c r="L142" s="64">
        <v>46144.0</v>
      </c>
      <c r="M142" s="65">
        <v>0.7395833333333334</v>
      </c>
      <c r="N142" s="65">
        <v>0.1</v>
      </c>
      <c r="O142" s="66">
        <v>2.4</v>
      </c>
      <c r="R142" s="67"/>
      <c r="S142" s="68">
        <v>46144.0</v>
      </c>
      <c r="T142" s="38" t="str">
        <f>IFERROR(__xludf.DUMMYFUNCTION("""COMPUTED_VALUE"""),"General - Visual Arts Society")</f>
        <v>General - Visual Arts Society</v>
      </c>
      <c r="U142" s="38" t="s">
        <v>186</v>
      </c>
      <c r="V142" s="38" t="s">
        <v>53</v>
      </c>
      <c r="W142" s="38" t="str">
        <f>IFERROR(__xludf.DUMMYFUNCTION("""COMPUTED_VALUE"""),"Volunteer Hours")</f>
        <v>Volunteer Hours</v>
      </c>
      <c r="X142" s="38" t="s">
        <v>44</v>
      </c>
      <c r="Y142" s="38">
        <v>2.4</v>
      </c>
      <c r="Z142" s="38" t="s">
        <v>299</v>
      </c>
      <c r="AA142" s="38" t="s">
        <v>152</v>
      </c>
      <c r="AB142" s="68">
        <v>46144.0</v>
      </c>
      <c r="AC142" s="38" t="s">
        <v>312</v>
      </c>
      <c r="AP142" s="73">
        <v>46144.0</v>
      </c>
      <c r="AQ142" s="38" t="s">
        <v>185</v>
      </c>
      <c r="AR142" s="38" t="s">
        <v>186</v>
      </c>
      <c r="AS142" s="38" t="s">
        <v>53</v>
      </c>
      <c r="AT142" s="38" t="s">
        <v>52</v>
      </c>
      <c r="AU142" s="38" t="s">
        <v>44</v>
      </c>
      <c r="AV142" s="74">
        <v>0.6395833333333333</v>
      </c>
      <c r="AW142" s="74">
        <v>0.7395833333333334</v>
      </c>
      <c r="AX142" s="38">
        <v>2.4</v>
      </c>
      <c r="AY142" s="38" t="s">
        <v>179</v>
      </c>
      <c r="AZ142" s="38" t="s">
        <v>179</v>
      </c>
      <c r="BA142" s="38" t="s">
        <v>179</v>
      </c>
      <c r="BB142" s="38" t="s">
        <v>179</v>
      </c>
      <c r="BC142" s="38" t="s">
        <v>299</v>
      </c>
      <c r="BD142" s="38" t="s">
        <v>152</v>
      </c>
      <c r="BE142" s="68">
        <v>46144.0</v>
      </c>
      <c r="BF142" s="38" t="s">
        <v>312</v>
      </c>
    </row>
    <row r="143">
      <c r="A143" s="62" t="s">
        <v>262</v>
      </c>
      <c r="B143" s="63"/>
      <c r="C143" s="62" t="s">
        <v>312</v>
      </c>
      <c r="D143" s="63"/>
      <c r="E143" s="62" t="s">
        <v>186</v>
      </c>
      <c r="F143" s="62" t="s">
        <v>53</v>
      </c>
      <c r="G143" s="63"/>
      <c r="H143" s="62" t="s">
        <v>299</v>
      </c>
      <c r="I143" s="63"/>
      <c r="J143" s="64">
        <v>46144.0</v>
      </c>
      <c r="K143" s="65">
        <v>0.6333333333333333</v>
      </c>
      <c r="L143" s="64">
        <v>46144.0</v>
      </c>
      <c r="M143" s="65">
        <v>0.7395833333333334</v>
      </c>
      <c r="N143" s="65">
        <v>0.10625</v>
      </c>
      <c r="O143" s="66">
        <v>2.55</v>
      </c>
      <c r="R143" s="67"/>
      <c r="S143" s="68">
        <v>46144.0</v>
      </c>
      <c r="T143" s="38" t="str">
        <f>IFERROR(__xludf.DUMMYFUNCTION("""COMPUTED_VALUE"""),"General - Visual Arts Society")</f>
        <v>General - Visual Arts Society</v>
      </c>
      <c r="U143" s="38" t="s">
        <v>186</v>
      </c>
      <c r="V143" s="38" t="s">
        <v>53</v>
      </c>
      <c r="W143" s="38" t="str">
        <f>IFERROR(__xludf.DUMMYFUNCTION("""COMPUTED_VALUE"""),"Volunteer Hours")</f>
        <v>Volunteer Hours</v>
      </c>
      <c r="X143" s="38" t="s">
        <v>44</v>
      </c>
      <c r="Y143" s="38">
        <v>2.55</v>
      </c>
      <c r="Z143" s="38" t="s">
        <v>299</v>
      </c>
      <c r="AA143" s="38" t="s">
        <v>152</v>
      </c>
      <c r="AB143" s="68">
        <v>46144.0</v>
      </c>
      <c r="AC143" s="38" t="s">
        <v>312</v>
      </c>
      <c r="AP143" s="73">
        <v>46144.0</v>
      </c>
      <c r="AQ143" s="38" t="s">
        <v>185</v>
      </c>
      <c r="AR143" s="38" t="s">
        <v>186</v>
      </c>
      <c r="AS143" s="38" t="s">
        <v>53</v>
      </c>
      <c r="AT143" s="38" t="s">
        <v>52</v>
      </c>
      <c r="AU143" s="38" t="s">
        <v>44</v>
      </c>
      <c r="AV143" s="74">
        <v>0.6333333333333333</v>
      </c>
      <c r="AW143" s="74">
        <v>0.7395833333333334</v>
      </c>
      <c r="AX143" s="38">
        <v>2.55</v>
      </c>
      <c r="AY143" s="38" t="s">
        <v>179</v>
      </c>
      <c r="AZ143" s="38" t="s">
        <v>179</v>
      </c>
      <c r="BA143" s="38" t="s">
        <v>179</v>
      </c>
      <c r="BB143" s="38" t="s">
        <v>179</v>
      </c>
      <c r="BC143" s="38" t="s">
        <v>299</v>
      </c>
      <c r="BD143" s="38" t="s">
        <v>152</v>
      </c>
      <c r="BE143" s="68">
        <v>46144.0</v>
      </c>
      <c r="BF143" s="38" t="s">
        <v>312</v>
      </c>
    </row>
    <row r="144">
      <c r="A144" s="62" t="s">
        <v>262</v>
      </c>
      <c r="B144" s="63"/>
      <c r="C144" s="62" t="s">
        <v>312</v>
      </c>
      <c r="D144" s="63"/>
      <c r="E144" s="62" t="s">
        <v>186</v>
      </c>
      <c r="F144" s="62" t="s">
        <v>53</v>
      </c>
      <c r="G144" s="63"/>
      <c r="H144" s="62" t="s">
        <v>299</v>
      </c>
      <c r="I144" s="63"/>
      <c r="J144" s="64">
        <v>46144.0</v>
      </c>
      <c r="K144" s="65">
        <v>0.625</v>
      </c>
      <c r="L144" s="64">
        <v>46144.0</v>
      </c>
      <c r="M144" s="65">
        <v>0.75</v>
      </c>
      <c r="N144" s="65">
        <v>0.125</v>
      </c>
      <c r="O144" s="66">
        <v>3.0</v>
      </c>
      <c r="R144" s="67"/>
      <c r="S144" s="68">
        <v>46144.0</v>
      </c>
      <c r="T144" s="38" t="str">
        <f>IFERROR(__xludf.DUMMYFUNCTION("""COMPUTED_VALUE"""),"General - Visual Arts Society")</f>
        <v>General - Visual Arts Society</v>
      </c>
      <c r="U144" s="38" t="s">
        <v>186</v>
      </c>
      <c r="V144" s="38" t="s">
        <v>53</v>
      </c>
      <c r="W144" s="38" t="str">
        <f>IFERROR(__xludf.DUMMYFUNCTION("""COMPUTED_VALUE"""),"Volunteer Hours")</f>
        <v>Volunteer Hours</v>
      </c>
      <c r="X144" s="38" t="s">
        <v>44</v>
      </c>
      <c r="Y144" s="38">
        <v>3.0</v>
      </c>
      <c r="Z144" s="38" t="s">
        <v>299</v>
      </c>
      <c r="AA144" s="38" t="s">
        <v>152</v>
      </c>
      <c r="AB144" s="68">
        <v>46144.0</v>
      </c>
      <c r="AC144" s="38" t="s">
        <v>312</v>
      </c>
      <c r="AP144" s="73">
        <v>46144.0</v>
      </c>
      <c r="AQ144" s="38" t="s">
        <v>185</v>
      </c>
      <c r="AR144" s="38" t="s">
        <v>186</v>
      </c>
      <c r="AS144" s="38" t="s">
        <v>53</v>
      </c>
      <c r="AT144" s="38" t="s">
        <v>52</v>
      </c>
      <c r="AU144" s="38" t="s">
        <v>44</v>
      </c>
      <c r="AV144" s="74">
        <v>0.625</v>
      </c>
      <c r="AW144" s="74">
        <v>0.75</v>
      </c>
      <c r="AX144" s="38">
        <v>3.0</v>
      </c>
      <c r="AY144" s="38" t="s">
        <v>179</v>
      </c>
      <c r="AZ144" s="38" t="s">
        <v>179</v>
      </c>
      <c r="BA144" s="38" t="s">
        <v>179</v>
      </c>
      <c r="BB144" s="38" t="s">
        <v>179</v>
      </c>
      <c r="BC144" s="38" t="s">
        <v>299</v>
      </c>
      <c r="BD144" s="38" t="s">
        <v>152</v>
      </c>
      <c r="BE144" s="68">
        <v>46144.0</v>
      </c>
      <c r="BF144" s="38" t="s">
        <v>312</v>
      </c>
    </row>
    <row r="145">
      <c r="A145" s="62" t="s">
        <v>262</v>
      </c>
      <c r="B145" s="63"/>
      <c r="C145" s="62" t="s">
        <v>312</v>
      </c>
      <c r="D145" s="63"/>
      <c r="E145" s="62" t="s">
        <v>186</v>
      </c>
      <c r="F145" s="62" t="s">
        <v>53</v>
      </c>
      <c r="G145" s="63"/>
      <c r="H145" s="62" t="s">
        <v>299</v>
      </c>
      <c r="I145" s="63"/>
      <c r="J145" s="64">
        <v>46144.0</v>
      </c>
      <c r="K145" s="65">
        <v>0.625</v>
      </c>
      <c r="L145" s="64">
        <v>46144.0</v>
      </c>
      <c r="M145" s="65">
        <v>0.75</v>
      </c>
      <c r="N145" s="65">
        <v>0.125</v>
      </c>
      <c r="O145" s="66">
        <v>3.0</v>
      </c>
      <c r="R145" s="67"/>
      <c r="S145" s="68">
        <v>46144.0</v>
      </c>
      <c r="T145" s="38" t="str">
        <f>IFERROR(__xludf.DUMMYFUNCTION("""COMPUTED_VALUE"""),"General - Visual Arts Society")</f>
        <v>General - Visual Arts Society</v>
      </c>
      <c r="U145" s="38" t="s">
        <v>186</v>
      </c>
      <c r="V145" s="38" t="s">
        <v>53</v>
      </c>
      <c r="W145" s="38" t="str">
        <f>IFERROR(__xludf.DUMMYFUNCTION("""COMPUTED_VALUE"""),"Volunteer Hours")</f>
        <v>Volunteer Hours</v>
      </c>
      <c r="X145" s="38" t="s">
        <v>44</v>
      </c>
      <c r="Y145" s="38">
        <v>3.0</v>
      </c>
      <c r="Z145" s="38" t="s">
        <v>299</v>
      </c>
      <c r="AA145" s="38" t="s">
        <v>152</v>
      </c>
      <c r="AB145" s="68">
        <v>46144.0</v>
      </c>
      <c r="AC145" s="38" t="s">
        <v>312</v>
      </c>
      <c r="AP145" s="73">
        <v>46144.0</v>
      </c>
      <c r="AQ145" s="38" t="s">
        <v>185</v>
      </c>
      <c r="AR145" s="38" t="s">
        <v>186</v>
      </c>
      <c r="AS145" s="38" t="s">
        <v>53</v>
      </c>
      <c r="AT145" s="38" t="s">
        <v>52</v>
      </c>
      <c r="AU145" s="38" t="s">
        <v>44</v>
      </c>
      <c r="AV145" s="74">
        <v>0.625</v>
      </c>
      <c r="AW145" s="74">
        <v>0.75</v>
      </c>
      <c r="AX145" s="38">
        <v>3.0</v>
      </c>
      <c r="AY145" s="38" t="s">
        <v>179</v>
      </c>
      <c r="AZ145" s="38" t="s">
        <v>179</v>
      </c>
      <c r="BA145" s="38" t="s">
        <v>179</v>
      </c>
      <c r="BB145" s="38" t="s">
        <v>179</v>
      </c>
      <c r="BC145" s="38" t="s">
        <v>299</v>
      </c>
      <c r="BD145" s="38" t="s">
        <v>152</v>
      </c>
      <c r="BE145" s="68">
        <v>46144.0</v>
      </c>
      <c r="BF145" s="38" t="s">
        <v>312</v>
      </c>
    </row>
    <row r="146">
      <c r="A146" s="62" t="s">
        <v>262</v>
      </c>
      <c r="B146" s="63"/>
      <c r="C146" s="62" t="s">
        <v>312</v>
      </c>
      <c r="D146" s="63"/>
      <c r="E146" s="62" t="s">
        <v>186</v>
      </c>
      <c r="F146" s="62" t="s">
        <v>53</v>
      </c>
      <c r="G146" s="63"/>
      <c r="H146" s="62" t="s">
        <v>299</v>
      </c>
      <c r="I146" s="63"/>
      <c r="J146" s="64">
        <v>46144.0</v>
      </c>
      <c r="K146" s="65">
        <v>0.625</v>
      </c>
      <c r="L146" s="64">
        <v>46144.0</v>
      </c>
      <c r="M146" s="65">
        <v>0.7395833333333334</v>
      </c>
      <c r="N146" s="65">
        <v>0.11458333333333333</v>
      </c>
      <c r="O146" s="66">
        <v>2.75</v>
      </c>
      <c r="R146" s="67"/>
      <c r="S146" s="68">
        <v>46144.0</v>
      </c>
      <c r="T146" s="38" t="str">
        <f>IFERROR(__xludf.DUMMYFUNCTION("""COMPUTED_VALUE"""),"General - Visual Arts Society")</f>
        <v>General - Visual Arts Society</v>
      </c>
      <c r="U146" s="38" t="s">
        <v>186</v>
      </c>
      <c r="V146" s="38" t="s">
        <v>53</v>
      </c>
      <c r="W146" s="38" t="str">
        <f>IFERROR(__xludf.DUMMYFUNCTION("""COMPUTED_VALUE"""),"Volunteer Hours")</f>
        <v>Volunteer Hours</v>
      </c>
      <c r="X146" s="38" t="s">
        <v>44</v>
      </c>
      <c r="Y146" s="38">
        <v>2.75</v>
      </c>
      <c r="Z146" s="38" t="s">
        <v>299</v>
      </c>
      <c r="AA146" s="38" t="s">
        <v>152</v>
      </c>
      <c r="AB146" s="68">
        <v>46144.0</v>
      </c>
      <c r="AC146" s="38" t="s">
        <v>312</v>
      </c>
      <c r="AP146" s="73">
        <v>46144.0</v>
      </c>
      <c r="AQ146" s="38" t="s">
        <v>185</v>
      </c>
      <c r="AR146" s="38" t="s">
        <v>186</v>
      </c>
      <c r="AS146" s="38" t="s">
        <v>53</v>
      </c>
      <c r="AT146" s="38" t="s">
        <v>52</v>
      </c>
      <c r="AU146" s="38" t="s">
        <v>44</v>
      </c>
      <c r="AV146" s="74">
        <v>0.625</v>
      </c>
      <c r="AW146" s="74">
        <v>0.7395833333333334</v>
      </c>
      <c r="AX146" s="38">
        <v>2.75</v>
      </c>
      <c r="AY146" s="38" t="s">
        <v>179</v>
      </c>
      <c r="AZ146" s="38" t="s">
        <v>179</v>
      </c>
      <c r="BA146" s="38" t="s">
        <v>179</v>
      </c>
      <c r="BB146" s="38" t="s">
        <v>179</v>
      </c>
      <c r="BC146" s="38" t="s">
        <v>299</v>
      </c>
      <c r="BD146" s="38" t="s">
        <v>152</v>
      </c>
      <c r="BE146" s="68">
        <v>46144.0</v>
      </c>
      <c r="BF146" s="38" t="s">
        <v>312</v>
      </c>
    </row>
    <row r="147">
      <c r="A147" s="62" t="s">
        <v>262</v>
      </c>
      <c r="B147" s="63"/>
      <c r="C147" s="62" t="s">
        <v>312</v>
      </c>
      <c r="D147" s="63"/>
      <c r="E147" s="62" t="s">
        <v>186</v>
      </c>
      <c r="F147" s="62" t="s">
        <v>53</v>
      </c>
      <c r="G147" s="63"/>
      <c r="H147" s="62" t="s">
        <v>299</v>
      </c>
      <c r="I147" s="63"/>
      <c r="J147" s="64">
        <v>46144.0</v>
      </c>
      <c r="K147" s="65">
        <v>0.6201388888888889</v>
      </c>
      <c r="L147" s="64">
        <v>46144.0</v>
      </c>
      <c r="M147" s="65">
        <v>0.7395833333333334</v>
      </c>
      <c r="N147" s="65">
        <v>0.11944444444444445</v>
      </c>
      <c r="O147" s="66">
        <v>2.866667</v>
      </c>
      <c r="R147" s="67"/>
      <c r="S147" s="68">
        <v>46144.0</v>
      </c>
      <c r="T147" s="38" t="str">
        <f>IFERROR(__xludf.DUMMYFUNCTION("""COMPUTED_VALUE"""),"General - Visual Arts Society")</f>
        <v>General - Visual Arts Society</v>
      </c>
      <c r="U147" s="38" t="s">
        <v>186</v>
      </c>
      <c r="V147" s="38" t="s">
        <v>53</v>
      </c>
      <c r="W147" s="38" t="str">
        <f>IFERROR(__xludf.DUMMYFUNCTION("""COMPUTED_VALUE"""),"Volunteer Hours")</f>
        <v>Volunteer Hours</v>
      </c>
      <c r="X147" s="38" t="s">
        <v>44</v>
      </c>
      <c r="Y147" s="38">
        <v>2.866667</v>
      </c>
      <c r="Z147" s="38" t="s">
        <v>299</v>
      </c>
      <c r="AA147" s="38" t="s">
        <v>152</v>
      </c>
      <c r="AB147" s="68">
        <v>46144.0</v>
      </c>
      <c r="AC147" s="38" t="s">
        <v>312</v>
      </c>
      <c r="AP147" s="73">
        <v>46144.0</v>
      </c>
      <c r="AQ147" s="38" t="s">
        <v>185</v>
      </c>
      <c r="AR147" s="38" t="s">
        <v>186</v>
      </c>
      <c r="AS147" s="38" t="s">
        <v>53</v>
      </c>
      <c r="AT147" s="38" t="s">
        <v>52</v>
      </c>
      <c r="AU147" s="38" t="s">
        <v>44</v>
      </c>
      <c r="AV147" s="74">
        <v>0.6201388888888889</v>
      </c>
      <c r="AW147" s="74">
        <v>0.7395833333333334</v>
      </c>
      <c r="AX147" s="38">
        <v>2.866667</v>
      </c>
      <c r="AY147" s="38" t="s">
        <v>179</v>
      </c>
      <c r="AZ147" s="38" t="s">
        <v>179</v>
      </c>
      <c r="BA147" s="38" t="s">
        <v>179</v>
      </c>
      <c r="BB147" s="38" t="s">
        <v>179</v>
      </c>
      <c r="BC147" s="38" t="s">
        <v>299</v>
      </c>
      <c r="BD147" s="38" t="s">
        <v>152</v>
      </c>
      <c r="BE147" s="68">
        <v>46144.0</v>
      </c>
      <c r="BF147" s="38" t="s">
        <v>312</v>
      </c>
    </row>
    <row r="148">
      <c r="A148" s="62" t="s">
        <v>262</v>
      </c>
      <c r="B148" s="63"/>
      <c r="C148" s="62" t="s">
        <v>312</v>
      </c>
      <c r="D148" s="63"/>
      <c r="E148" s="62" t="s">
        <v>186</v>
      </c>
      <c r="F148" s="62" t="s">
        <v>53</v>
      </c>
      <c r="G148" s="63"/>
      <c r="H148" s="62" t="s">
        <v>299</v>
      </c>
      <c r="I148" s="63"/>
      <c r="J148" s="64">
        <v>46144.0</v>
      </c>
      <c r="K148" s="65">
        <v>0.6201388888888889</v>
      </c>
      <c r="L148" s="64">
        <v>46144.0</v>
      </c>
      <c r="M148" s="65">
        <v>0.7395833333333334</v>
      </c>
      <c r="N148" s="65">
        <v>0.11944444444444445</v>
      </c>
      <c r="O148" s="66">
        <v>2.866667</v>
      </c>
      <c r="R148" s="67"/>
      <c r="S148" s="68">
        <v>46144.0</v>
      </c>
      <c r="T148" s="38" t="str">
        <f>IFERROR(__xludf.DUMMYFUNCTION("""COMPUTED_VALUE"""),"General - Visual Arts Society")</f>
        <v>General - Visual Arts Society</v>
      </c>
      <c r="U148" s="38" t="s">
        <v>186</v>
      </c>
      <c r="V148" s="38" t="s">
        <v>53</v>
      </c>
      <c r="W148" s="38" t="str">
        <f>IFERROR(__xludf.DUMMYFUNCTION("""COMPUTED_VALUE"""),"Volunteer Hours")</f>
        <v>Volunteer Hours</v>
      </c>
      <c r="X148" s="38" t="s">
        <v>44</v>
      </c>
      <c r="Y148" s="38">
        <v>2.866667</v>
      </c>
      <c r="Z148" s="38" t="s">
        <v>299</v>
      </c>
      <c r="AA148" s="38" t="s">
        <v>152</v>
      </c>
      <c r="AB148" s="68">
        <v>46144.0</v>
      </c>
      <c r="AC148" s="38" t="s">
        <v>312</v>
      </c>
      <c r="AP148" s="73">
        <v>46144.0</v>
      </c>
      <c r="AQ148" s="38" t="s">
        <v>185</v>
      </c>
      <c r="AR148" s="38" t="s">
        <v>186</v>
      </c>
      <c r="AS148" s="38" t="s">
        <v>53</v>
      </c>
      <c r="AT148" s="38" t="s">
        <v>52</v>
      </c>
      <c r="AU148" s="38" t="s">
        <v>44</v>
      </c>
      <c r="AV148" s="74">
        <v>0.6201388888888889</v>
      </c>
      <c r="AW148" s="74">
        <v>0.7395833333333334</v>
      </c>
      <c r="AX148" s="38">
        <v>2.866667</v>
      </c>
      <c r="AY148" s="38" t="s">
        <v>179</v>
      </c>
      <c r="AZ148" s="38" t="s">
        <v>179</v>
      </c>
      <c r="BA148" s="38" t="s">
        <v>179</v>
      </c>
      <c r="BB148" s="38" t="s">
        <v>179</v>
      </c>
      <c r="BC148" s="38" t="s">
        <v>299</v>
      </c>
      <c r="BD148" s="38" t="s">
        <v>152</v>
      </c>
      <c r="BE148" s="68">
        <v>46144.0</v>
      </c>
      <c r="BF148" s="38" t="s">
        <v>312</v>
      </c>
    </row>
    <row r="149">
      <c r="A149" s="62" t="s">
        <v>262</v>
      </c>
      <c r="B149" s="63"/>
      <c r="C149" s="62" t="s">
        <v>312</v>
      </c>
      <c r="D149" s="63"/>
      <c r="E149" s="62" t="s">
        <v>186</v>
      </c>
      <c r="F149" s="62" t="s">
        <v>53</v>
      </c>
      <c r="G149" s="63"/>
      <c r="H149" s="62" t="s">
        <v>299</v>
      </c>
      <c r="I149" s="63"/>
      <c r="J149" s="64">
        <v>46144.0</v>
      </c>
      <c r="K149" s="65">
        <v>0.6180555555555556</v>
      </c>
      <c r="L149" s="64">
        <v>46144.0</v>
      </c>
      <c r="M149" s="65">
        <v>0.7395833333333334</v>
      </c>
      <c r="N149" s="65">
        <v>0.12152777777777778</v>
      </c>
      <c r="O149" s="66">
        <v>2.916667</v>
      </c>
      <c r="R149" s="67"/>
      <c r="S149" s="68">
        <v>46144.0</v>
      </c>
      <c r="T149" s="38" t="str">
        <f>IFERROR(__xludf.DUMMYFUNCTION("""COMPUTED_VALUE"""),"General - Visual Arts Society")</f>
        <v>General - Visual Arts Society</v>
      </c>
      <c r="U149" s="38" t="s">
        <v>186</v>
      </c>
      <c r="V149" s="38" t="s">
        <v>53</v>
      </c>
      <c r="W149" s="38" t="str">
        <f>IFERROR(__xludf.DUMMYFUNCTION("""COMPUTED_VALUE"""),"Volunteer Hours")</f>
        <v>Volunteer Hours</v>
      </c>
      <c r="X149" s="38" t="s">
        <v>44</v>
      </c>
      <c r="Y149" s="38">
        <v>2.916667</v>
      </c>
      <c r="Z149" s="38" t="s">
        <v>299</v>
      </c>
      <c r="AA149" s="38" t="s">
        <v>152</v>
      </c>
      <c r="AB149" s="68">
        <v>46144.0</v>
      </c>
      <c r="AC149" s="38" t="s">
        <v>312</v>
      </c>
      <c r="AP149" s="73">
        <v>46144.0</v>
      </c>
      <c r="AQ149" s="38" t="s">
        <v>185</v>
      </c>
      <c r="AR149" s="38" t="s">
        <v>186</v>
      </c>
      <c r="AS149" s="38" t="s">
        <v>53</v>
      </c>
      <c r="AT149" s="38" t="s">
        <v>52</v>
      </c>
      <c r="AU149" s="38" t="s">
        <v>44</v>
      </c>
      <c r="AV149" s="74">
        <v>0.6180555555555556</v>
      </c>
      <c r="AW149" s="74">
        <v>0.7395833333333334</v>
      </c>
      <c r="AX149" s="38">
        <v>2.916667</v>
      </c>
      <c r="AY149" s="38" t="s">
        <v>179</v>
      </c>
      <c r="AZ149" s="38" t="s">
        <v>179</v>
      </c>
      <c r="BA149" s="38" t="s">
        <v>179</v>
      </c>
      <c r="BB149" s="38" t="s">
        <v>179</v>
      </c>
      <c r="BC149" s="38" t="s">
        <v>299</v>
      </c>
      <c r="BD149" s="38" t="s">
        <v>152</v>
      </c>
      <c r="BE149" s="68">
        <v>46144.0</v>
      </c>
      <c r="BF149" s="38" t="s">
        <v>312</v>
      </c>
    </row>
    <row r="150">
      <c r="A150" s="62" t="s">
        <v>262</v>
      </c>
      <c r="B150" s="63"/>
      <c r="C150" s="62" t="s">
        <v>312</v>
      </c>
      <c r="D150" s="63"/>
      <c r="E150" s="62" t="s">
        <v>186</v>
      </c>
      <c r="F150" s="62" t="s">
        <v>53</v>
      </c>
      <c r="G150" s="63"/>
      <c r="H150" s="62" t="s">
        <v>299</v>
      </c>
      <c r="I150" s="63"/>
      <c r="J150" s="64">
        <v>46144.0</v>
      </c>
      <c r="K150" s="65">
        <v>0.42986111111111114</v>
      </c>
      <c r="L150" s="64">
        <v>46144.0</v>
      </c>
      <c r="M150" s="65">
        <v>0.625</v>
      </c>
      <c r="N150" s="65">
        <v>0.1951388888888889</v>
      </c>
      <c r="O150" s="66">
        <v>4.683333</v>
      </c>
      <c r="R150" s="67"/>
      <c r="S150" s="68">
        <v>46144.0</v>
      </c>
      <c r="T150" s="38" t="str">
        <f>IFERROR(__xludf.DUMMYFUNCTION("""COMPUTED_VALUE"""),"General - Visual Arts Society")</f>
        <v>General - Visual Arts Society</v>
      </c>
      <c r="U150" s="38" t="s">
        <v>186</v>
      </c>
      <c r="V150" s="38" t="s">
        <v>53</v>
      </c>
      <c r="W150" s="38" t="str">
        <f>IFERROR(__xludf.DUMMYFUNCTION("""COMPUTED_VALUE"""),"Volunteer Hours")</f>
        <v>Volunteer Hours</v>
      </c>
      <c r="X150" s="38" t="s">
        <v>44</v>
      </c>
      <c r="Y150" s="38">
        <v>4.683333</v>
      </c>
      <c r="Z150" s="38" t="s">
        <v>299</v>
      </c>
      <c r="AA150" s="38" t="s">
        <v>152</v>
      </c>
      <c r="AB150" s="68">
        <v>46144.0</v>
      </c>
      <c r="AC150" s="38" t="s">
        <v>312</v>
      </c>
      <c r="AP150" s="73">
        <v>46144.0</v>
      </c>
      <c r="AQ150" s="38" t="s">
        <v>185</v>
      </c>
      <c r="AR150" s="38" t="s">
        <v>186</v>
      </c>
      <c r="AS150" s="38" t="s">
        <v>53</v>
      </c>
      <c r="AT150" s="38" t="s">
        <v>52</v>
      </c>
      <c r="AU150" s="38" t="s">
        <v>44</v>
      </c>
      <c r="AV150" s="74">
        <v>0.42986111111111114</v>
      </c>
      <c r="AW150" s="74">
        <v>0.625</v>
      </c>
      <c r="AX150" s="38">
        <v>4.683333</v>
      </c>
      <c r="AY150" s="38" t="s">
        <v>179</v>
      </c>
      <c r="AZ150" s="38" t="s">
        <v>179</v>
      </c>
      <c r="BA150" s="38" t="s">
        <v>179</v>
      </c>
      <c r="BB150" s="38" t="s">
        <v>179</v>
      </c>
      <c r="BC150" s="38" t="s">
        <v>299</v>
      </c>
      <c r="BD150" s="38" t="s">
        <v>152</v>
      </c>
      <c r="BE150" s="68">
        <v>46144.0</v>
      </c>
      <c r="BF150" s="38" t="s">
        <v>312</v>
      </c>
    </row>
    <row r="151">
      <c r="A151" s="62" t="s">
        <v>262</v>
      </c>
      <c r="B151" s="63"/>
      <c r="C151" s="62" t="s">
        <v>312</v>
      </c>
      <c r="D151" s="63"/>
      <c r="E151" s="62" t="s">
        <v>186</v>
      </c>
      <c r="F151" s="62" t="s">
        <v>53</v>
      </c>
      <c r="G151" s="63"/>
      <c r="H151" s="62" t="s">
        <v>299</v>
      </c>
      <c r="I151" s="63"/>
      <c r="J151" s="64">
        <v>46144.0</v>
      </c>
      <c r="K151" s="65">
        <v>0.4263888888888889</v>
      </c>
      <c r="L151" s="64">
        <v>46144.0</v>
      </c>
      <c r="M151" s="65">
        <v>0.625</v>
      </c>
      <c r="N151" s="72">
        <v>0.1986111111111111</v>
      </c>
      <c r="O151" s="66">
        <v>4.766667</v>
      </c>
      <c r="R151" s="67"/>
      <c r="S151" s="68">
        <v>46144.0</v>
      </c>
      <c r="T151" s="38" t="str">
        <f>IFERROR(__xludf.DUMMYFUNCTION("""COMPUTED_VALUE"""),"General - Visual Arts Society")</f>
        <v>General - Visual Arts Society</v>
      </c>
      <c r="U151" s="38" t="s">
        <v>186</v>
      </c>
      <c r="V151" s="38" t="s">
        <v>53</v>
      </c>
      <c r="W151" s="38" t="str">
        <f>IFERROR(__xludf.DUMMYFUNCTION("""COMPUTED_VALUE"""),"Volunteer Hours")</f>
        <v>Volunteer Hours</v>
      </c>
      <c r="X151" s="38" t="s">
        <v>44</v>
      </c>
      <c r="Y151" s="38">
        <v>4.766667</v>
      </c>
      <c r="Z151" s="38" t="s">
        <v>299</v>
      </c>
      <c r="AA151" s="38" t="s">
        <v>152</v>
      </c>
      <c r="AB151" s="68">
        <v>46144.0</v>
      </c>
      <c r="AC151" s="38" t="s">
        <v>312</v>
      </c>
      <c r="AP151" s="73">
        <v>46144.0</v>
      </c>
      <c r="AQ151" s="38" t="s">
        <v>185</v>
      </c>
      <c r="AR151" s="38" t="s">
        <v>186</v>
      </c>
      <c r="AS151" s="38" t="s">
        <v>53</v>
      </c>
      <c r="AT151" s="38" t="s">
        <v>52</v>
      </c>
      <c r="AU151" s="38" t="s">
        <v>44</v>
      </c>
      <c r="AV151" s="74">
        <v>0.4263888888888889</v>
      </c>
      <c r="AW151" s="74">
        <v>0.625</v>
      </c>
      <c r="AX151" s="38">
        <v>4.766667</v>
      </c>
      <c r="AY151" s="38" t="s">
        <v>179</v>
      </c>
      <c r="AZ151" s="38" t="s">
        <v>179</v>
      </c>
      <c r="BA151" s="38" t="s">
        <v>179</v>
      </c>
      <c r="BB151" s="38" t="s">
        <v>179</v>
      </c>
      <c r="BC151" s="38" t="s">
        <v>299</v>
      </c>
      <c r="BD151" s="38" t="s">
        <v>152</v>
      </c>
      <c r="BE151" s="68">
        <v>46144.0</v>
      </c>
      <c r="BF151" s="38" t="s">
        <v>312</v>
      </c>
    </row>
    <row r="152">
      <c r="A152" s="62" t="s">
        <v>262</v>
      </c>
      <c r="B152" s="63"/>
      <c r="C152" s="62" t="s">
        <v>312</v>
      </c>
      <c r="D152" s="63"/>
      <c r="E152" s="62" t="s">
        <v>186</v>
      </c>
      <c r="F152" s="62" t="s">
        <v>53</v>
      </c>
      <c r="G152" s="63"/>
      <c r="H152" s="62" t="s">
        <v>299</v>
      </c>
      <c r="I152" s="63"/>
      <c r="J152" s="64">
        <v>46144.0</v>
      </c>
      <c r="K152" s="65">
        <v>0.4236111111111111</v>
      </c>
      <c r="L152" s="64">
        <v>46144.0</v>
      </c>
      <c r="M152" s="65">
        <v>0.5208333333333334</v>
      </c>
      <c r="N152" s="65">
        <v>0.09722222222222222</v>
      </c>
      <c r="O152" s="66">
        <v>2.333333</v>
      </c>
      <c r="R152" s="67"/>
      <c r="S152" s="68">
        <v>46144.0</v>
      </c>
      <c r="T152" s="38" t="str">
        <f>IFERROR(__xludf.DUMMYFUNCTION("""COMPUTED_VALUE"""),"General - Visual Arts Society")</f>
        <v>General - Visual Arts Society</v>
      </c>
      <c r="U152" s="38" t="s">
        <v>186</v>
      </c>
      <c r="V152" s="38" t="s">
        <v>53</v>
      </c>
      <c r="W152" s="38" t="str">
        <f>IFERROR(__xludf.DUMMYFUNCTION("""COMPUTED_VALUE"""),"Volunteer Hours")</f>
        <v>Volunteer Hours</v>
      </c>
      <c r="X152" s="38" t="s">
        <v>44</v>
      </c>
      <c r="Y152" s="38">
        <v>2.333333</v>
      </c>
      <c r="Z152" s="38" t="s">
        <v>299</v>
      </c>
      <c r="AA152" s="38" t="s">
        <v>152</v>
      </c>
      <c r="AB152" s="68">
        <v>46144.0</v>
      </c>
      <c r="AC152" s="38" t="s">
        <v>312</v>
      </c>
      <c r="AP152" s="73">
        <v>46144.0</v>
      </c>
      <c r="AQ152" s="38" t="s">
        <v>185</v>
      </c>
      <c r="AR152" s="38" t="s">
        <v>186</v>
      </c>
      <c r="AS152" s="38" t="s">
        <v>53</v>
      </c>
      <c r="AT152" s="38" t="s">
        <v>52</v>
      </c>
      <c r="AU152" s="38" t="s">
        <v>44</v>
      </c>
      <c r="AV152" s="74">
        <v>0.4236111111111111</v>
      </c>
      <c r="AW152" s="74">
        <v>0.5208333333333334</v>
      </c>
      <c r="AX152" s="38">
        <v>2.333333</v>
      </c>
      <c r="AY152" s="38" t="s">
        <v>179</v>
      </c>
      <c r="AZ152" s="38" t="s">
        <v>179</v>
      </c>
      <c r="BA152" s="38" t="s">
        <v>179</v>
      </c>
      <c r="BB152" s="38" t="s">
        <v>179</v>
      </c>
      <c r="BC152" s="38" t="s">
        <v>299</v>
      </c>
      <c r="BD152" s="38" t="s">
        <v>152</v>
      </c>
      <c r="BE152" s="68">
        <v>46144.0</v>
      </c>
      <c r="BF152" s="38" t="s">
        <v>312</v>
      </c>
    </row>
    <row r="153">
      <c r="A153" s="62" t="s">
        <v>262</v>
      </c>
      <c r="B153" s="63"/>
      <c r="C153" s="62" t="s">
        <v>314</v>
      </c>
      <c r="D153" s="63"/>
      <c r="E153" s="62" t="s">
        <v>301</v>
      </c>
      <c r="F153" s="62" t="s">
        <v>53</v>
      </c>
      <c r="G153" s="63"/>
      <c r="H153" s="62" t="s">
        <v>299</v>
      </c>
      <c r="I153" s="63"/>
      <c r="J153" s="64">
        <v>46144.0</v>
      </c>
      <c r="K153" s="65">
        <v>0.4166666666666667</v>
      </c>
      <c r="L153" s="64">
        <v>46144.0</v>
      </c>
      <c r="M153" s="65">
        <v>0.7083333333333334</v>
      </c>
      <c r="N153" s="65">
        <v>0.2916666666666667</v>
      </c>
      <c r="O153" s="66">
        <v>7.0</v>
      </c>
      <c r="R153" s="67"/>
      <c r="S153" s="68">
        <v>46144.0</v>
      </c>
      <c r="T153" s="38" t="str">
        <f>IFERROR(__xludf.DUMMYFUNCTION("""COMPUTED_VALUE"""),"General - Visual Arts Society")</f>
        <v>General - Visual Arts Society</v>
      </c>
      <c r="U153" s="38" t="s">
        <v>228</v>
      </c>
      <c r="V153" s="38" t="s">
        <v>53</v>
      </c>
      <c r="W153" s="38" t="str">
        <f>IFERROR(__xludf.DUMMYFUNCTION("""COMPUTED_VALUE"""),"Volunteer Hours")</f>
        <v>Volunteer Hours</v>
      </c>
      <c r="X153" s="38" t="s">
        <v>44</v>
      </c>
      <c r="Y153" s="38">
        <v>7.0</v>
      </c>
      <c r="Z153" s="38" t="s">
        <v>299</v>
      </c>
      <c r="AA153" s="38" t="s">
        <v>152</v>
      </c>
      <c r="AB153" s="68">
        <v>46144.0</v>
      </c>
      <c r="AC153" s="38" t="s">
        <v>314</v>
      </c>
      <c r="AP153" s="73">
        <v>46144.0</v>
      </c>
      <c r="AQ153" s="38" t="s">
        <v>185</v>
      </c>
      <c r="AR153" s="38" t="s">
        <v>228</v>
      </c>
      <c r="AS153" s="38" t="s">
        <v>53</v>
      </c>
      <c r="AT153" s="38" t="s">
        <v>52</v>
      </c>
      <c r="AU153" s="38" t="s">
        <v>44</v>
      </c>
      <c r="AV153" s="74">
        <v>0.4166666666666667</v>
      </c>
      <c r="AW153" s="74">
        <v>0.7083333333333334</v>
      </c>
      <c r="AX153" s="38">
        <v>7.0</v>
      </c>
      <c r="AY153" s="38" t="s">
        <v>179</v>
      </c>
      <c r="AZ153" s="38" t="s">
        <v>179</v>
      </c>
      <c r="BA153" s="38" t="s">
        <v>179</v>
      </c>
      <c r="BB153" s="38" t="s">
        <v>179</v>
      </c>
      <c r="BC153" s="38" t="s">
        <v>299</v>
      </c>
      <c r="BD153" s="38" t="s">
        <v>152</v>
      </c>
      <c r="BE153" s="68">
        <v>46144.0</v>
      </c>
      <c r="BF153" s="38" t="s">
        <v>314</v>
      </c>
    </row>
    <row r="154">
      <c r="A154" s="62" t="s">
        <v>262</v>
      </c>
      <c r="B154" s="63"/>
      <c r="C154" s="62" t="s">
        <v>312</v>
      </c>
      <c r="D154" s="63"/>
      <c r="E154" s="62" t="s">
        <v>186</v>
      </c>
      <c r="F154" s="62" t="s">
        <v>53</v>
      </c>
      <c r="G154" s="63"/>
      <c r="H154" s="62" t="s">
        <v>299</v>
      </c>
      <c r="I154" s="63"/>
      <c r="J154" s="64">
        <v>46144.0</v>
      </c>
      <c r="K154" s="65">
        <v>0.4041666666666667</v>
      </c>
      <c r="L154" s="64">
        <v>46144.0</v>
      </c>
      <c r="M154" s="65">
        <v>0.625</v>
      </c>
      <c r="N154" s="65">
        <v>0.22083333333333333</v>
      </c>
      <c r="O154" s="66">
        <v>5.3</v>
      </c>
      <c r="R154" s="67"/>
      <c r="S154" s="68">
        <v>46144.0</v>
      </c>
      <c r="T154" s="38" t="str">
        <f>IFERROR(__xludf.DUMMYFUNCTION("""COMPUTED_VALUE"""),"General - Visual Arts Society")</f>
        <v>General - Visual Arts Society</v>
      </c>
      <c r="U154" s="38" t="s">
        <v>186</v>
      </c>
      <c r="V154" s="38" t="s">
        <v>53</v>
      </c>
      <c r="W154" s="38" t="str">
        <f>IFERROR(__xludf.DUMMYFUNCTION("""COMPUTED_VALUE"""),"Volunteer Hours")</f>
        <v>Volunteer Hours</v>
      </c>
      <c r="X154" s="38" t="s">
        <v>44</v>
      </c>
      <c r="Y154" s="38">
        <v>5.3</v>
      </c>
      <c r="Z154" s="38" t="s">
        <v>299</v>
      </c>
      <c r="AA154" s="38" t="s">
        <v>152</v>
      </c>
      <c r="AB154" s="68">
        <v>46144.0</v>
      </c>
      <c r="AC154" s="38" t="s">
        <v>312</v>
      </c>
      <c r="AP154" s="73">
        <v>46144.0</v>
      </c>
      <c r="AQ154" s="38" t="s">
        <v>185</v>
      </c>
      <c r="AR154" s="38" t="s">
        <v>186</v>
      </c>
      <c r="AS154" s="38" t="s">
        <v>53</v>
      </c>
      <c r="AT154" s="38" t="s">
        <v>52</v>
      </c>
      <c r="AU154" s="38" t="s">
        <v>44</v>
      </c>
      <c r="AV154" s="74">
        <v>0.4041666666666667</v>
      </c>
      <c r="AW154" s="74">
        <v>0.625</v>
      </c>
      <c r="AX154" s="38">
        <v>5.3</v>
      </c>
      <c r="AY154" s="38" t="s">
        <v>179</v>
      </c>
      <c r="AZ154" s="38" t="s">
        <v>179</v>
      </c>
      <c r="BA154" s="38" t="s">
        <v>179</v>
      </c>
      <c r="BB154" s="38" t="s">
        <v>179</v>
      </c>
      <c r="BC154" s="38" t="s">
        <v>299</v>
      </c>
      <c r="BD154" s="38" t="s">
        <v>152</v>
      </c>
      <c r="BE154" s="68">
        <v>46144.0</v>
      </c>
      <c r="BF154" s="38" t="s">
        <v>312</v>
      </c>
    </row>
    <row r="155">
      <c r="A155" s="62" t="s">
        <v>262</v>
      </c>
      <c r="B155" s="63"/>
      <c r="C155" s="62" t="s">
        <v>312</v>
      </c>
      <c r="D155" s="63"/>
      <c r="E155" s="62" t="s">
        <v>186</v>
      </c>
      <c r="F155" s="62" t="s">
        <v>53</v>
      </c>
      <c r="G155" s="63"/>
      <c r="H155" s="62" t="s">
        <v>299</v>
      </c>
      <c r="I155" s="63"/>
      <c r="J155" s="64">
        <v>46144.0</v>
      </c>
      <c r="K155" s="65">
        <v>0.3958333333333333</v>
      </c>
      <c r="L155" s="64">
        <v>46144.0</v>
      </c>
      <c r="M155" s="65">
        <v>0.6319444444444444</v>
      </c>
      <c r="N155" s="65">
        <v>0.2361111111111111</v>
      </c>
      <c r="O155" s="66">
        <v>5.666667</v>
      </c>
      <c r="R155" s="67"/>
      <c r="S155" s="68">
        <v>46144.0</v>
      </c>
      <c r="T155" s="38" t="str">
        <f>IFERROR(__xludf.DUMMYFUNCTION("""COMPUTED_VALUE"""),"General - Visual Arts Society")</f>
        <v>General - Visual Arts Society</v>
      </c>
      <c r="U155" s="38" t="s">
        <v>186</v>
      </c>
      <c r="V155" s="38" t="s">
        <v>53</v>
      </c>
      <c r="W155" s="38" t="str">
        <f>IFERROR(__xludf.DUMMYFUNCTION("""COMPUTED_VALUE"""),"Volunteer Hours")</f>
        <v>Volunteer Hours</v>
      </c>
      <c r="X155" s="38" t="s">
        <v>44</v>
      </c>
      <c r="Y155" s="38">
        <v>5.666667</v>
      </c>
      <c r="Z155" s="38" t="s">
        <v>299</v>
      </c>
      <c r="AA155" s="38" t="s">
        <v>152</v>
      </c>
      <c r="AB155" s="68">
        <v>46144.0</v>
      </c>
      <c r="AC155" s="38" t="s">
        <v>312</v>
      </c>
      <c r="AP155" s="73">
        <v>46144.0</v>
      </c>
      <c r="AQ155" s="38" t="s">
        <v>185</v>
      </c>
      <c r="AR155" s="38" t="s">
        <v>186</v>
      </c>
      <c r="AS155" s="38" t="s">
        <v>53</v>
      </c>
      <c r="AT155" s="38" t="s">
        <v>52</v>
      </c>
      <c r="AU155" s="38" t="s">
        <v>44</v>
      </c>
      <c r="AV155" s="74">
        <v>0.3958333333333333</v>
      </c>
      <c r="AW155" s="74">
        <v>0.6319444444444444</v>
      </c>
      <c r="AX155" s="38">
        <v>5.666667</v>
      </c>
      <c r="AY155" s="38" t="s">
        <v>179</v>
      </c>
      <c r="AZ155" s="38" t="s">
        <v>179</v>
      </c>
      <c r="BA155" s="38" t="s">
        <v>179</v>
      </c>
      <c r="BB155" s="38" t="s">
        <v>179</v>
      </c>
      <c r="BC155" s="38" t="s">
        <v>299</v>
      </c>
      <c r="BD155" s="38" t="s">
        <v>152</v>
      </c>
      <c r="BE155" s="68">
        <v>46144.0</v>
      </c>
      <c r="BF155" s="38" t="s">
        <v>312</v>
      </c>
    </row>
    <row r="156">
      <c r="A156" s="62" t="s">
        <v>262</v>
      </c>
      <c r="B156" s="63"/>
      <c r="C156" s="62" t="s">
        <v>173</v>
      </c>
      <c r="D156" s="63"/>
      <c r="E156" s="62" t="s">
        <v>263</v>
      </c>
      <c r="F156" s="62" t="s">
        <v>60</v>
      </c>
      <c r="G156" s="63"/>
      <c r="H156" s="62" t="s">
        <v>172</v>
      </c>
      <c r="I156" s="63"/>
      <c r="J156" s="64">
        <v>46144.0</v>
      </c>
      <c r="K156" s="65">
        <v>0.375</v>
      </c>
      <c r="L156" s="64">
        <v>46149.0</v>
      </c>
      <c r="M156" s="65">
        <v>0.9097222222222222</v>
      </c>
      <c r="N156" s="65">
        <v>5.534722222222222</v>
      </c>
      <c r="O156" s="66">
        <v>132.833333</v>
      </c>
      <c r="R156" s="67"/>
      <c r="S156" s="68">
        <v>46144.0</v>
      </c>
      <c r="T156" s="38" t="str">
        <f>IFERROR(__xludf.DUMMYFUNCTION("""COMPUTED_VALUE"""),"General - West Jordan Symphony")</f>
        <v>General - West Jordan Symphony</v>
      </c>
      <c r="U156" s="38" t="s">
        <v>170</v>
      </c>
      <c r="V156" s="38" t="s">
        <v>60</v>
      </c>
      <c r="W156" s="38" t="str">
        <f>IFERROR(__xludf.DUMMYFUNCTION("""COMPUTED_VALUE"""),"Participant Hours")</f>
        <v>Participant Hours</v>
      </c>
      <c r="X156" s="38" t="s">
        <v>44</v>
      </c>
      <c r="Y156" s="38">
        <v>132.833333</v>
      </c>
      <c r="Z156" s="38" t="s">
        <v>172</v>
      </c>
      <c r="AA156" s="38" t="s">
        <v>152</v>
      </c>
      <c r="AB156" s="68">
        <v>46144.0</v>
      </c>
      <c r="AC156" s="38" t="s">
        <v>173</v>
      </c>
      <c r="AP156" s="73">
        <v>46144.0</v>
      </c>
      <c r="AQ156" s="38" t="s">
        <v>64</v>
      </c>
      <c r="AR156" s="38" t="s">
        <v>170</v>
      </c>
      <c r="AS156" s="38" t="s">
        <v>60</v>
      </c>
      <c r="AT156" s="38" t="s">
        <v>48</v>
      </c>
      <c r="AU156" s="38" t="s">
        <v>44</v>
      </c>
      <c r="AV156" s="74">
        <v>0.375</v>
      </c>
      <c r="AW156" s="74">
        <v>0.9097222222222222</v>
      </c>
      <c r="AX156" s="38">
        <v>132.833333</v>
      </c>
      <c r="AY156" s="38" t="s">
        <v>179</v>
      </c>
      <c r="AZ156" s="38" t="s">
        <v>179</v>
      </c>
      <c r="BA156" s="38" t="s">
        <v>179</v>
      </c>
      <c r="BB156" s="38" t="s">
        <v>179</v>
      </c>
      <c r="BC156" s="38" t="s">
        <v>172</v>
      </c>
      <c r="BD156" s="38" t="s">
        <v>152</v>
      </c>
      <c r="BE156" s="68">
        <v>46144.0</v>
      </c>
      <c r="BF156" s="38" t="s">
        <v>173</v>
      </c>
    </row>
    <row r="157">
      <c r="A157" s="62" t="s">
        <v>262</v>
      </c>
      <c r="B157" s="63"/>
      <c r="C157" s="62" t="s">
        <v>225</v>
      </c>
      <c r="D157" s="63"/>
      <c r="E157" s="62" t="s">
        <v>285</v>
      </c>
      <c r="F157" s="62" t="s">
        <v>270</v>
      </c>
      <c r="G157" s="63"/>
      <c r="H157" s="62" t="s">
        <v>224</v>
      </c>
      <c r="I157" s="63"/>
      <c r="J157" s="64">
        <v>46144.0</v>
      </c>
      <c r="K157" s="65">
        <v>0.375</v>
      </c>
      <c r="L157" s="64">
        <v>46144.0</v>
      </c>
      <c r="M157" s="65">
        <v>0.625</v>
      </c>
      <c r="N157" s="65">
        <v>0.25</v>
      </c>
      <c r="O157" s="66">
        <v>6.0</v>
      </c>
      <c r="R157" s="67"/>
      <c r="S157" s="68">
        <v>46144.0</v>
      </c>
      <c r="T157" s="38" t="str">
        <f>IFERROR(__xludf.DUMMYFUNCTION("""COMPUTED_VALUE"""),"General / No Specific Project")</f>
        <v>General / No Specific Project</v>
      </c>
      <c r="U157" s="38" t="s">
        <v>200</v>
      </c>
      <c r="V157" s="38" t="s">
        <v>33</v>
      </c>
      <c r="W157" s="38" t="str">
        <f>IFERROR(__xludf.DUMMYFUNCTION("""COMPUTED_VALUE"""),"CASWJ Board Hours")</f>
        <v>CASWJ Board Hours</v>
      </c>
      <c r="X157" s="38" t="s">
        <v>44</v>
      </c>
      <c r="Y157" s="38">
        <v>6.0</v>
      </c>
      <c r="Z157" s="38" t="s">
        <v>224</v>
      </c>
      <c r="AA157" s="38" t="s">
        <v>152</v>
      </c>
      <c r="AB157" s="68">
        <v>46144.0</v>
      </c>
      <c r="AC157" s="38" t="s">
        <v>225</v>
      </c>
      <c r="AP157" s="73">
        <v>46144.0</v>
      </c>
      <c r="AQ157" s="38" t="s">
        <v>199</v>
      </c>
      <c r="AR157" s="38" t="s">
        <v>200</v>
      </c>
      <c r="AS157" s="38" t="s">
        <v>33</v>
      </c>
      <c r="AT157" s="38" t="s">
        <v>32</v>
      </c>
      <c r="AU157" s="38" t="s">
        <v>44</v>
      </c>
      <c r="AV157" s="74">
        <v>0.375</v>
      </c>
      <c r="AW157" s="74">
        <v>0.625</v>
      </c>
      <c r="AX157" s="38">
        <v>6.0</v>
      </c>
      <c r="AY157" s="38" t="s">
        <v>179</v>
      </c>
      <c r="AZ157" s="38" t="s">
        <v>179</v>
      </c>
      <c r="BA157" s="38" t="s">
        <v>179</v>
      </c>
      <c r="BB157" s="38" t="s">
        <v>179</v>
      </c>
      <c r="BC157" s="38" t="s">
        <v>224</v>
      </c>
      <c r="BD157" s="38" t="s">
        <v>152</v>
      </c>
      <c r="BE157" s="68">
        <v>46144.0</v>
      </c>
      <c r="BF157" s="38" t="s">
        <v>225</v>
      </c>
    </row>
    <row r="158">
      <c r="A158" s="62" t="s">
        <v>262</v>
      </c>
      <c r="B158" s="63"/>
      <c r="C158" s="62" t="s">
        <v>312</v>
      </c>
      <c r="D158" s="63"/>
      <c r="E158" s="62" t="s">
        <v>186</v>
      </c>
      <c r="F158" s="62" t="s">
        <v>53</v>
      </c>
      <c r="G158" s="63"/>
      <c r="H158" s="62" t="s">
        <v>299</v>
      </c>
      <c r="I158" s="63"/>
      <c r="J158" s="64">
        <v>46144.0</v>
      </c>
      <c r="K158" s="65">
        <v>0.3125</v>
      </c>
      <c r="L158" s="64">
        <v>46144.0</v>
      </c>
      <c r="M158" s="65">
        <v>0.4027777777777778</v>
      </c>
      <c r="N158" s="65">
        <v>0.09027777777777778</v>
      </c>
      <c r="O158" s="66">
        <v>2.166667</v>
      </c>
      <c r="R158" s="67"/>
      <c r="S158" s="68">
        <v>46144.0</v>
      </c>
      <c r="T158" s="38" t="str">
        <f>IFERROR(__xludf.DUMMYFUNCTION("""COMPUTED_VALUE"""),"General - Visual Arts Society")</f>
        <v>General - Visual Arts Society</v>
      </c>
      <c r="U158" s="38" t="s">
        <v>186</v>
      </c>
      <c r="V158" s="38" t="s">
        <v>53</v>
      </c>
      <c r="W158" s="38" t="str">
        <f>IFERROR(__xludf.DUMMYFUNCTION("""COMPUTED_VALUE"""),"Volunteer Hours")</f>
        <v>Volunteer Hours</v>
      </c>
      <c r="X158" s="38" t="s">
        <v>44</v>
      </c>
      <c r="Y158" s="38">
        <v>2.166667</v>
      </c>
      <c r="Z158" s="38" t="s">
        <v>299</v>
      </c>
      <c r="AA158" s="38" t="s">
        <v>152</v>
      </c>
      <c r="AB158" s="68">
        <v>46144.0</v>
      </c>
      <c r="AC158" s="38" t="s">
        <v>312</v>
      </c>
      <c r="AP158" s="73">
        <v>46144.0</v>
      </c>
      <c r="AQ158" s="38" t="s">
        <v>185</v>
      </c>
      <c r="AR158" s="38" t="s">
        <v>186</v>
      </c>
      <c r="AS158" s="38" t="s">
        <v>53</v>
      </c>
      <c r="AT158" s="38" t="s">
        <v>52</v>
      </c>
      <c r="AU158" s="38" t="s">
        <v>44</v>
      </c>
      <c r="AV158" s="74">
        <v>0.3125</v>
      </c>
      <c r="AW158" s="74">
        <v>0.4027777777777778</v>
      </c>
      <c r="AX158" s="38">
        <v>2.166667</v>
      </c>
      <c r="AY158" s="38" t="s">
        <v>179</v>
      </c>
      <c r="AZ158" s="38" t="s">
        <v>179</v>
      </c>
      <c r="BA158" s="38" t="s">
        <v>179</v>
      </c>
      <c r="BB158" s="38" t="s">
        <v>179</v>
      </c>
      <c r="BC158" s="38" t="s">
        <v>299</v>
      </c>
      <c r="BD158" s="38" t="s">
        <v>152</v>
      </c>
      <c r="BE158" s="68">
        <v>46144.0</v>
      </c>
      <c r="BF158" s="38" t="s">
        <v>312</v>
      </c>
    </row>
    <row r="159">
      <c r="A159" s="62" t="s">
        <v>262</v>
      </c>
      <c r="B159" s="63"/>
      <c r="C159" s="62" t="s">
        <v>312</v>
      </c>
      <c r="D159" s="63"/>
      <c r="E159" s="62" t="s">
        <v>186</v>
      </c>
      <c r="F159" s="62" t="s">
        <v>53</v>
      </c>
      <c r="G159" s="63"/>
      <c r="H159" s="62" t="s">
        <v>299</v>
      </c>
      <c r="I159" s="63"/>
      <c r="J159" s="64">
        <v>46144.0</v>
      </c>
      <c r="K159" s="65">
        <v>0.3125</v>
      </c>
      <c r="L159" s="64">
        <v>46144.0</v>
      </c>
      <c r="M159" s="65">
        <v>0.4375</v>
      </c>
      <c r="N159" s="65">
        <v>0.125</v>
      </c>
      <c r="O159" s="66">
        <v>3.0</v>
      </c>
      <c r="R159" s="67"/>
      <c r="S159" s="68">
        <v>46144.0</v>
      </c>
      <c r="T159" s="38" t="str">
        <f>IFERROR(__xludf.DUMMYFUNCTION("""COMPUTED_VALUE"""),"General - Visual Arts Society")</f>
        <v>General - Visual Arts Society</v>
      </c>
      <c r="U159" s="38" t="s">
        <v>186</v>
      </c>
      <c r="V159" s="38" t="s">
        <v>53</v>
      </c>
      <c r="W159" s="38" t="str">
        <f>IFERROR(__xludf.DUMMYFUNCTION("""COMPUTED_VALUE"""),"Volunteer Hours")</f>
        <v>Volunteer Hours</v>
      </c>
      <c r="X159" s="38" t="s">
        <v>44</v>
      </c>
      <c r="Y159" s="38">
        <v>3.0</v>
      </c>
      <c r="Z159" s="38" t="s">
        <v>299</v>
      </c>
      <c r="AA159" s="38" t="s">
        <v>152</v>
      </c>
      <c r="AB159" s="68">
        <v>46144.0</v>
      </c>
      <c r="AC159" s="38" t="s">
        <v>312</v>
      </c>
      <c r="AP159" s="73">
        <v>46144.0</v>
      </c>
      <c r="AQ159" s="38" t="s">
        <v>185</v>
      </c>
      <c r="AR159" s="38" t="s">
        <v>186</v>
      </c>
      <c r="AS159" s="38" t="s">
        <v>53</v>
      </c>
      <c r="AT159" s="38" t="s">
        <v>52</v>
      </c>
      <c r="AU159" s="38" t="s">
        <v>44</v>
      </c>
      <c r="AV159" s="74">
        <v>0.3125</v>
      </c>
      <c r="AW159" s="74">
        <v>0.4375</v>
      </c>
      <c r="AX159" s="38">
        <v>3.0</v>
      </c>
      <c r="AY159" s="38" t="s">
        <v>179</v>
      </c>
      <c r="AZ159" s="38" t="s">
        <v>179</v>
      </c>
      <c r="BA159" s="38" t="s">
        <v>179</v>
      </c>
      <c r="BB159" s="38" t="s">
        <v>179</v>
      </c>
      <c r="BC159" s="38" t="s">
        <v>299</v>
      </c>
      <c r="BD159" s="38" t="s">
        <v>152</v>
      </c>
      <c r="BE159" s="68">
        <v>46144.0</v>
      </c>
      <c r="BF159" s="38" t="s">
        <v>312</v>
      </c>
    </row>
    <row r="160">
      <c r="A160" s="62" t="s">
        <v>262</v>
      </c>
      <c r="B160" s="63"/>
      <c r="C160" s="62" t="s">
        <v>312</v>
      </c>
      <c r="D160" s="63"/>
      <c r="E160" s="62" t="s">
        <v>186</v>
      </c>
      <c r="F160" s="62" t="s">
        <v>53</v>
      </c>
      <c r="G160" s="63"/>
      <c r="H160" s="62" t="s">
        <v>299</v>
      </c>
      <c r="I160" s="63"/>
      <c r="J160" s="64">
        <v>46144.0</v>
      </c>
      <c r="K160" s="65">
        <v>0.3125</v>
      </c>
      <c r="L160" s="64">
        <v>46144.0</v>
      </c>
      <c r="M160" s="65">
        <v>0.4375</v>
      </c>
      <c r="N160" s="65">
        <v>0.125</v>
      </c>
      <c r="O160" s="66">
        <v>3.0</v>
      </c>
      <c r="R160" s="67"/>
      <c r="S160" s="68">
        <v>46144.0</v>
      </c>
      <c r="T160" s="38" t="str">
        <f>IFERROR(__xludf.DUMMYFUNCTION("""COMPUTED_VALUE"""),"General - Visual Arts Society")</f>
        <v>General - Visual Arts Society</v>
      </c>
      <c r="U160" s="38" t="s">
        <v>186</v>
      </c>
      <c r="V160" s="38" t="s">
        <v>53</v>
      </c>
      <c r="W160" s="38" t="str">
        <f>IFERROR(__xludf.DUMMYFUNCTION("""COMPUTED_VALUE"""),"Volunteer Hours")</f>
        <v>Volunteer Hours</v>
      </c>
      <c r="X160" s="38" t="s">
        <v>44</v>
      </c>
      <c r="Y160" s="38">
        <v>3.0</v>
      </c>
      <c r="Z160" s="38" t="s">
        <v>299</v>
      </c>
      <c r="AA160" s="38" t="s">
        <v>152</v>
      </c>
      <c r="AB160" s="68">
        <v>46144.0</v>
      </c>
      <c r="AC160" s="38" t="s">
        <v>312</v>
      </c>
      <c r="AP160" s="73">
        <v>46144.0</v>
      </c>
      <c r="AQ160" s="38" t="s">
        <v>185</v>
      </c>
      <c r="AR160" s="38" t="s">
        <v>186</v>
      </c>
      <c r="AS160" s="38" t="s">
        <v>53</v>
      </c>
      <c r="AT160" s="38" t="s">
        <v>52</v>
      </c>
      <c r="AU160" s="38" t="s">
        <v>44</v>
      </c>
      <c r="AV160" s="74">
        <v>0.3125</v>
      </c>
      <c r="AW160" s="74">
        <v>0.4375</v>
      </c>
      <c r="AX160" s="38">
        <v>3.0</v>
      </c>
      <c r="AY160" s="38" t="s">
        <v>179</v>
      </c>
      <c r="AZ160" s="38" t="s">
        <v>179</v>
      </c>
      <c r="BA160" s="38" t="s">
        <v>179</v>
      </c>
      <c r="BB160" s="38" t="s">
        <v>179</v>
      </c>
      <c r="BC160" s="38" t="s">
        <v>299</v>
      </c>
      <c r="BD160" s="38" t="s">
        <v>152</v>
      </c>
      <c r="BE160" s="68">
        <v>46144.0</v>
      </c>
      <c r="BF160" s="38" t="s">
        <v>312</v>
      </c>
    </row>
    <row r="161">
      <c r="A161" s="62" t="s">
        <v>262</v>
      </c>
      <c r="B161" s="63"/>
      <c r="C161" s="62" t="s">
        <v>315</v>
      </c>
      <c r="D161" s="63"/>
      <c r="E161" s="62" t="s">
        <v>186</v>
      </c>
      <c r="F161" s="62" t="s">
        <v>53</v>
      </c>
      <c r="G161" s="63"/>
      <c r="H161" s="62" t="s">
        <v>217</v>
      </c>
      <c r="I161" s="63"/>
      <c r="J161" s="64">
        <v>46144.0</v>
      </c>
      <c r="K161" s="65">
        <v>0.3125</v>
      </c>
      <c r="L161" s="64">
        <v>46144.0</v>
      </c>
      <c r="M161" s="65">
        <v>0.75</v>
      </c>
      <c r="N161" s="65">
        <v>0.4375</v>
      </c>
      <c r="O161" s="66">
        <v>10.5</v>
      </c>
      <c r="R161" s="67"/>
      <c r="S161" s="68">
        <v>46144.0</v>
      </c>
      <c r="T161" s="38" t="str">
        <f>IFERROR(__xludf.DUMMYFUNCTION("""COMPUTED_VALUE"""),"General - Visual Arts Society")</f>
        <v>General - Visual Arts Society</v>
      </c>
      <c r="U161" s="38" t="s">
        <v>186</v>
      </c>
      <c r="V161" s="38" t="s">
        <v>53</v>
      </c>
      <c r="W161" s="38" t="str">
        <f>IFERROR(__xludf.DUMMYFUNCTION("""COMPUTED_VALUE"""),"Committee Member Hours")</f>
        <v>Committee Member Hours</v>
      </c>
      <c r="X161" s="38" t="s">
        <v>44</v>
      </c>
      <c r="Y161" s="38">
        <v>10.5</v>
      </c>
      <c r="Z161" s="38" t="s">
        <v>217</v>
      </c>
      <c r="AA161" s="38" t="s">
        <v>152</v>
      </c>
      <c r="AB161" s="68">
        <v>46144.0</v>
      </c>
      <c r="AC161" s="38" t="s">
        <v>315</v>
      </c>
      <c r="AP161" s="73">
        <v>46144.0</v>
      </c>
      <c r="AQ161" s="38" t="s">
        <v>185</v>
      </c>
      <c r="AR161" s="38" t="s">
        <v>186</v>
      </c>
      <c r="AS161" s="38" t="s">
        <v>53</v>
      </c>
      <c r="AT161" s="38" t="s">
        <v>42</v>
      </c>
      <c r="AU161" s="38" t="s">
        <v>44</v>
      </c>
      <c r="AV161" s="74">
        <v>0.3125</v>
      </c>
      <c r="AW161" s="74">
        <v>0.75</v>
      </c>
      <c r="AX161" s="38">
        <v>10.5</v>
      </c>
      <c r="AY161" s="38" t="s">
        <v>179</v>
      </c>
      <c r="AZ161" s="38" t="s">
        <v>179</v>
      </c>
      <c r="BA161" s="38" t="s">
        <v>179</v>
      </c>
      <c r="BB161" s="38" t="s">
        <v>179</v>
      </c>
      <c r="BC161" s="38" t="s">
        <v>217</v>
      </c>
      <c r="BD161" s="38" t="s">
        <v>152</v>
      </c>
      <c r="BE161" s="68">
        <v>46144.0</v>
      </c>
      <c r="BF161" s="38" t="s">
        <v>315</v>
      </c>
    </row>
    <row r="162">
      <c r="A162" s="62" t="s">
        <v>262</v>
      </c>
      <c r="B162" s="63"/>
      <c r="C162" s="62" t="s">
        <v>315</v>
      </c>
      <c r="D162" s="63"/>
      <c r="E162" s="62" t="s">
        <v>271</v>
      </c>
      <c r="F162" s="62" t="s">
        <v>53</v>
      </c>
      <c r="G162" s="63"/>
      <c r="H162" s="62" t="s">
        <v>217</v>
      </c>
      <c r="I162" s="63"/>
      <c r="J162" s="64">
        <v>46144.0</v>
      </c>
      <c r="K162" s="65">
        <v>0.3020833333333333</v>
      </c>
      <c r="L162" s="64">
        <v>46144.0</v>
      </c>
      <c r="M162" s="65">
        <v>0.75</v>
      </c>
      <c r="N162" s="72">
        <v>0.4479166666666667</v>
      </c>
      <c r="O162" s="66">
        <v>10.75</v>
      </c>
      <c r="R162" s="67"/>
      <c r="S162" s="68">
        <v>46144.0</v>
      </c>
      <c r="T162" s="38" t="str">
        <f>IFERROR(__xludf.DUMMYFUNCTION("""COMPUTED_VALUE"""),"General - Visual Arts Society")</f>
        <v>General - Visual Arts Society</v>
      </c>
      <c r="U162" s="38" t="s">
        <v>175</v>
      </c>
      <c r="V162" s="38" t="s">
        <v>53</v>
      </c>
      <c r="W162" s="38" t="str">
        <f>IFERROR(__xludf.DUMMYFUNCTION("""COMPUTED_VALUE"""),"Committee Member Hours")</f>
        <v>Committee Member Hours</v>
      </c>
      <c r="X162" s="38" t="s">
        <v>44</v>
      </c>
      <c r="Y162" s="38">
        <v>10.75</v>
      </c>
      <c r="Z162" s="38" t="s">
        <v>217</v>
      </c>
      <c r="AA162" s="38" t="s">
        <v>152</v>
      </c>
      <c r="AB162" s="68">
        <v>46144.0</v>
      </c>
      <c r="AC162" s="38" t="s">
        <v>315</v>
      </c>
      <c r="AP162" s="73">
        <v>46144.0</v>
      </c>
      <c r="AQ162" s="38" t="s">
        <v>185</v>
      </c>
      <c r="AR162" s="38" t="s">
        <v>175</v>
      </c>
      <c r="AS162" s="38" t="s">
        <v>53</v>
      </c>
      <c r="AT162" s="38" t="s">
        <v>42</v>
      </c>
      <c r="AU162" s="38" t="s">
        <v>44</v>
      </c>
      <c r="AV162" s="74">
        <v>0.3020833333333333</v>
      </c>
      <c r="AW162" s="74">
        <v>0.75</v>
      </c>
      <c r="AX162" s="38">
        <v>10.75</v>
      </c>
      <c r="AY162" s="38" t="s">
        <v>179</v>
      </c>
      <c r="AZ162" s="38" t="s">
        <v>179</v>
      </c>
      <c r="BA162" s="38" t="s">
        <v>179</v>
      </c>
      <c r="BB162" s="38" t="s">
        <v>179</v>
      </c>
      <c r="BC162" s="38" t="s">
        <v>217</v>
      </c>
      <c r="BD162" s="38" t="s">
        <v>152</v>
      </c>
      <c r="BE162" s="68">
        <v>46144.0</v>
      </c>
      <c r="BF162" s="38" t="s">
        <v>315</v>
      </c>
    </row>
    <row r="163">
      <c r="A163" s="62" t="s">
        <v>262</v>
      </c>
      <c r="B163" s="63"/>
      <c r="C163" s="62" t="s">
        <v>316</v>
      </c>
      <c r="D163" s="63"/>
      <c r="E163" s="62" t="s">
        <v>149</v>
      </c>
      <c r="F163" s="62" t="s">
        <v>60</v>
      </c>
      <c r="G163" s="63"/>
      <c r="H163" s="62" t="s">
        <v>151</v>
      </c>
      <c r="I163" s="63"/>
      <c r="J163" s="64">
        <v>46143.0</v>
      </c>
      <c r="K163" s="65">
        <v>0.5381944444444444</v>
      </c>
      <c r="L163" s="64">
        <v>46143.0</v>
      </c>
      <c r="M163" s="65">
        <v>0.5409722222222222</v>
      </c>
      <c r="N163" s="65">
        <v>0.002777777777777778</v>
      </c>
      <c r="O163" s="66">
        <v>0.066667</v>
      </c>
      <c r="R163" s="67"/>
      <c r="S163" s="68">
        <v>46143.0</v>
      </c>
      <c r="T163" s="38" t="str">
        <f>IFERROR(__xludf.DUMMYFUNCTION("""COMPUTED_VALUE"""),"General - West Jordan Symphony")</f>
        <v>General - West Jordan Symphony</v>
      </c>
      <c r="U163" s="38" t="s">
        <v>209</v>
      </c>
      <c r="V163" s="38" t="s">
        <v>60</v>
      </c>
      <c r="W163" s="38" t="str">
        <f>IFERROR(__xludf.DUMMYFUNCTION("""COMPUTED_VALUE"""),"Committee Member Hours")</f>
        <v>Committee Member Hours</v>
      </c>
      <c r="X163" s="38" t="s">
        <v>44</v>
      </c>
      <c r="Y163" s="38">
        <v>0.066667</v>
      </c>
      <c r="Z163" s="38" t="s">
        <v>151</v>
      </c>
      <c r="AA163" s="38" t="s">
        <v>152</v>
      </c>
      <c r="AB163" s="68">
        <v>46143.0</v>
      </c>
      <c r="AC163" s="38" t="s">
        <v>316</v>
      </c>
      <c r="AP163" s="73">
        <v>46143.0</v>
      </c>
      <c r="AQ163" s="38" t="s">
        <v>64</v>
      </c>
      <c r="AR163" s="38" t="s">
        <v>209</v>
      </c>
      <c r="AS163" s="38" t="s">
        <v>60</v>
      </c>
      <c r="AT163" s="38" t="s">
        <v>42</v>
      </c>
      <c r="AU163" s="38" t="s">
        <v>44</v>
      </c>
      <c r="AV163" s="74">
        <v>0.5381944444444444</v>
      </c>
      <c r="AW163" s="74">
        <v>0.5409722222222222</v>
      </c>
      <c r="AX163" s="38">
        <v>0.066667</v>
      </c>
      <c r="AY163" s="38" t="s">
        <v>179</v>
      </c>
      <c r="AZ163" s="38" t="s">
        <v>179</v>
      </c>
      <c r="BA163" s="38" t="s">
        <v>179</v>
      </c>
      <c r="BB163" s="38" t="s">
        <v>179</v>
      </c>
      <c r="BC163" s="38" t="s">
        <v>151</v>
      </c>
      <c r="BD163" s="38" t="s">
        <v>152</v>
      </c>
      <c r="BE163" s="68">
        <v>46143.0</v>
      </c>
      <c r="BF163" s="38" t="s">
        <v>316</v>
      </c>
    </row>
    <row r="164">
      <c r="A164" s="62" t="s">
        <v>262</v>
      </c>
      <c r="B164" s="63"/>
      <c r="C164" s="62" t="s">
        <v>317</v>
      </c>
      <c r="D164" s="63"/>
      <c r="E164" s="62" t="s">
        <v>263</v>
      </c>
      <c r="F164" s="62" t="s">
        <v>60</v>
      </c>
      <c r="G164" s="63"/>
      <c r="H164" s="62" t="s">
        <v>151</v>
      </c>
      <c r="I164" s="63"/>
      <c r="J164" s="64">
        <v>46143.0</v>
      </c>
      <c r="K164" s="65">
        <v>0.11805555555555555</v>
      </c>
      <c r="L164" s="64">
        <v>46143.0</v>
      </c>
      <c r="M164" s="65">
        <v>0.5347222222222222</v>
      </c>
      <c r="N164" s="65">
        <v>0.4166666666666667</v>
      </c>
      <c r="O164" s="66">
        <v>10.0</v>
      </c>
      <c r="R164" s="67"/>
      <c r="S164" s="68">
        <v>46143.0</v>
      </c>
      <c r="T164" s="38" t="str">
        <f>IFERROR(__xludf.DUMMYFUNCTION("""COMPUTED_VALUE"""),"General - West Jordan Symphony")</f>
        <v>General - West Jordan Symphony</v>
      </c>
      <c r="U164" s="38" t="s">
        <v>170</v>
      </c>
      <c r="V164" s="38" t="s">
        <v>60</v>
      </c>
      <c r="W164" s="38" t="str">
        <f>IFERROR(__xludf.DUMMYFUNCTION("""COMPUTED_VALUE"""),"Committee Member Hours")</f>
        <v>Committee Member Hours</v>
      </c>
      <c r="X164" s="38" t="s">
        <v>44</v>
      </c>
      <c r="Y164" s="38">
        <v>10.0</v>
      </c>
      <c r="Z164" s="38" t="s">
        <v>151</v>
      </c>
      <c r="AA164" s="38" t="s">
        <v>152</v>
      </c>
      <c r="AB164" s="68">
        <v>46143.0</v>
      </c>
      <c r="AC164" s="38" t="s">
        <v>317</v>
      </c>
      <c r="AP164" s="73">
        <v>46143.0</v>
      </c>
      <c r="AQ164" s="38" t="s">
        <v>64</v>
      </c>
      <c r="AR164" s="38" t="s">
        <v>170</v>
      </c>
      <c r="AS164" s="38" t="s">
        <v>60</v>
      </c>
      <c r="AT164" s="38" t="s">
        <v>42</v>
      </c>
      <c r="AU164" s="38" t="s">
        <v>44</v>
      </c>
      <c r="AV164" s="74">
        <v>0.11805555555555555</v>
      </c>
      <c r="AW164" s="74">
        <v>0.5347222222222222</v>
      </c>
      <c r="AX164" s="38">
        <v>10.0</v>
      </c>
      <c r="AY164" s="38" t="s">
        <v>179</v>
      </c>
      <c r="AZ164" s="38" t="s">
        <v>179</v>
      </c>
      <c r="BA164" s="38" t="s">
        <v>179</v>
      </c>
      <c r="BB164" s="38" t="s">
        <v>179</v>
      </c>
      <c r="BC164" s="38" t="s">
        <v>151</v>
      </c>
      <c r="BD164" s="38" t="s">
        <v>152</v>
      </c>
      <c r="BE164" s="68">
        <v>46143.0</v>
      </c>
      <c r="BF164" s="38" t="s">
        <v>317</v>
      </c>
    </row>
    <row r="165">
      <c r="A165" s="62" t="s">
        <v>262</v>
      </c>
      <c r="B165" s="63"/>
      <c r="C165" s="62" t="s">
        <v>318</v>
      </c>
      <c r="D165" s="63"/>
      <c r="E165" s="62" t="s">
        <v>269</v>
      </c>
      <c r="F165" s="62" t="s">
        <v>65</v>
      </c>
      <c r="G165" s="63"/>
      <c r="H165" s="62" t="s">
        <v>168</v>
      </c>
      <c r="I165" s="63"/>
      <c r="J165" s="64">
        <v>46203.0</v>
      </c>
      <c r="K165" s="65">
        <v>0.7798611111111111</v>
      </c>
      <c r="L165" s="64">
        <v>46245.0</v>
      </c>
      <c r="M165" s="65">
        <v>0.4048611111111111</v>
      </c>
      <c r="N165" s="65">
        <v>41.625</v>
      </c>
      <c r="O165" s="66">
        <v>999.0</v>
      </c>
      <c r="R165" s="67"/>
      <c r="S165" s="68">
        <v>46203.0</v>
      </c>
      <c r="T165" s="38" t="str">
        <f>IFERROR(__xludf.DUMMYFUNCTION("""COMPUTED_VALUE"""),"General - West Jordan Youth Theatre")</f>
        <v>General - West Jordan Youth Theatre</v>
      </c>
      <c r="U165" s="38" t="s">
        <v>165</v>
      </c>
      <c r="V165" s="38" t="s">
        <v>65</v>
      </c>
      <c r="W165" s="38" t="str">
        <f>IFERROR(__xludf.DUMMYFUNCTION("""COMPUTED_VALUE"""),"")</f>
        <v/>
      </c>
      <c r="X165" s="38" t="s">
        <v>44</v>
      </c>
      <c r="Y165" s="38">
        <v>999.0</v>
      </c>
      <c r="Z165" s="38" t="s">
        <v>168</v>
      </c>
      <c r="AA165" s="38" t="s">
        <v>152</v>
      </c>
      <c r="AB165" s="68">
        <v>46203.0</v>
      </c>
      <c r="AC165" s="38" t="s">
        <v>318</v>
      </c>
      <c r="AP165" s="73">
        <v>46203.0</v>
      </c>
      <c r="AQ165" s="38" t="s">
        <v>164</v>
      </c>
      <c r="AR165" s="38" t="s">
        <v>165</v>
      </c>
      <c r="AS165" s="38" t="s">
        <v>65</v>
      </c>
      <c r="AT165" s="38" t="s">
        <v>179</v>
      </c>
      <c r="AU165" s="38" t="s">
        <v>44</v>
      </c>
      <c r="AV165" s="74">
        <v>0.7798611111111111</v>
      </c>
      <c r="AW165" s="74">
        <v>0.4048611111111111</v>
      </c>
      <c r="AX165" s="38">
        <v>999.0</v>
      </c>
      <c r="AY165" s="38" t="s">
        <v>179</v>
      </c>
      <c r="AZ165" s="38" t="s">
        <v>179</v>
      </c>
      <c r="BA165" s="38" t="s">
        <v>179</v>
      </c>
      <c r="BB165" s="38" t="s">
        <v>179</v>
      </c>
      <c r="BC165" s="38" t="s">
        <v>168</v>
      </c>
      <c r="BD165" s="38" t="s">
        <v>152</v>
      </c>
      <c r="BE165" s="68">
        <v>46203.0</v>
      </c>
      <c r="BF165" s="38" t="s">
        <v>318</v>
      </c>
    </row>
    <row r="166">
      <c r="A166" s="62" t="s">
        <v>262</v>
      </c>
      <c r="B166" s="63"/>
      <c r="C166" s="62" t="s">
        <v>318</v>
      </c>
      <c r="D166" s="63"/>
      <c r="E166" s="62" t="s">
        <v>269</v>
      </c>
      <c r="F166" s="62" t="s">
        <v>65</v>
      </c>
      <c r="G166" s="63"/>
      <c r="H166" s="62" t="s">
        <v>168</v>
      </c>
      <c r="I166" s="63"/>
      <c r="J166" s="64">
        <v>46203.0</v>
      </c>
      <c r="K166" s="65">
        <v>0.4048611111111111</v>
      </c>
      <c r="L166" s="64">
        <v>46245.0</v>
      </c>
      <c r="M166" s="65">
        <v>0.029861111111111113</v>
      </c>
      <c r="N166" s="65">
        <v>41.625</v>
      </c>
      <c r="O166" s="66">
        <v>999.0</v>
      </c>
      <c r="R166" s="67"/>
      <c r="S166" s="68">
        <v>46203.0</v>
      </c>
      <c r="T166" s="38" t="str">
        <f>IFERROR(__xludf.DUMMYFUNCTION("""COMPUTED_VALUE"""),"General - West Jordan Youth Theatre")</f>
        <v>General - West Jordan Youth Theatre</v>
      </c>
      <c r="U166" s="38" t="s">
        <v>165</v>
      </c>
      <c r="V166" s="38" t="s">
        <v>65</v>
      </c>
      <c r="W166" s="38" t="str">
        <f>IFERROR(__xludf.DUMMYFUNCTION("""COMPUTED_VALUE"""),"")</f>
        <v/>
      </c>
      <c r="X166" s="38" t="s">
        <v>44</v>
      </c>
      <c r="Y166" s="38">
        <v>999.0</v>
      </c>
      <c r="Z166" s="38" t="s">
        <v>168</v>
      </c>
      <c r="AA166" s="38" t="s">
        <v>152</v>
      </c>
      <c r="AB166" s="68">
        <v>46203.0</v>
      </c>
      <c r="AC166" s="38" t="s">
        <v>318</v>
      </c>
      <c r="AP166" s="73">
        <v>46203.0</v>
      </c>
      <c r="AQ166" s="38" t="s">
        <v>164</v>
      </c>
      <c r="AR166" s="38" t="s">
        <v>165</v>
      </c>
      <c r="AS166" s="38" t="s">
        <v>65</v>
      </c>
      <c r="AT166" s="38" t="s">
        <v>179</v>
      </c>
      <c r="AU166" s="38" t="s">
        <v>44</v>
      </c>
      <c r="AV166" s="74">
        <v>0.4048611111111111</v>
      </c>
      <c r="AW166" s="74">
        <v>0.029861111111111113</v>
      </c>
      <c r="AX166" s="38">
        <v>999.0</v>
      </c>
      <c r="AY166" s="38" t="s">
        <v>179</v>
      </c>
      <c r="AZ166" s="38" t="s">
        <v>179</v>
      </c>
      <c r="BA166" s="38" t="s">
        <v>179</v>
      </c>
      <c r="BB166" s="38" t="s">
        <v>179</v>
      </c>
      <c r="BC166" s="38" t="s">
        <v>168</v>
      </c>
      <c r="BD166" s="38" t="s">
        <v>152</v>
      </c>
      <c r="BE166" s="68">
        <v>46203.0</v>
      </c>
      <c r="BF166" s="38" t="s">
        <v>318</v>
      </c>
    </row>
    <row r="167">
      <c r="A167" s="62" t="s">
        <v>262</v>
      </c>
      <c r="B167" s="63"/>
      <c r="C167" s="62" t="s">
        <v>319</v>
      </c>
      <c r="D167" s="63"/>
      <c r="E167" s="62" t="s">
        <v>263</v>
      </c>
      <c r="F167" s="62" t="s">
        <v>60</v>
      </c>
      <c r="G167" s="63"/>
      <c r="H167" s="62" t="s">
        <v>151</v>
      </c>
      <c r="I167" s="63"/>
      <c r="J167" s="64">
        <v>46203.0</v>
      </c>
      <c r="K167" s="65">
        <v>0.375</v>
      </c>
      <c r="L167" s="64">
        <v>46203.0</v>
      </c>
      <c r="M167" s="65">
        <v>0.4583333333333333</v>
      </c>
      <c r="N167" s="65">
        <v>0.08333333333333333</v>
      </c>
      <c r="O167" s="66">
        <v>2.0</v>
      </c>
      <c r="R167" s="67"/>
      <c r="S167" s="68">
        <v>46203.0</v>
      </c>
      <c r="T167" s="38" t="str">
        <f>IFERROR(__xludf.DUMMYFUNCTION("""COMPUTED_VALUE"""),"General - West Jordan Symphony")</f>
        <v>General - West Jordan Symphony</v>
      </c>
      <c r="U167" s="38" t="s">
        <v>170</v>
      </c>
      <c r="V167" s="38" t="s">
        <v>60</v>
      </c>
      <c r="W167" s="38" t="str">
        <f>IFERROR(__xludf.DUMMYFUNCTION("""COMPUTED_VALUE"""),"Committee Member Hours")</f>
        <v>Committee Member Hours</v>
      </c>
      <c r="X167" s="38" t="s">
        <v>44</v>
      </c>
      <c r="Y167" s="38">
        <v>2.0</v>
      </c>
      <c r="Z167" s="38" t="s">
        <v>151</v>
      </c>
      <c r="AA167" s="38" t="s">
        <v>152</v>
      </c>
      <c r="AB167" s="68">
        <v>46203.0</v>
      </c>
      <c r="AC167" s="38" t="s">
        <v>319</v>
      </c>
      <c r="AP167" s="73">
        <v>46203.0</v>
      </c>
      <c r="AQ167" s="38" t="s">
        <v>64</v>
      </c>
      <c r="AR167" s="38" t="s">
        <v>170</v>
      </c>
      <c r="AS167" s="38" t="s">
        <v>60</v>
      </c>
      <c r="AT167" s="38" t="s">
        <v>42</v>
      </c>
      <c r="AU167" s="38" t="s">
        <v>44</v>
      </c>
      <c r="AV167" s="74">
        <v>0.375</v>
      </c>
      <c r="AW167" s="74">
        <v>0.4583333333333333</v>
      </c>
      <c r="AX167" s="38">
        <v>2.0</v>
      </c>
      <c r="AY167" s="38" t="s">
        <v>179</v>
      </c>
      <c r="AZ167" s="38" t="s">
        <v>179</v>
      </c>
      <c r="BA167" s="38" t="s">
        <v>179</v>
      </c>
      <c r="BB167" s="38" t="s">
        <v>179</v>
      </c>
      <c r="BC167" s="38" t="s">
        <v>151</v>
      </c>
      <c r="BD167" s="38" t="s">
        <v>152</v>
      </c>
      <c r="BE167" s="68">
        <v>46203.0</v>
      </c>
      <c r="BF167" s="38" t="s">
        <v>319</v>
      </c>
    </row>
    <row r="168">
      <c r="A168" s="62" t="s">
        <v>262</v>
      </c>
      <c r="B168" s="63"/>
      <c r="C168" s="62" t="s">
        <v>318</v>
      </c>
      <c r="D168" s="63"/>
      <c r="E168" s="62" t="s">
        <v>269</v>
      </c>
      <c r="F168" s="62" t="s">
        <v>65</v>
      </c>
      <c r="G168" s="63"/>
      <c r="H168" s="62" t="s">
        <v>168</v>
      </c>
      <c r="I168" s="63"/>
      <c r="J168" s="64">
        <v>46203.0</v>
      </c>
      <c r="K168" s="65">
        <v>0.029861111111111113</v>
      </c>
      <c r="L168" s="64">
        <v>46234.0</v>
      </c>
      <c r="M168" s="65">
        <v>0.4465277777777778</v>
      </c>
      <c r="N168" s="65">
        <v>31.416666666666668</v>
      </c>
      <c r="O168" s="66">
        <v>754.0</v>
      </c>
      <c r="R168" s="67"/>
      <c r="S168" s="68">
        <v>46203.0</v>
      </c>
      <c r="T168" s="38" t="str">
        <f>IFERROR(__xludf.DUMMYFUNCTION("""COMPUTED_VALUE"""),"General - West Jordan Youth Theatre")</f>
        <v>General - West Jordan Youth Theatre</v>
      </c>
      <c r="U168" s="38" t="s">
        <v>165</v>
      </c>
      <c r="V168" s="38" t="s">
        <v>65</v>
      </c>
      <c r="W168" s="38" t="str">
        <f>IFERROR(__xludf.DUMMYFUNCTION("""COMPUTED_VALUE"""),"")</f>
        <v/>
      </c>
      <c r="X168" s="38" t="s">
        <v>44</v>
      </c>
      <c r="Y168" s="38">
        <v>754.0</v>
      </c>
      <c r="Z168" s="38" t="s">
        <v>168</v>
      </c>
      <c r="AA168" s="38" t="s">
        <v>152</v>
      </c>
      <c r="AB168" s="68">
        <v>46203.0</v>
      </c>
      <c r="AC168" s="38" t="s">
        <v>318</v>
      </c>
      <c r="AP168" s="73">
        <v>46203.0</v>
      </c>
      <c r="AQ168" s="38" t="s">
        <v>164</v>
      </c>
      <c r="AR168" s="38" t="s">
        <v>165</v>
      </c>
      <c r="AS168" s="38" t="s">
        <v>65</v>
      </c>
      <c r="AT168" s="38" t="s">
        <v>179</v>
      </c>
      <c r="AU168" s="38" t="s">
        <v>44</v>
      </c>
      <c r="AV168" s="74">
        <v>0.029861111111111113</v>
      </c>
      <c r="AW168" s="74">
        <v>0.4465277777777778</v>
      </c>
      <c r="AX168" s="38">
        <v>754.0</v>
      </c>
      <c r="AY168" s="38" t="s">
        <v>179</v>
      </c>
      <c r="AZ168" s="38" t="s">
        <v>179</v>
      </c>
      <c r="BA168" s="38" t="s">
        <v>179</v>
      </c>
      <c r="BB168" s="38" t="s">
        <v>179</v>
      </c>
      <c r="BC168" s="38" t="s">
        <v>168</v>
      </c>
      <c r="BD168" s="38" t="s">
        <v>152</v>
      </c>
      <c r="BE168" s="68">
        <v>46203.0</v>
      </c>
      <c r="BF168" s="38" t="s">
        <v>318</v>
      </c>
    </row>
    <row r="169">
      <c r="A169" s="62" t="s">
        <v>262</v>
      </c>
      <c r="B169" s="63"/>
      <c r="C169" s="62" t="s">
        <v>320</v>
      </c>
      <c r="D169" s="63"/>
      <c r="E169" s="62" t="s">
        <v>271</v>
      </c>
      <c r="F169" s="62" t="s">
        <v>53</v>
      </c>
      <c r="G169" s="63"/>
      <c r="H169" s="62" t="s">
        <v>217</v>
      </c>
      <c r="I169" s="63"/>
      <c r="J169" s="64">
        <v>46202.0</v>
      </c>
      <c r="K169" s="65">
        <v>0.6701388888888888</v>
      </c>
      <c r="L169" s="64">
        <v>46202.0</v>
      </c>
      <c r="M169" s="65">
        <v>0.7034722222222223</v>
      </c>
      <c r="N169" s="72">
        <v>0.03333333333333333</v>
      </c>
      <c r="O169" s="66">
        <v>0.8</v>
      </c>
      <c r="R169" s="67"/>
      <c r="S169" s="68">
        <v>46202.0</v>
      </c>
      <c r="T169" s="38" t="str">
        <f>IFERROR(__xludf.DUMMYFUNCTION("""COMPUTED_VALUE"""),"General - Visual Arts Society")</f>
        <v>General - Visual Arts Society</v>
      </c>
      <c r="U169" s="38" t="s">
        <v>175</v>
      </c>
      <c r="V169" s="38" t="s">
        <v>53</v>
      </c>
      <c r="W169" s="38" t="str">
        <f>IFERROR(__xludf.DUMMYFUNCTION("""COMPUTED_VALUE"""),"Committee Member Hours")</f>
        <v>Committee Member Hours</v>
      </c>
      <c r="X169" s="38" t="s">
        <v>44</v>
      </c>
      <c r="Y169" s="38">
        <v>0.8</v>
      </c>
      <c r="Z169" s="38" t="s">
        <v>217</v>
      </c>
      <c r="AA169" s="38" t="s">
        <v>152</v>
      </c>
      <c r="AB169" s="68">
        <v>46202.0</v>
      </c>
      <c r="AC169" s="38" t="s">
        <v>320</v>
      </c>
      <c r="AP169" s="73">
        <v>46202.0</v>
      </c>
      <c r="AQ169" s="38" t="s">
        <v>185</v>
      </c>
      <c r="AR169" s="38" t="s">
        <v>175</v>
      </c>
      <c r="AS169" s="38" t="s">
        <v>53</v>
      </c>
      <c r="AT169" s="38" t="s">
        <v>42</v>
      </c>
      <c r="AU169" s="38" t="s">
        <v>44</v>
      </c>
      <c r="AV169" s="74">
        <v>0.6701388888888888</v>
      </c>
      <c r="AW169" s="74">
        <v>0.7034722222222223</v>
      </c>
      <c r="AX169" s="38">
        <v>0.8</v>
      </c>
      <c r="AY169" s="38" t="s">
        <v>179</v>
      </c>
      <c r="AZ169" s="38" t="s">
        <v>179</v>
      </c>
      <c r="BA169" s="38" t="s">
        <v>179</v>
      </c>
      <c r="BB169" s="38" t="s">
        <v>179</v>
      </c>
      <c r="BC169" s="38" t="s">
        <v>217</v>
      </c>
      <c r="BD169" s="38" t="s">
        <v>152</v>
      </c>
      <c r="BE169" s="68">
        <v>46202.0</v>
      </c>
      <c r="BF169" s="38" t="s">
        <v>320</v>
      </c>
    </row>
    <row r="170">
      <c r="A170" s="62" t="s">
        <v>262</v>
      </c>
      <c r="B170" s="63"/>
      <c r="C170" s="62" t="s">
        <v>321</v>
      </c>
      <c r="D170" s="63"/>
      <c r="E170" s="62" t="s">
        <v>271</v>
      </c>
      <c r="F170" s="62" t="s">
        <v>53</v>
      </c>
      <c r="G170" s="63"/>
      <c r="H170" s="62" t="s">
        <v>217</v>
      </c>
      <c r="I170" s="63"/>
      <c r="J170" s="64">
        <v>46202.0</v>
      </c>
      <c r="K170" s="65">
        <v>0.59375</v>
      </c>
      <c r="L170" s="64">
        <v>46202.0</v>
      </c>
      <c r="M170" s="65">
        <v>0.6597222222222222</v>
      </c>
      <c r="N170" s="72">
        <v>0.06597222222222222</v>
      </c>
      <c r="O170" s="66">
        <v>1.583333</v>
      </c>
      <c r="R170" s="67"/>
      <c r="S170" s="68">
        <v>46202.0</v>
      </c>
      <c r="T170" s="38" t="str">
        <f>IFERROR(__xludf.DUMMYFUNCTION("""COMPUTED_VALUE"""),"General - Visual Arts Society")</f>
        <v>General - Visual Arts Society</v>
      </c>
      <c r="U170" s="38" t="s">
        <v>175</v>
      </c>
      <c r="V170" s="38" t="s">
        <v>53</v>
      </c>
      <c r="W170" s="38" t="str">
        <f>IFERROR(__xludf.DUMMYFUNCTION("""COMPUTED_VALUE"""),"Committee Member Hours")</f>
        <v>Committee Member Hours</v>
      </c>
      <c r="X170" s="38" t="s">
        <v>44</v>
      </c>
      <c r="Y170" s="38">
        <v>1.583333</v>
      </c>
      <c r="Z170" s="38" t="s">
        <v>217</v>
      </c>
      <c r="AA170" s="38" t="s">
        <v>152</v>
      </c>
      <c r="AB170" s="68">
        <v>46202.0</v>
      </c>
      <c r="AC170" s="38" t="s">
        <v>321</v>
      </c>
      <c r="AP170" s="73">
        <v>46202.0</v>
      </c>
      <c r="AQ170" s="38" t="s">
        <v>185</v>
      </c>
      <c r="AR170" s="38" t="s">
        <v>175</v>
      </c>
      <c r="AS170" s="38" t="s">
        <v>53</v>
      </c>
      <c r="AT170" s="38" t="s">
        <v>42</v>
      </c>
      <c r="AU170" s="38" t="s">
        <v>44</v>
      </c>
      <c r="AV170" s="74">
        <v>0.59375</v>
      </c>
      <c r="AW170" s="74">
        <v>0.6597222222222222</v>
      </c>
      <c r="AX170" s="38">
        <v>1.583333</v>
      </c>
      <c r="AY170" s="38" t="s">
        <v>179</v>
      </c>
      <c r="AZ170" s="38" t="s">
        <v>179</v>
      </c>
      <c r="BA170" s="38" t="s">
        <v>179</v>
      </c>
      <c r="BB170" s="38" t="s">
        <v>179</v>
      </c>
      <c r="BC170" s="38" t="s">
        <v>217</v>
      </c>
      <c r="BD170" s="38" t="s">
        <v>152</v>
      </c>
      <c r="BE170" s="68">
        <v>46202.0</v>
      </c>
      <c r="BF170" s="38" t="s">
        <v>321</v>
      </c>
    </row>
    <row r="171">
      <c r="A171" s="62" t="s">
        <v>262</v>
      </c>
      <c r="B171" s="63"/>
      <c r="C171" s="62" t="s">
        <v>225</v>
      </c>
      <c r="D171" s="63"/>
      <c r="E171" s="62" t="s">
        <v>285</v>
      </c>
      <c r="F171" s="62" t="s">
        <v>270</v>
      </c>
      <c r="G171" s="63"/>
      <c r="H171" s="62" t="s">
        <v>224</v>
      </c>
      <c r="I171" s="63"/>
      <c r="J171" s="64">
        <v>46202.0</v>
      </c>
      <c r="K171" s="65">
        <v>0.43680555555555556</v>
      </c>
      <c r="L171" s="64">
        <v>46202.0</v>
      </c>
      <c r="M171" s="65">
        <v>0.4576388888888889</v>
      </c>
      <c r="N171" s="72">
        <v>0.020833333333333332</v>
      </c>
      <c r="O171" s="66">
        <v>0.5</v>
      </c>
      <c r="R171" s="67"/>
      <c r="S171" s="68">
        <v>46202.0</v>
      </c>
      <c r="T171" s="38" t="str">
        <f>IFERROR(__xludf.DUMMYFUNCTION("""COMPUTED_VALUE"""),"General / No Specific Project")</f>
        <v>General / No Specific Project</v>
      </c>
      <c r="U171" s="38" t="s">
        <v>200</v>
      </c>
      <c r="V171" s="38" t="s">
        <v>33</v>
      </c>
      <c r="W171" s="38" t="str">
        <f>IFERROR(__xludf.DUMMYFUNCTION("""COMPUTED_VALUE"""),"CASWJ Board Hours")</f>
        <v>CASWJ Board Hours</v>
      </c>
      <c r="X171" s="38" t="s">
        <v>44</v>
      </c>
      <c r="Y171" s="38">
        <v>0.5</v>
      </c>
      <c r="Z171" s="38" t="s">
        <v>224</v>
      </c>
      <c r="AA171" s="38" t="s">
        <v>152</v>
      </c>
      <c r="AB171" s="68">
        <v>46202.0</v>
      </c>
      <c r="AC171" s="38" t="s">
        <v>225</v>
      </c>
      <c r="AP171" s="73">
        <v>46202.0</v>
      </c>
      <c r="AQ171" s="38" t="s">
        <v>199</v>
      </c>
      <c r="AR171" s="38" t="s">
        <v>200</v>
      </c>
      <c r="AS171" s="38" t="s">
        <v>33</v>
      </c>
      <c r="AT171" s="38" t="s">
        <v>32</v>
      </c>
      <c r="AU171" s="38" t="s">
        <v>44</v>
      </c>
      <c r="AV171" s="74">
        <v>0.43680555555555556</v>
      </c>
      <c r="AW171" s="74">
        <v>0.4576388888888889</v>
      </c>
      <c r="AX171" s="38">
        <v>0.5</v>
      </c>
      <c r="AY171" s="38" t="s">
        <v>179</v>
      </c>
      <c r="AZ171" s="38" t="s">
        <v>179</v>
      </c>
      <c r="BA171" s="38" t="s">
        <v>179</v>
      </c>
      <c r="BB171" s="38" t="s">
        <v>179</v>
      </c>
      <c r="BC171" s="38" t="s">
        <v>224</v>
      </c>
      <c r="BD171" s="38" t="s">
        <v>152</v>
      </c>
      <c r="BE171" s="68">
        <v>46202.0</v>
      </c>
      <c r="BF171" s="38" t="s">
        <v>225</v>
      </c>
    </row>
    <row r="172">
      <c r="A172" s="62" t="s">
        <v>262</v>
      </c>
      <c r="B172" s="63"/>
      <c r="C172" s="62" t="s">
        <v>322</v>
      </c>
      <c r="D172" s="63"/>
      <c r="E172" s="62" t="s">
        <v>301</v>
      </c>
      <c r="F172" s="75" t="s">
        <v>49</v>
      </c>
      <c r="G172" s="63"/>
      <c r="H172" s="75" t="s">
        <v>187</v>
      </c>
      <c r="I172" s="63"/>
      <c r="J172" s="64">
        <v>46200.0</v>
      </c>
      <c r="K172" s="65">
        <v>0.7708333333333334</v>
      </c>
      <c r="L172" s="64">
        <v>46200.0</v>
      </c>
      <c r="M172" s="65">
        <v>0.8125</v>
      </c>
      <c r="N172" s="72">
        <v>0.041666666666666664</v>
      </c>
      <c r="O172" s="66">
        <v>1.0</v>
      </c>
      <c r="R172" s="67"/>
      <c r="S172" s="68">
        <v>46200.0</v>
      </c>
      <c r="T172" s="38" t="str">
        <f>IFERROR(__xludf.DUMMYFUNCTION("""COMPUTED_VALUE"""),"General - Sugar Factory Playhouse")</f>
        <v>General - Sugar Factory Playhouse</v>
      </c>
      <c r="U172" s="38" t="s">
        <v>228</v>
      </c>
      <c r="V172" s="38" t="s">
        <v>49</v>
      </c>
      <c r="W172" s="38" t="str">
        <f>IFERROR(__xludf.DUMMYFUNCTION("""COMPUTED_VALUE"""),"Committee Member Hours")</f>
        <v>Committee Member Hours</v>
      </c>
      <c r="X172" s="38" t="s">
        <v>44</v>
      </c>
      <c r="Y172" s="38">
        <v>1.0</v>
      </c>
      <c r="Z172" s="38" t="s">
        <v>187</v>
      </c>
      <c r="AA172" s="38" t="s">
        <v>152</v>
      </c>
      <c r="AB172" s="68">
        <v>46200.0</v>
      </c>
      <c r="AC172" s="38" t="s">
        <v>322</v>
      </c>
      <c r="AP172" s="73">
        <v>46200.0</v>
      </c>
      <c r="AQ172" s="38" t="s">
        <v>227</v>
      </c>
      <c r="AR172" s="38" t="s">
        <v>228</v>
      </c>
      <c r="AS172" s="38" t="s">
        <v>49</v>
      </c>
      <c r="AT172" s="38" t="s">
        <v>42</v>
      </c>
      <c r="AU172" s="38" t="s">
        <v>44</v>
      </c>
      <c r="AV172" s="74">
        <v>0.7708333333333334</v>
      </c>
      <c r="AW172" s="74">
        <v>0.8125</v>
      </c>
      <c r="AX172" s="38">
        <v>1.0</v>
      </c>
      <c r="AY172" s="38" t="s">
        <v>179</v>
      </c>
      <c r="AZ172" s="38" t="s">
        <v>179</v>
      </c>
      <c r="BA172" s="38" t="s">
        <v>179</v>
      </c>
      <c r="BB172" s="38" t="s">
        <v>179</v>
      </c>
      <c r="BC172" s="38" t="s">
        <v>187</v>
      </c>
      <c r="BD172" s="38" t="s">
        <v>152</v>
      </c>
      <c r="BE172" s="68">
        <v>46200.0</v>
      </c>
      <c r="BF172" s="38" t="s">
        <v>322</v>
      </c>
    </row>
    <row r="173">
      <c r="A173" s="62" t="s">
        <v>262</v>
      </c>
      <c r="B173" s="63"/>
      <c r="C173" s="62" t="s">
        <v>322</v>
      </c>
      <c r="D173" s="63"/>
      <c r="E173" s="62" t="s">
        <v>301</v>
      </c>
      <c r="F173" s="75" t="s">
        <v>49</v>
      </c>
      <c r="G173" s="63"/>
      <c r="H173" s="75" t="s">
        <v>187</v>
      </c>
      <c r="I173" s="63"/>
      <c r="J173" s="64">
        <v>46198.0</v>
      </c>
      <c r="K173" s="65">
        <v>0.7708333333333334</v>
      </c>
      <c r="L173" s="64">
        <v>46198.0</v>
      </c>
      <c r="M173" s="65">
        <v>0.8125</v>
      </c>
      <c r="N173" s="72">
        <v>0.041666666666666664</v>
      </c>
      <c r="O173" s="66">
        <v>1.0</v>
      </c>
      <c r="R173" s="67"/>
      <c r="S173" s="68">
        <v>46198.0</v>
      </c>
      <c r="T173" s="38" t="str">
        <f>IFERROR(__xludf.DUMMYFUNCTION("""COMPUTED_VALUE"""),"General - Sugar Factory Playhouse")</f>
        <v>General - Sugar Factory Playhouse</v>
      </c>
      <c r="U173" s="38" t="s">
        <v>228</v>
      </c>
      <c r="V173" s="38" t="s">
        <v>49</v>
      </c>
      <c r="W173" s="38" t="str">
        <f>IFERROR(__xludf.DUMMYFUNCTION("""COMPUTED_VALUE"""),"Committee Member Hours")</f>
        <v>Committee Member Hours</v>
      </c>
      <c r="X173" s="38" t="s">
        <v>44</v>
      </c>
      <c r="Y173" s="38">
        <v>1.0</v>
      </c>
      <c r="Z173" s="38" t="s">
        <v>187</v>
      </c>
      <c r="AA173" s="38" t="s">
        <v>152</v>
      </c>
      <c r="AB173" s="68">
        <v>46198.0</v>
      </c>
      <c r="AC173" s="38" t="s">
        <v>322</v>
      </c>
      <c r="AP173" s="73">
        <v>46198.0</v>
      </c>
      <c r="AQ173" s="38" t="s">
        <v>227</v>
      </c>
      <c r="AR173" s="38" t="s">
        <v>228</v>
      </c>
      <c r="AS173" s="38" t="s">
        <v>49</v>
      </c>
      <c r="AT173" s="38" t="s">
        <v>42</v>
      </c>
      <c r="AU173" s="38" t="s">
        <v>44</v>
      </c>
      <c r="AV173" s="74">
        <v>0.7708333333333334</v>
      </c>
      <c r="AW173" s="74">
        <v>0.8125</v>
      </c>
      <c r="AX173" s="38">
        <v>1.0</v>
      </c>
      <c r="AY173" s="38" t="s">
        <v>179</v>
      </c>
      <c r="AZ173" s="38" t="s">
        <v>179</v>
      </c>
      <c r="BA173" s="38" t="s">
        <v>179</v>
      </c>
      <c r="BB173" s="38" t="s">
        <v>179</v>
      </c>
      <c r="BC173" s="38" t="s">
        <v>187</v>
      </c>
      <c r="BD173" s="38" t="s">
        <v>152</v>
      </c>
      <c r="BE173" s="68">
        <v>46198.0</v>
      </c>
      <c r="BF173" s="38" t="s">
        <v>322</v>
      </c>
    </row>
    <row r="174">
      <c r="A174" s="62" t="s">
        <v>262</v>
      </c>
      <c r="B174" s="63"/>
      <c r="C174" s="62" t="s">
        <v>322</v>
      </c>
      <c r="D174" s="63"/>
      <c r="E174" s="62" t="s">
        <v>301</v>
      </c>
      <c r="F174" s="75" t="s">
        <v>49</v>
      </c>
      <c r="G174" s="63"/>
      <c r="H174" s="75" t="s">
        <v>187</v>
      </c>
      <c r="I174" s="63"/>
      <c r="J174" s="64">
        <v>46197.0</v>
      </c>
      <c r="K174" s="65">
        <v>0.7708333333333334</v>
      </c>
      <c r="L174" s="64">
        <v>46197.0</v>
      </c>
      <c r="M174" s="65">
        <v>0.8125</v>
      </c>
      <c r="N174" s="65">
        <v>0.041666666666666664</v>
      </c>
      <c r="O174" s="66">
        <v>1.0</v>
      </c>
      <c r="R174" s="67"/>
      <c r="S174" s="68">
        <v>46197.0</v>
      </c>
      <c r="T174" s="38" t="str">
        <f>IFERROR(__xludf.DUMMYFUNCTION("""COMPUTED_VALUE"""),"General - Sugar Factory Playhouse")</f>
        <v>General - Sugar Factory Playhouse</v>
      </c>
      <c r="U174" s="38" t="s">
        <v>228</v>
      </c>
      <c r="V174" s="38" t="s">
        <v>49</v>
      </c>
      <c r="W174" s="38" t="str">
        <f>IFERROR(__xludf.DUMMYFUNCTION("""COMPUTED_VALUE"""),"Committee Member Hours")</f>
        <v>Committee Member Hours</v>
      </c>
      <c r="X174" s="38" t="s">
        <v>44</v>
      </c>
      <c r="Y174" s="38">
        <v>1.0</v>
      </c>
      <c r="Z174" s="38" t="s">
        <v>187</v>
      </c>
      <c r="AA174" s="38" t="s">
        <v>152</v>
      </c>
      <c r="AB174" s="68">
        <v>46197.0</v>
      </c>
      <c r="AC174" s="38" t="s">
        <v>322</v>
      </c>
      <c r="AP174" s="73">
        <v>46197.0</v>
      </c>
      <c r="AQ174" s="38" t="s">
        <v>227</v>
      </c>
      <c r="AR174" s="38" t="s">
        <v>228</v>
      </c>
      <c r="AS174" s="38" t="s">
        <v>49</v>
      </c>
      <c r="AT174" s="38" t="s">
        <v>42</v>
      </c>
      <c r="AU174" s="38" t="s">
        <v>44</v>
      </c>
      <c r="AV174" s="74">
        <v>0.7708333333333334</v>
      </c>
      <c r="AW174" s="74">
        <v>0.8125</v>
      </c>
      <c r="AX174" s="38">
        <v>1.0</v>
      </c>
      <c r="AY174" s="38" t="s">
        <v>179</v>
      </c>
      <c r="AZ174" s="38" t="s">
        <v>179</v>
      </c>
      <c r="BA174" s="38" t="s">
        <v>179</v>
      </c>
      <c r="BB174" s="38" t="s">
        <v>179</v>
      </c>
      <c r="BC174" s="38" t="s">
        <v>187</v>
      </c>
      <c r="BD174" s="38" t="s">
        <v>152</v>
      </c>
      <c r="BE174" s="68">
        <v>46197.0</v>
      </c>
      <c r="BF174" s="38" t="s">
        <v>322</v>
      </c>
    </row>
    <row r="175">
      <c r="A175" s="62" t="s">
        <v>262</v>
      </c>
      <c r="B175" s="63"/>
      <c r="C175" s="62" t="s">
        <v>225</v>
      </c>
      <c r="D175" s="63"/>
      <c r="E175" s="62" t="s">
        <v>285</v>
      </c>
      <c r="F175" s="62" t="s">
        <v>270</v>
      </c>
      <c r="G175" s="63"/>
      <c r="H175" s="62" t="s">
        <v>224</v>
      </c>
      <c r="I175" s="63"/>
      <c r="J175" s="64">
        <v>46197.0</v>
      </c>
      <c r="K175" s="65">
        <v>0.5840277777777778</v>
      </c>
      <c r="L175" s="64">
        <v>46197.0</v>
      </c>
      <c r="M175" s="65">
        <v>0.6256944444444444</v>
      </c>
      <c r="N175" s="65">
        <v>0.041666666666666664</v>
      </c>
      <c r="O175" s="66">
        <v>1.0</v>
      </c>
      <c r="R175" s="67"/>
      <c r="S175" s="68">
        <v>46197.0</v>
      </c>
      <c r="T175" s="38" t="str">
        <f>IFERROR(__xludf.DUMMYFUNCTION("""COMPUTED_VALUE"""),"General / No Specific Project")</f>
        <v>General / No Specific Project</v>
      </c>
      <c r="U175" s="38" t="s">
        <v>200</v>
      </c>
      <c r="V175" s="38" t="s">
        <v>33</v>
      </c>
      <c r="W175" s="38" t="str">
        <f>IFERROR(__xludf.DUMMYFUNCTION("""COMPUTED_VALUE"""),"CASWJ Board Hours")</f>
        <v>CASWJ Board Hours</v>
      </c>
      <c r="X175" s="38" t="s">
        <v>44</v>
      </c>
      <c r="Y175" s="38">
        <v>1.0</v>
      </c>
      <c r="Z175" s="38" t="s">
        <v>224</v>
      </c>
      <c r="AA175" s="38" t="s">
        <v>152</v>
      </c>
      <c r="AB175" s="68">
        <v>46197.0</v>
      </c>
      <c r="AC175" s="38" t="s">
        <v>225</v>
      </c>
      <c r="AP175" s="73">
        <v>46197.0</v>
      </c>
      <c r="AQ175" s="38" t="s">
        <v>199</v>
      </c>
      <c r="AR175" s="38" t="s">
        <v>200</v>
      </c>
      <c r="AS175" s="38" t="s">
        <v>33</v>
      </c>
      <c r="AT175" s="38" t="s">
        <v>32</v>
      </c>
      <c r="AU175" s="38" t="s">
        <v>44</v>
      </c>
      <c r="AV175" s="74">
        <v>0.5840277777777778</v>
      </c>
      <c r="AW175" s="74">
        <v>0.6256944444444444</v>
      </c>
      <c r="AX175" s="38">
        <v>1.0</v>
      </c>
      <c r="AY175" s="38" t="s">
        <v>179</v>
      </c>
      <c r="AZ175" s="38" t="s">
        <v>179</v>
      </c>
      <c r="BA175" s="38" t="s">
        <v>179</v>
      </c>
      <c r="BB175" s="38" t="s">
        <v>179</v>
      </c>
      <c r="BC175" s="38" t="s">
        <v>224</v>
      </c>
      <c r="BD175" s="38" t="s">
        <v>152</v>
      </c>
      <c r="BE175" s="68">
        <v>46197.0</v>
      </c>
      <c r="BF175" s="38" t="s">
        <v>225</v>
      </c>
    </row>
    <row r="176">
      <c r="A176" s="62" t="s">
        <v>262</v>
      </c>
      <c r="B176" s="63"/>
      <c r="C176" s="62" t="s">
        <v>322</v>
      </c>
      <c r="D176" s="63"/>
      <c r="E176" s="62" t="s">
        <v>301</v>
      </c>
      <c r="F176" s="75" t="s">
        <v>49</v>
      </c>
      <c r="G176" s="63"/>
      <c r="H176" s="75" t="s">
        <v>187</v>
      </c>
      <c r="I176" s="63"/>
      <c r="J176" s="64">
        <v>46196.0</v>
      </c>
      <c r="K176" s="65">
        <v>0.7708333333333334</v>
      </c>
      <c r="L176" s="64">
        <v>46196.0</v>
      </c>
      <c r="M176" s="65">
        <v>0.8125</v>
      </c>
      <c r="N176" s="65">
        <v>0.041666666666666664</v>
      </c>
      <c r="O176" s="66">
        <v>1.0</v>
      </c>
      <c r="R176" s="67"/>
      <c r="S176" s="68">
        <v>46196.0</v>
      </c>
      <c r="T176" s="38" t="str">
        <f>IFERROR(__xludf.DUMMYFUNCTION("""COMPUTED_VALUE"""),"General - Sugar Factory Playhouse")</f>
        <v>General - Sugar Factory Playhouse</v>
      </c>
      <c r="U176" s="38" t="s">
        <v>228</v>
      </c>
      <c r="V176" s="38" t="s">
        <v>49</v>
      </c>
      <c r="W176" s="38" t="str">
        <f>IFERROR(__xludf.DUMMYFUNCTION("""COMPUTED_VALUE"""),"Committee Member Hours")</f>
        <v>Committee Member Hours</v>
      </c>
      <c r="X176" s="38" t="s">
        <v>44</v>
      </c>
      <c r="Y176" s="38">
        <v>1.0</v>
      </c>
      <c r="Z176" s="38" t="s">
        <v>187</v>
      </c>
      <c r="AA176" s="38" t="s">
        <v>152</v>
      </c>
      <c r="AB176" s="68">
        <v>46196.0</v>
      </c>
      <c r="AC176" s="38" t="s">
        <v>322</v>
      </c>
      <c r="AP176" s="73">
        <v>46196.0</v>
      </c>
      <c r="AQ176" s="38" t="s">
        <v>227</v>
      </c>
      <c r="AR176" s="38" t="s">
        <v>228</v>
      </c>
      <c r="AS176" s="38" t="s">
        <v>49</v>
      </c>
      <c r="AT176" s="38" t="s">
        <v>42</v>
      </c>
      <c r="AU176" s="38" t="s">
        <v>44</v>
      </c>
      <c r="AV176" s="74">
        <v>0.7708333333333334</v>
      </c>
      <c r="AW176" s="74">
        <v>0.8125</v>
      </c>
      <c r="AX176" s="38">
        <v>1.0</v>
      </c>
      <c r="AY176" s="38" t="s">
        <v>179</v>
      </c>
      <c r="AZ176" s="38" t="s">
        <v>179</v>
      </c>
      <c r="BA176" s="38" t="s">
        <v>179</v>
      </c>
      <c r="BB176" s="38" t="s">
        <v>179</v>
      </c>
      <c r="BC176" s="38" t="s">
        <v>187</v>
      </c>
      <c r="BD176" s="38" t="s">
        <v>152</v>
      </c>
      <c r="BE176" s="68">
        <v>46196.0</v>
      </c>
      <c r="BF176" s="38" t="s">
        <v>322</v>
      </c>
    </row>
    <row r="177">
      <c r="A177" s="62" t="s">
        <v>262</v>
      </c>
      <c r="B177" s="63"/>
      <c r="C177" s="62" t="s">
        <v>323</v>
      </c>
      <c r="D177" s="63"/>
      <c r="E177" s="62" t="s">
        <v>271</v>
      </c>
      <c r="F177" s="62" t="s">
        <v>53</v>
      </c>
      <c r="G177" s="63"/>
      <c r="H177" s="62" t="s">
        <v>217</v>
      </c>
      <c r="I177" s="63"/>
      <c r="J177" s="64">
        <v>46196.0</v>
      </c>
      <c r="K177" s="65">
        <v>0.75</v>
      </c>
      <c r="L177" s="64">
        <v>46196.0</v>
      </c>
      <c r="M177" s="65">
        <v>0.78125</v>
      </c>
      <c r="N177" s="65">
        <v>0.03125</v>
      </c>
      <c r="O177" s="66">
        <v>0.75</v>
      </c>
      <c r="R177" s="67"/>
      <c r="S177" s="68">
        <v>46196.0</v>
      </c>
      <c r="T177" s="38" t="str">
        <f>IFERROR(__xludf.DUMMYFUNCTION("""COMPUTED_VALUE"""),"General - Visual Arts Society")</f>
        <v>General - Visual Arts Society</v>
      </c>
      <c r="U177" s="38" t="s">
        <v>175</v>
      </c>
      <c r="V177" s="38" t="s">
        <v>53</v>
      </c>
      <c r="W177" s="38" t="str">
        <f>IFERROR(__xludf.DUMMYFUNCTION("""COMPUTED_VALUE"""),"Committee Member Hours")</f>
        <v>Committee Member Hours</v>
      </c>
      <c r="X177" s="38" t="s">
        <v>44</v>
      </c>
      <c r="Y177" s="38">
        <v>0.75</v>
      </c>
      <c r="Z177" s="38" t="s">
        <v>217</v>
      </c>
      <c r="AA177" s="38" t="s">
        <v>152</v>
      </c>
      <c r="AB177" s="68">
        <v>46196.0</v>
      </c>
      <c r="AC177" s="38" t="s">
        <v>323</v>
      </c>
      <c r="AP177" s="73">
        <v>46196.0</v>
      </c>
      <c r="AQ177" s="38" t="s">
        <v>185</v>
      </c>
      <c r="AR177" s="38" t="s">
        <v>175</v>
      </c>
      <c r="AS177" s="38" t="s">
        <v>53</v>
      </c>
      <c r="AT177" s="38" t="s">
        <v>42</v>
      </c>
      <c r="AU177" s="38" t="s">
        <v>44</v>
      </c>
      <c r="AV177" s="74">
        <v>0.75</v>
      </c>
      <c r="AW177" s="74">
        <v>0.78125</v>
      </c>
      <c r="AX177" s="38">
        <v>0.75</v>
      </c>
      <c r="AY177" s="38" t="s">
        <v>179</v>
      </c>
      <c r="AZ177" s="38" t="s">
        <v>179</v>
      </c>
      <c r="BA177" s="38" t="s">
        <v>179</v>
      </c>
      <c r="BB177" s="38" t="s">
        <v>179</v>
      </c>
      <c r="BC177" s="38" t="s">
        <v>217</v>
      </c>
      <c r="BD177" s="38" t="s">
        <v>152</v>
      </c>
      <c r="BE177" s="68">
        <v>46196.0</v>
      </c>
      <c r="BF177" s="38" t="s">
        <v>323</v>
      </c>
    </row>
    <row r="178">
      <c r="A178" s="62" t="s">
        <v>262</v>
      </c>
      <c r="B178" s="63"/>
      <c r="C178" s="62" t="s">
        <v>322</v>
      </c>
      <c r="D178" s="63"/>
      <c r="E178" s="62" t="s">
        <v>301</v>
      </c>
      <c r="F178" s="75" t="s">
        <v>49</v>
      </c>
      <c r="G178" s="63"/>
      <c r="H178" s="75" t="s">
        <v>187</v>
      </c>
      <c r="I178" s="63"/>
      <c r="J178" s="64">
        <v>46195.0</v>
      </c>
      <c r="K178" s="65">
        <v>0.7708333333333334</v>
      </c>
      <c r="L178" s="64">
        <v>46195.0</v>
      </c>
      <c r="M178" s="65">
        <v>0.8125</v>
      </c>
      <c r="N178" s="65">
        <v>0.041666666666666664</v>
      </c>
      <c r="O178" s="66">
        <v>1.0</v>
      </c>
      <c r="R178" s="67"/>
      <c r="S178" s="68">
        <v>46195.0</v>
      </c>
      <c r="T178" s="38" t="str">
        <f>IFERROR(__xludf.DUMMYFUNCTION("""COMPUTED_VALUE"""),"General - Sugar Factory Playhouse")</f>
        <v>General - Sugar Factory Playhouse</v>
      </c>
      <c r="U178" s="38" t="s">
        <v>228</v>
      </c>
      <c r="V178" s="38" t="s">
        <v>49</v>
      </c>
      <c r="W178" s="38" t="str">
        <f>IFERROR(__xludf.DUMMYFUNCTION("""COMPUTED_VALUE"""),"Committee Member Hours")</f>
        <v>Committee Member Hours</v>
      </c>
      <c r="X178" s="38" t="s">
        <v>44</v>
      </c>
      <c r="Y178" s="38">
        <v>1.0</v>
      </c>
      <c r="Z178" s="38" t="s">
        <v>187</v>
      </c>
      <c r="AA178" s="38" t="s">
        <v>152</v>
      </c>
      <c r="AB178" s="68">
        <v>46195.0</v>
      </c>
      <c r="AC178" s="38" t="s">
        <v>322</v>
      </c>
      <c r="AP178" s="73">
        <v>46195.0</v>
      </c>
      <c r="AQ178" s="38" t="s">
        <v>227</v>
      </c>
      <c r="AR178" s="38" t="s">
        <v>228</v>
      </c>
      <c r="AS178" s="38" t="s">
        <v>49</v>
      </c>
      <c r="AT178" s="38" t="s">
        <v>42</v>
      </c>
      <c r="AU178" s="38" t="s">
        <v>44</v>
      </c>
      <c r="AV178" s="74">
        <v>0.7708333333333334</v>
      </c>
      <c r="AW178" s="74">
        <v>0.8125</v>
      </c>
      <c r="AX178" s="38">
        <v>1.0</v>
      </c>
      <c r="AY178" s="38" t="s">
        <v>179</v>
      </c>
      <c r="AZ178" s="38" t="s">
        <v>179</v>
      </c>
      <c r="BA178" s="38" t="s">
        <v>179</v>
      </c>
      <c r="BB178" s="38" t="s">
        <v>179</v>
      </c>
      <c r="BC178" s="38" t="s">
        <v>187</v>
      </c>
      <c r="BD178" s="38" t="s">
        <v>152</v>
      </c>
      <c r="BE178" s="68">
        <v>46195.0</v>
      </c>
      <c r="BF178" s="38" t="s">
        <v>322</v>
      </c>
    </row>
    <row r="179">
      <c r="A179" s="63"/>
      <c r="B179" s="63"/>
      <c r="C179" s="62" t="s">
        <v>324</v>
      </c>
      <c r="D179" s="63"/>
      <c r="E179" s="62" t="s">
        <v>186</v>
      </c>
      <c r="F179" s="75" t="s">
        <v>53</v>
      </c>
      <c r="G179" s="63"/>
      <c r="H179" s="75" t="s">
        <v>187</v>
      </c>
      <c r="I179" s="63"/>
      <c r="J179" s="64">
        <v>46195.0</v>
      </c>
      <c r="K179" s="65">
        <v>0.75</v>
      </c>
      <c r="L179" s="64">
        <v>46195.0</v>
      </c>
      <c r="M179" s="65">
        <v>0.7916666666666666</v>
      </c>
      <c r="N179" s="72">
        <v>0.041666666666666664</v>
      </c>
      <c r="O179" s="66">
        <v>1.0</v>
      </c>
      <c r="R179" s="67"/>
      <c r="S179" s="68">
        <v>46195.0</v>
      </c>
      <c r="T179" s="38" t="str">
        <f>IFERROR(__xludf.DUMMYFUNCTION("""COMPUTED_VALUE"""),"General - Visual Arts Society")</f>
        <v>General - Visual Arts Society</v>
      </c>
      <c r="U179" s="38" t="s">
        <v>186</v>
      </c>
      <c r="V179" s="38" t="s">
        <v>53</v>
      </c>
      <c r="W179" s="38" t="str">
        <f>IFERROR(__xludf.DUMMYFUNCTION("""COMPUTED_VALUE"""),"Committee Member Hours")</f>
        <v>Committee Member Hours</v>
      </c>
      <c r="X179" s="38" t="s">
        <v>44</v>
      </c>
      <c r="Y179" s="38">
        <v>1.0</v>
      </c>
      <c r="Z179" s="38" t="s">
        <v>187</v>
      </c>
      <c r="AA179" s="38" t="s">
        <v>152</v>
      </c>
      <c r="AB179" s="68">
        <v>46195.0</v>
      </c>
      <c r="AC179" s="38" t="s">
        <v>324</v>
      </c>
      <c r="AP179" s="73">
        <v>46195.0</v>
      </c>
      <c r="AQ179" s="38" t="s">
        <v>185</v>
      </c>
      <c r="AR179" s="38" t="s">
        <v>186</v>
      </c>
      <c r="AS179" s="38" t="s">
        <v>53</v>
      </c>
      <c r="AT179" s="38" t="s">
        <v>42</v>
      </c>
      <c r="AU179" s="38" t="s">
        <v>44</v>
      </c>
      <c r="AV179" s="74">
        <v>0.75</v>
      </c>
      <c r="AW179" s="74">
        <v>0.7916666666666666</v>
      </c>
      <c r="AX179" s="38">
        <v>1.0</v>
      </c>
      <c r="AY179" s="38" t="s">
        <v>179</v>
      </c>
      <c r="AZ179" s="38" t="s">
        <v>179</v>
      </c>
      <c r="BA179" s="38" t="s">
        <v>179</v>
      </c>
      <c r="BB179" s="38" t="s">
        <v>179</v>
      </c>
      <c r="BC179" s="38" t="s">
        <v>187</v>
      </c>
      <c r="BD179" s="38" t="s">
        <v>152</v>
      </c>
      <c r="BE179" s="68">
        <v>46195.0</v>
      </c>
      <c r="BF179" s="38" t="s">
        <v>324</v>
      </c>
    </row>
    <row r="180">
      <c r="A180" s="62" t="s">
        <v>262</v>
      </c>
      <c r="B180" s="63"/>
      <c r="C180" s="62" t="s">
        <v>322</v>
      </c>
      <c r="D180" s="63"/>
      <c r="E180" s="62" t="s">
        <v>301</v>
      </c>
      <c r="F180" s="75" t="s">
        <v>49</v>
      </c>
      <c r="G180" s="63"/>
      <c r="H180" s="75" t="s">
        <v>187</v>
      </c>
      <c r="I180" s="63"/>
      <c r="J180" s="64">
        <v>46193.0</v>
      </c>
      <c r="K180" s="65">
        <v>0.7708333333333334</v>
      </c>
      <c r="L180" s="64">
        <v>46193.0</v>
      </c>
      <c r="M180" s="65">
        <v>0.8125</v>
      </c>
      <c r="N180" s="65">
        <v>0.041666666666666664</v>
      </c>
      <c r="O180" s="66">
        <v>1.0</v>
      </c>
      <c r="R180" s="67"/>
      <c r="S180" s="68">
        <v>46193.0</v>
      </c>
      <c r="T180" s="38" t="str">
        <f>IFERROR(__xludf.DUMMYFUNCTION("""COMPUTED_VALUE"""),"General - Sugar Factory Playhouse")</f>
        <v>General - Sugar Factory Playhouse</v>
      </c>
      <c r="U180" s="38" t="s">
        <v>228</v>
      </c>
      <c r="V180" s="38" t="s">
        <v>49</v>
      </c>
      <c r="W180" s="38" t="str">
        <f>IFERROR(__xludf.DUMMYFUNCTION("""COMPUTED_VALUE"""),"Committee Member Hours")</f>
        <v>Committee Member Hours</v>
      </c>
      <c r="X180" s="38" t="s">
        <v>44</v>
      </c>
      <c r="Y180" s="38">
        <v>1.0</v>
      </c>
      <c r="Z180" s="38" t="s">
        <v>187</v>
      </c>
      <c r="AA180" s="38" t="s">
        <v>152</v>
      </c>
      <c r="AB180" s="68">
        <v>46193.0</v>
      </c>
      <c r="AC180" s="38" t="s">
        <v>322</v>
      </c>
      <c r="AP180" s="73">
        <v>46193.0</v>
      </c>
      <c r="AQ180" s="38" t="s">
        <v>227</v>
      </c>
      <c r="AR180" s="38" t="s">
        <v>228</v>
      </c>
      <c r="AS180" s="38" t="s">
        <v>49</v>
      </c>
      <c r="AT180" s="38" t="s">
        <v>42</v>
      </c>
      <c r="AU180" s="38" t="s">
        <v>44</v>
      </c>
      <c r="AV180" s="74">
        <v>0.7708333333333334</v>
      </c>
      <c r="AW180" s="74">
        <v>0.8125</v>
      </c>
      <c r="AX180" s="38">
        <v>1.0</v>
      </c>
      <c r="AY180" s="38" t="s">
        <v>179</v>
      </c>
      <c r="AZ180" s="38" t="s">
        <v>179</v>
      </c>
      <c r="BA180" s="38" t="s">
        <v>179</v>
      </c>
      <c r="BB180" s="38" t="s">
        <v>179</v>
      </c>
      <c r="BC180" s="38" t="s">
        <v>187</v>
      </c>
      <c r="BD180" s="38" t="s">
        <v>152</v>
      </c>
      <c r="BE180" s="68">
        <v>46193.0</v>
      </c>
      <c r="BF180" s="38" t="s">
        <v>322</v>
      </c>
    </row>
    <row r="181">
      <c r="A181" s="62" t="s">
        <v>262</v>
      </c>
      <c r="B181" s="63"/>
      <c r="C181" s="62" t="s">
        <v>322</v>
      </c>
      <c r="D181" s="63"/>
      <c r="E181" s="62" t="s">
        <v>301</v>
      </c>
      <c r="F181" s="75" t="s">
        <v>49</v>
      </c>
      <c r="G181" s="63"/>
      <c r="H181" s="75" t="s">
        <v>187</v>
      </c>
      <c r="I181" s="63"/>
      <c r="J181" s="64">
        <v>46192.0</v>
      </c>
      <c r="K181" s="65">
        <v>0.7708333333333334</v>
      </c>
      <c r="L181" s="64">
        <v>46192.0</v>
      </c>
      <c r="M181" s="65">
        <v>0.8125</v>
      </c>
      <c r="N181" s="65">
        <v>0.041666666666666664</v>
      </c>
      <c r="O181" s="66">
        <v>1.0</v>
      </c>
      <c r="R181" s="67"/>
      <c r="S181" s="68">
        <v>46192.0</v>
      </c>
      <c r="T181" s="38" t="str">
        <f>IFERROR(__xludf.DUMMYFUNCTION("""COMPUTED_VALUE"""),"General - Sugar Factory Playhouse")</f>
        <v>General - Sugar Factory Playhouse</v>
      </c>
      <c r="U181" s="38" t="s">
        <v>228</v>
      </c>
      <c r="V181" s="38" t="s">
        <v>49</v>
      </c>
      <c r="W181" s="38" t="str">
        <f>IFERROR(__xludf.DUMMYFUNCTION("""COMPUTED_VALUE"""),"Committee Member Hours")</f>
        <v>Committee Member Hours</v>
      </c>
      <c r="X181" s="38" t="s">
        <v>44</v>
      </c>
      <c r="Y181" s="38">
        <v>1.0</v>
      </c>
      <c r="Z181" s="38" t="s">
        <v>187</v>
      </c>
      <c r="AA181" s="38" t="s">
        <v>152</v>
      </c>
      <c r="AB181" s="68">
        <v>46192.0</v>
      </c>
      <c r="AC181" s="38" t="s">
        <v>322</v>
      </c>
      <c r="AP181" s="73">
        <v>46192.0</v>
      </c>
      <c r="AQ181" s="38" t="s">
        <v>227</v>
      </c>
      <c r="AR181" s="38" t="s">
        <v>228</v>
      </c>
      <c r="AS181" s="38" t="s">
        <v>49</v>
      </c>
      <c r="AT181" s="38" t="s">
        <v>42</v>
      </c>
      <c r="AU181" s="38" t="s">
        <v>44</v>
      </c>
      <c r="AV181" s="74">
        <v>0.7708333333333334</v>
      </c>
      <c r="AW181" s="74">
        <v>0.8125</v>
      </c>
      <c r="AX181" s="38">
        <v>1.0</v>
      </c>
      <c r="AY181" s="38" t="s">
        <v>179</v>
      </c>
      <c r="AZ181" s="38" t="s">
        <v>179</v>
      </c>
      <c r="BA181" s="38" t="s">
        <v>179</v>
      </c>
      <c r="BB181" s="38" t="s">
        <v>179</v>
      </c>
      <c r="BC181" s="38" t="s">
        <v>187</v>
      </c>
      <c r="BD181" s="38" t="s">
        <v>152</v>
      </c>
      <c r="BE181" s="68">
        <v>46192.0</v>
      </c>
      <c r="BF181" s="38" t="s">
        <v>322</v>
      </c>
    </row>
    <row r="182">
      <c r="A182" s="62" t="s">
        <v>262</v>
      </c>
      <c r="B182" s="63"/>
      <c r="C182" s="62" t="s">
        <v>322</v>
      </c>
      <c r="D182" s="63"/>
      <c r="E182" s="62" t="s">
        <v>301</v>
      </c>
      <c r="F182" s="75" t="s">
        <v>49</v>
      </c>
      <c r="G182" s="63"/>
      <c r="H182" s="75" t="s">
        <v>187</v>
      </c>
      <c r="I182" s="63"/>
      <c r="J182" s="64">
        <v>46191.0</v>
      </c>
      <c r="K182" s="65">
        <v>0.7708333333333334</v>
      </c>
      <c r="L182" s="64">
        <v>46191.0</v>
      </c>
      <c r="M182" s="65">
        <v>0.8125</v>
      </c>
      <c r="N182" s="72">
        <v>0.041666666666666664</v>
      </c>
      <c r="O182" s="66">
        <v>1.0</v>
      </c>
      <c r="R182" s="67"/>
      <c r="S182" s="68">
        <v>46191.0</v>
      </c>
      <c r="T182" s="38" t="str">
        <f>IFERROR(__xludf.DUMMYFUNCTION("""COMPUTED_VALUE"""),"General - Sugar Factory Playhouse")</f>
        <v>General - Sugar Factory Playhouse</v>
      </c>
      <c r="U182" s="38" t="s">
        <v>228</v>
      </c>
      <c r="V182" s="38" t="s">
        <v>49</v>
      </c>
      <c r="W182" s="38" t="str">
        <f>IFERROR(__xludf.DUMMYFUNCTION("""COMPUTED_VALUE"""),"Committee Member Hours")</f>
        <v>Committee Member Hours</v>
      </c>
      <c r="X182" s="38" t="s">
        <v>44</v>
      </c>
      <c r="Y182" s="38">
        <v>1.0</v>
      </c>
      <c r="Z182" s="38" t="s">
        <v>187</v>
      </c>
      <c r="AA182" s="38" t="s">
        <v>152</v>
      </c>
      <c r="AB182" s="68">
        <v>46191.0</v>
      </c>
      <c r="AC182" s="38" t="s">
        <v>322</v>
      </c>
      <c r="AP182" s="73">
        <v>46191.0</v>
      </c>
      <c r="AQ182" s="38" t="s">
        <v>227</v>
      </c>
      <c r="AR182" s="38" t="s">
        <v>228</v>
      </c>
      <c r="AS182" s="38" t="s">
        <v>49</v>
      </c>
      <c r="AT182" s="38" t="s">
        <v>42</v>
      </c>
      <c r="AU182" s="38" t="s">
        <v>44</v>
      </c>
      <c r="AV182" s="74">
        <v>0.7708333333333334</v>
      </c>
      <c r="AW182" s="74">
        <v>0.8125</v>
      </c>
      <c r="AX182" s="38">
        <v>1.0</v>
      </c>
      <c r="AY182" s="38" t="s">
        <v>179</v>
      </c>
      <c r="AZ182" s="38" t="s">
        <v>179</v>
      </c>
      <c r="BA182" s="38" t="s">
        <v>179</v>
      </c>
      <c r="BB182" s="38" t="s">
        <v>179</v>
      </c>
      <c r="BC182" s="38" t="s">
        <v>187</v>
      </c>
      <c r="BD182" s="38" t="s">
        <v>152</v>
      </c>
      <c r="BE182" s="68">
        <v>46191.0</v>
      </c>
      <c r="BF182" s="38" t="s">
        <v>322</v>
      </c>
    </row>
    <row r="183">
      <c r="A183" s="62" t="s">
        <v>262</v>
      </c>
      <c r="B183" s="63"/>
      <c r="C183" s="62" t="s">
        <v>225</v>
      </c>
      <c r="D183" s="63"/>
      <c r="E183" s="62" t="s">
        <v>285</v>
      </c>
      <c r="F183" s="62" t="s">
        <v>270</v>
      </c>
      <c r="G183" s="63"/>
      <c r="H183" s="62" t="s">
        <v>224</v>
      </c>
      <c r="I183" s="63"/>
      <c r="J183" s="64">
        <v>46191.0</v>
      </c>
      <c r="K183" s="65">
        <v>0.625</v>
      </c>
      <c r="L183" s="64">
        <v>46191.0</v>
      </c>
      <c r="M183" s="65">
        <v>0.6666666666666666</v>
      </c>
      <c r="N183" s="65">
        <v>0.041666666666666664</v>
      </c>
      <c r="O183" s="66">
        <v>1.0</v>
      </c>
      <c r="R183" s="67"/>
      <c r="S183" s="68">
        <v>46191.0</v>
      </c>
      <c r="T183" s="38" t="str">
        <f>IFERROR(__xludf.DUMMYFUNCTION("""COMPUTED_VALUE"""),"General / No Specific Project")</f>
        <v>General / No Specific Project</v>
      </c>
      <c r="U183" s="38" t="s">
        <v>200</v>
      </c>
      <c r="V183" s="38" t="s">
        <v>33</v>
      </c>
      <c r="W183" s="38" t="str">
        <f>IFERROR(__xludf.DUMMYFUNCTION("""COMPUTED_VALUE"""),"CASWJ Board Hours")</f>
        <v>CASWJ Board Hours</v>
      </c>
      <c r="X183" s="38" t="s">
        <v>44</v>
      </c>
      <c r="Y183" s="38">
        <v>1.0</v>
      </c>
      <c r="Z183" s="38" t="s">
        <v>224</v>
      </c>
      <c r="AA183" s="38" t="s">
        <v>152</v>
      </c>
      <c r="AB183" s="68">
        <v>46191.0</v>
      </c>
      <c r="AC183" s="38" t="s">
        <v>225</v>
      </c>
      <c r="AP183" s="73">
        <v>46191.0</v>
      </c>
      <c r="AQ183" s="38" t="s">
        <v>199</v>
      </c>
      <c r="AR183" s="38" t="s">
        <v>200</v>
      </c>
      <c r="AS183" s="38" t="s">
        <v>33</v>
      </c>
      <c r="AT183" s="38" t="s">
        <v>32</v>
      </c>
      <c r="AU183" s="38" t="s">
        <v>44</v>
      </c>
      <c r="AV183" s="74">
        <v>0.625</v>
      </c>
      <c r="AW183" s="74">
        <v>0.6666666666666666</v>
      </c>
      <c r="AX183" s="38">
        <v>1.0</v>
      </c>
      <c r="AY183" s="38" t="s">
        <v>179</v>
      </c>
      <c r="AZ183" s="38" t="s">
        <v>179</v>
      </c>
      <c r="BA183" s="38" t="s">
        <v>179</v>
      </c>
      <c r="BB183" s="38" t="s">
        <v>179</v>
      </c>
      <c r="BC183" s="38" t="s">
        <v>224</v>
      </c>
      <c r="BD183" s="38" t="s">
        <v>152</v>
      </c>
      <c r="BE183" s="68">
        <v>46191.0</v>
      </c>
      <c r="BF183" s="38" t="s">
        <v>225</v>
      </c>
    </row>
    <row r="184">
      <c r="A184" s="62" t="s">
        <v>262</v>
      </c>
      <c r="B184" s="63"/>
      <c r="C184" s="62" t="s">
        <v>225</v>
      </c>
      <c r="D184" s="63"/>
      <c r="E184" s="62" t="s">
        <v>285</v>
      </c>
      <c r="F184" s="62" t="s">
        <v>270</v>
      </c>
      <c r="G184" s="63"/>
      <c r="H184" s="62" t="s">
        <v>224</v>
      </c>
      <c r="I184" s="63"/>
      <c r="J184" s="64">
        <v>46183.0</v>
      </c>
      <c r="K184" s="65">
        <v>0.5791666666666667</v>
      </c>
      <c r="L184" s="64">
        <v>46183.0</v>
      </c>
      <c r="M184" s="65">
        <v>0.6416666666666667</v>
      </c>
      <c r="N184" s="65">
        <v>0.0625</v>
      </c>
      <c r="O184" s="66">
        <v>1.5</v>
      </c>
      <c r="R184" s="67"/>
      <c r="S184" s="68">
        <v>46183.0</v>
      </c>
      <c r="T184" s="38" t="str">
        <f>IFERROR(__xludf.DUMMYFUNCTION("""COMPUTED_VALUE"""),"General / No Specific Project")</f>
        <v>General / No Specific Project</v>
      </c>
      <c r="U184" s="38" t="s">
        <v>200</v>
      </c>
      <c r="V184" s="38" t="s">
        <v>33</v>
      </c>
      <c r="W184" s="38" t="str">
        <f>IFERROR(__xludf.DUMMYFUNCTION("""COMPUTED_VALUE"""),"CASWJ Board Hours")</f>
        <v>CASWJ Board Hours</v>
      </c>
      <c r="X184" s="38" t="s">
        <v>44</v>
      </c>
      <c r="Y184" s="38">
        <v>1.5</v>
      </c>
      <c r="Z184" s="38" t="s">
        <v>224</v>
      </c>
      <c r="AA184" s="38" t="s">
        <v>152</v>
      </c>
      <c r="AB184" s="68">
        <v>46183.0</v>
      </c>
      <c r="AC184" s="38" t="s">
        <v>225</v>
      </c>
      <c r="AP184" s="73">
        <v>46183.0</v>
      </c>
      <c r="AQ184" s="38" t="s">
        <v>199</v>
      </c>
      <c r="AR184" s="38" t="s">
        <v>200</v>
      </c>
      <c r="AS184" s="38" t="s">
        <v>33</v>
      </c>
      <c r="AT184" s="38" t="s">
        <v>32</v>
      </c>
      <c r="AU184" s="38" t="s">
        <v>44</v>
      </c>
      <c r="AV184" s="74">
        <v>0.5791666666666667</v>
      </c>
      <c r="AW184" s="74">
        <v>0.6416666666666667</v>
      </c>
      <c r="AX184" s="38">
        <v>1.5</v>
      </c>
      <c r="AY184" s="38" t="s">
        <v>179</v>
      </c>
      <c r="AZ184" s="38" t="s">
        <v>179</v>
      </c>
      <c r="BA184" s="38" t="s">
        <v>179</v>
      </c>
      <c r="BB184" s="38" t="s">
        <v>179</v>
      </c>
      <c r="BC184" s="38" t="s">
        <v>224</v>
      </c>
      <c r="BD184" s="38" t="s">
        <v>152</v>
      </c>
      <c r="BE184" s="68">
        <v>46183.0</v>
      </c>
      <c r="BF184" s="38" t="s">
        <v>225</v>
      </c>
    </row>
    <row r="185">
      <c r="A185" s="62" t="s">
        <v>262</v>
      </c>
      <c r="B185" s="63"/>
      <c r="C185" s="62" t="s">
        <v>225</v>
      </c>
      <c r="D185" s="63"/>
      <c r="E185" s="62" t="s">
        <v>285</v>
      </c>
      <c r="F185" s="62" t="s">
        <v>270</v>
      </c>
      <c r="G185" s="63"/>
      <c r="H185" s="62" t="s">
        <v>224</v>
      </c>
      <c r="I185" s="63"/>
      <c r="J185" s="64">
        <v>46181.0</v>
      </c>
      <c r="K185" s="65">
        <v>0.7104166666666667</v>
      </c>
      <c r="L185" s="64">
        <v>46181.0</v>
      </c>
      <c r="M185" s="65">
        <v>0.7520833333333333</v>
      </c>
      <c r="N185" s="65">
        <v>0.041666666666666664</v>
      </c>
      <c r="O185" s="66">
        <v>1.0</v>
      </c>
      <c r="R185" s="67"/>
      <c r="S185" s="68">
        <v>46181.0</v>
      </c>
      <c r="T185" s="38" t="str">
        <f>IFERROR(__xludf.DUMMYFUNCTION("""COMPUTED_VALUE"""),"General / No Specific Project")</f>
        <v>General / No Specific Project</v>
      </c>
      <c r="U185" s="38" t="s">
        <v>200</v>
      </c>
      <c r="V185" s="38" t="s">
        <v>33</v>
      </c>
      <c r="W185" s="38" t="str">
        <f>IFERROR(__xludf.DUMMYFUNCTION("""COMPUTED_VALUE"""),"CASWJ Board Hours")</f>
        <v>CASWJ Board Hours</v>
      </c>
      <c r="X185" s="38" t="s">
        <v>44</v>
      </c>
      <c r="Y185" s="38">
        <v>1.0</v>
      </c>
      <c r="Z185" s="38" t="s">
        <v>224</v>
      </c>
      <c r="AA185" s="38" t="s">
        <v>152</v>
      </c>
      <c r="AB185" s="68">
        <v>46181.0</v>
      </c>
      <c r="AC185" s="38" t="s">
        <v>225</v>
      </c>
      <c r="AP185" s="73">
        <v>46181.0</v>
      </c>
      <c r="AQ185" s="38" t="s">
        <v>199</v>
      </c>
      <c r="AR185" s="38" t="s">
        <v>200</v>
      </c>
      <c r="AS185" s="38" t="s">
        <v>33</v>
      </c>
      <c r="AT185" s="38" t="s">
        <v>32</v>
      </c>
      <c r="AU185" s="38" t="s">
        <v>44</v>
      </c>
      <c r="AV185" s="74">
        <v>0.7104166666666667</v>
      </c>
      <c r="AW185" s="74">
        <v>0.7520833333333333</v>
      </c>
      <c r="AX185" s="38">
        <v>1.0</v>
      </c>
      <c r="AY185" s="38" t="s">
        <v>179</v>
      </c>
      <c r="AZ185" s="38" t="s">
        <v>179</v>
      </c>
      <c r="BA185" s="38" t="s">
        <v>179</v>
      </c>
      <c r="BB185" s="38" t="s">
        <v>179</v>
      </c>
      <c r="BC185" s="38" t="s">
        <v>224</v>
      </c>
      <c r="BD185" s="38" t="s">
        <v>152</v>
      </c>
      <c r="BE185" s="68">
        <v>46181.0</v>
      </c>
      <c r="BF185" s="38" t="s">
        <v>225</v>
      </c>
    </row>
    <row r="186">
      <c r="A186" s="62" t="s">
        <v>262</v>
      </c>
      <c r="B186" s="63"/>
      <c r="C186" s="62" t="s">
        <v>325</v>
      </c>
      <c r="D186" s="63"/>
      <c r="E186" s="62" t="s">
        <v>263</v>
      </c>
      <c r="F186" s="62" t="s">
        <v>60</v>
      </c>
      <c r="G186" s="63"/>
      <c r="H186" s="62" t="s">
        <v>151</v>
      </c>
      <c r="I186" s="63"/>
      <c r="J186" s="64">
        <v>46180.0</v>
      </c>
      <c r="K186" s="65">
        <v>0.375</v>
      </c>
      <c r="L186" s="64">
        <v>46181.0</v>
      </c>
      <c r="M186" s="65">
        <v>0.125</v>
      </c>
      <c r="N186" s="65">
        <v>0.75</v>
      </c>
      <c r="O186" s="66">
        <v>18.0</v>
      </c>
      <c r="R186" s="67"/>
      <c r="S186" s="68">
        <v>46180.0</v>
      </c>
      <c r="T186" s="38" t="str">
        <f>IFERROR(__xludf.DUMMYFUNCTION("""COMPUTED_VALUE"""),"General - West Jordan Symphony")</f>
        <v>General - West Jordan Symphony</v>
      </c>
      <c r="U186" s="38" t="s">
        <v>170</v>
      </c>
      <c r="V186" s="38" t="s">
        <v>60</v>
      </c>
      <c r="W186" s="38" t="str">
        <f>IFERROR(__xludf.DUMMYFUNCTION("""COMPUTED_VALUE"""),"Committee Member Hours")</f>
        <v>Committee Member Hours</v>
      </c>
      <c r="X186" s="38" t="s">
        <v>44</v>
      </c>
      <c r="Y186" s="38">
        <v>18.0</v>
      </c>
      <c r="Z186" s="38" t="s">
        <v>151</v>
      </c>
      <c r="AA186" s="38" t="s">
        <v>152</v>
      </c>
      <c r="AB186" s="68">
        <v>46180.0</v>
      </c>
      <c r="AC186" s="38" t="s">
        <v>325</v>
      </c>
      <c r="AP186" s="73">
        <v>46180.0</v>
      </c>
      <c r="AQ186" s="38" t="s">
        <v>64</v>
      </c>
      <c r="AR186" s="38" t="s">
        <v>170</v>
      </c>
      <c r="AS186" s="38" t="s">
        <v>60</v>
      </c>
      <c r="AT186" s="38" t="s">
        <v>42</v>
      </c>
      <c r="AU186" s="38" t="s">
        <v>44</v>
      </c>
      <c r="AV186" s="74">
        <v>0.375</v>
      </c>
      <c r="AW186" s="74">
        <v>0.125</v>
      </c>
      <c r="AX186" s="38">
        <v>18.0</v>
      </c>
      <c r="AY186" s="38" t="s">
        <v>179</v>
      </c>
      <c r="AZ186" s="38" t="s">
        <v>179</v>
      </c>
      <c r="BA186" s="38" t="s">
        <v>179</v>
      </c>
      <c r="BB186" s="38" t="s">
        <v>179</v>
      </c>
      <c r="BC186" s="38" t="s">
        <v>151</v>
      </c>
      <c r="BD186" s="38" t="s">
        <v>152</v>
      </c>
      <c r="BE186" s="68">
        <v>46180.0</v>
      </c>
      <c r="BF186" s="38" t="s">
        <v>325</v>
      </c>
    </row>
    <row r="187">
      <c r="A187" s="62" t="s">
        <v>262</v>
      </c>
      <c r="B187" s="63"/>
      <c r="C187" s="62" t="s">
        <v>225</v>
      </c>
      <c r="D187" s="63"/>
      <c r="E187" s="62" t="s">
        <v>285</v>
      </c>
      <c r="F187" s="62" t="s">
        <v>270</v>
      </c>
      <c r="G187" s="63"/>
      <c r="H187" s="62" t="s">
        <v>224</v>
      </c>
      <c r="I187" s="63"/>
      <c r="J187" s="64">
        <v>46179.0</v>
      </c>
      <c r="K187" s="65">
        <v>0.5</v>
      </c>
      <c r="L187" s="64">
        <v>46179.0</v>
      </c>
      <c r="M187" s="65">
        <v>0.5833333333333334</v>
      </c>
      <c r="N187" s="65">
        <v>0.08333333333333333</v>
      </c>
      <c r="O187" s="66">
        <v>2.0</v>
      </c>
      <c r="R187" s="67"/>
      <c r="S187" s="68">
        <v>46179.0</v>
      </c>
      <c r="T187" s="38" t="str">
        <f>IFERROR(__xludf.DUMMYFUNCTION("""COMPUTED_VALUE"""),"General / No Specific Project")</f>
        <v>General / No Specific Project</v>
      </c>
      <c r="U187" s="38" t="s">
        <v>200</v>
      </c>
      <c r="V187" s="38" t="s">
        <v>33</v>
      </c>
      <c r="W187" s="38" t="str">
        <f>IFERROR(__xludf.DUMMYFUNCTION("""COMPUTED_VALUE"""),"CASWJ Board Hours")</f>
        <v>CASWJ Board Hours</v>
      </c>
      <c r="X187" s="38" t="s">
        <v>44</v>
      </c>
      <c r="Y187" s="38">
        <v>2.0</v>
      </c>
      <c r="Z187" s="38" t="s">
        <v>224</v>
      </c>
      <c r="AA187" s="38" t="s">
        <v>152</v>
      </c>
      <c r="AB187" s="68">
        <v>46179.0</v>
      </c>
      <c r="AC187" s="38" t="s">
        <v>225</v>
      </c>
      <c r="AP187" s="73">
        <v>46179.0</v>
      </c>
      <c r="AQ187" s="38" t="s">
        <v>199</v>
      </c>
      <c r="AR187" s="38" t="s">
        <v>200</v>
      </c>
      <c r="AS187" s="38" t="s">
        <v>33</v>
      </c>
      <c r="AT187" s="38" t="s">
        <v>32</v>
      </c>
      <c r="AU187" s="38" t="s">
        <v>44</v>
      </c>
      <c r="AV187" s="74">
        <v>0.5</v>
      </c>
      <c r="AW187" s="74">
        <v>0.5833333333333334</v>
      </c>
      <c r="AX187" s="38">
        <v>2.0</v>
      </c>
      <c r="AY187" s="38" t="s">
        <v>179</v>
      </c>
      <c r="AZ187" s="38" t="s">
        <v>179</v>
      </c>
      <c r="BA187" s="38" t="s">
        <v>179</v>
      </c>
      <c r="BB187" s="38" t="s">
        <v>179</v>
      </c>
      <c r="BC187" s="38" t="s">
        <v>224</v>
      </c>
      <c r="BD187" s="38" t="s">
        <v>152</v>
      </c>
      <c r="BE187" s="68">
        <v>46179.0</v>
      </c>
      <c r="BF187" s="38" t="s">
        <v>225</v>
      </c>
    </row>
    <row r="188">
      <c r="A188" s="62" t="s">
        <v>262</v>
      </c>
      <c r="B188" s="63"/>
      <c r="C188" s="62" t="s">
        <v>317</v>
      </c>
      <c r="D188" s="63"/>
      <c r="E188" s="62" t="s">
        <v>263</v>
      </c>
      <c r="F188" s="62" t="s">
        <v>60</v>
      </c>
      <c r="G188" s="63"/>
      <c r="H188" s="62" t="s">
        <v>151</v>
      </c>
      <c r="I188" s="63"/>
      <c r="J188" s="64">
        <v>46178.0</v>
      </c>
      <c r="K188" s="65">
        <v>0.03819444444444445</v>
      </c>
      <c r="L188" s="64">
        <v>46178.0</v>
      </c>
      <c r="M188" s="65">
        <v>0.5381944444444444</v>
      </c>
      <c r="N188" s="72">
        <v>0.5</v>
      </c>
      <c r="O188" s="66">
        <v>12.0</v>
      </c>
      <c r="R188" s="67"/>
      <c r="S188" s="68">
        <v>46178.0</v>
      </c>
      <c r="T188" s="38" t="str">
        <f>IFERROR(__xludf.DUMMYFUNCTION("""COMPUTED_VALUE"""),"General - West Jordan Symphony")</f>
        <v>General - West Jordan Symphony</v>
      </c>
      <c r="U188" s="38" t="s">
        <v>170</v>
      </c>
      <c r="V188" s="38" t="s">
        <v>60</v>
      </c>
      <c r="W188" s="38" t="str">
        <f>IFERROR(__xludf.DUMMYFUNCTION("""COMPUTED_VALUE"""),"Committee Member Hours")</f>
        <v>Committee Member Hours</v>
      </c>
      <c r="X188" s="38" t="s">
        <v>44</v>
      </c>
      <c r="Y188" s="38">
        <v>12.0</v>
      </c>
      <c r="Z188" s="38" t="s">
        <v>151</v>
      </c>
      <c r="AA188" s="38" t="s">
        <v>152</v>
      </c>
      <c r="AB188" s="68">
        <v>46178.0</v>
      </c>
      <c r="AC188" s="38" t="s">
        <v>317</v>
      </c>
      <c r="AP188" s="73">
        <v>46178.0</v>
      </c>
      <c r="AQ188" s="38" t="s">
        <v>64</v>
      </c>
      <c r="AR188" s="38" t="s">
        <v>170</v>
      </c>
      <c r="AS188" s="38" t="s">
        <v>60</v>
      </c>
      <c r="AT188" s="38" t="s">
        <v>42</v>
      </c>
      <c r="AU188" s="38" t="s">
        <v>44</v>
      </c>
      <c r="AV188" s="74">
        <v>0.03819444444444445</v>
      </c>
      <c r="AW188" s="74">
        <v>0.5381944444444444</v>
      </c>
      <c r="AX188" s="38">
        <v>12.0</v>
      </c>
      <c r="AY188" s="38" t="s">
        <v>179</v>
      </c>
      <c r="AZ188" s="38" t="s">
        <v>179</v>
      </c>
      <c r="BA188" s="38" t="s">
        <v>179</v>
      </c>
      <c r="BB188" s="38" t="s">
        <v>179</v>
      </c>
      <c r="BC188" s="38" t="s">
        <v>151</v>
      </c>
      <c r="BD188" s="38" t="s">
        <v>152</v>
      </c>
      <c r="BE188" s="68">
        <v>46178.0</v>
      </c>
      <c r="BF188" s="38" t="s">
        <v>317</v>
      </c>
    </row>
    <row r="189">
      <c r="A189" s="62" t="s">
        <v>262</v>
      </c>
      <c r="B189" s="63"/>
      <c r="C189" s="62" t="s">
        <v>225</v>
      </c>
      <c r="D189" s="63"/>
      <c r="E189" s="62" t="s">
        <v>285</v>
      </c>
      <c r="F189" s="62" t="s">
        <v>270</v>
      </c>
      <c r="G189" s="63"/>
      <c r="H189" s="62" t="s">
        <v>224</v>
      </c>
      <c r="I189" s="63"/>
      <c r="J189" s="64">
        <v>46176.0</v>
      </c>
      <c r="K189" s="65">
        <v>0.36875</v>
      </c>
      <c r="L189" s="64">
        <v>46176.0</v>
      </c>
      <c r="M189" s="65">
        <v>0.38958333333333334</v>
      </c>
      <c r="N189" s="65">
        <v>0.020833333333333332</v>
      </c>
      <c r="O189" s="66">
        <v>0.5</v>
      </c>
      <c r="R189" s="67"/>
      <c r="S189" s="68">
        <v>46176.0</v>
      </c>
      <c r="T189" s="38" t="str">
        <f>IFERROR(__xludf.DUMMYFUNCTION("""COMPUTED_VALUE"""),"General / No Specific Project")</f>
        <v>General / No Specific Project</v>
      </c>
      <c r="U189" s="38" t="s">
        <v>200</v>
      </c>
      <c r="V189" s="38" t="s">
        <v>33</v>
      </c>
      <c r="W189" s="38" t="str">
        <f>IFERROR(__xludf.DUMMYFUNCTION("""COMPUTED_VALUE"""),"CASWJ Board Hours")</f>
        <v>CASWJ Board Hours</v>
      </c>
      <c r="X189" s="38" t="s">
        <v>44</v>
      </c>
      <c r="Y189" s="38">
        <v>0.5</v>
      </c>
      <c r="Z189" s="38" t="s">
        <v>224</v>
      </c>
      <c r="AA189" s="38" t="s">
        <v>152</v>
      </c>
      <c r="AB189" s="68">
        <v>46176.0</v>
      </c>
      <c r="AC189" s="38" t="s">
        <v>225</v>
      </c>
      <c r="AP189" s="73">
        <v>46176.0</v>
      </c>
      <c r="AQ189" s="38" t="s">
        <v>199</v>
      </c>
      <c r="AR189" s="38" t="s">
        <v>200</v>
      </c>
      <c r="AS189" s="38" t="s">
        <v>33</v>
      </c>
      <c r="AT189" s="38" t="s">
        <v>32</v>
      </c>
      <c r="AU189" s="38" t="s">
        <v>44</v>
      </c>
      <c r="AV189" s="74">
        <v>0.36875</v>
      </c>
      <c r="AW189" s="74">
        <v>0.38958333333333334</v>
      </c>
      <c r="AX189" s="38">
        <v>0.5</v>
      </c>
      <c r="AY189" s="38" t="s">
        <v>179</v>
      </c>
      <c r="AZ189" s="38" t="s">
        <v>179</v>
      </c>
      <c r="BA189" s="38" t="s">
        <v>179</v>
      </c>
      <c r="BB189" s="38" t="s">
        <v>179</v>
      </c>
      <c r="BC189" s="38" t="s">
        <v>224</v>
      </c>
      <c r="BD189" s="38" t="s">
        <v>152</v>
      </c>
      <c r="BE189" s="68">
        <v>46176.0</v>
      </c>
      <c r="BF189" s="38" t="s">
        <v>225</v>
      </c>
    </row>
    <row r="190">
      <c r="A190" s="62" t="s">
        <v>262</v>
      </c>
      <c r="B190" s="63"/>
      <c r="C190" s="62" t="s">
        <v>225</v>
      </c>
      <c r="D190" s="63"/>
      <c r="E190" s="62" t="s">
        <v>285</v>
      </c>
      <c r="F190" s="62" t="s">
        <v>270</v>
      </c>
      <c r="G190" s="63"/>
      <c r="H190" s="62" t="s">
        <v>224</v>
      </c>
      <c r="I190" s="63"/>
      <c r="J190" s="64">
        <v>46175.0</v>
      </c>
      <c r="K190" s="65">
        <v>0.5833333333333334</v>
      </c>
      <c r="L190" s="64">
        <v>46175.0</v>
      </c>
      <c r="M190" s="65">
        <v>0.6527777777777778</v>
      </c>
      <c r="N190" s="72">
        <v>0.06944444444444445</v>
      </c>
      <c r="O190" s="66">
        <v>1.666667</v>
      </c>
      <c r="R190" s="67"/>
      <c r="S190" s="68">
        <v>46175.0</v>
      </c>
      <c r="T190" s="38" t="str">
        <f>IFERROR(__xludf.DUMMYFUNCTION("""COMPUTED_VALUE"""),"General / No Specific Project")</f>
        <v>General / No Specific Project</v>
      </c>
      <c r="U190" s="38" t="s">
        <v>200</v>
      </c>
      <c r="V190" s="38" t="s">
        <v>33</v>
      </c>
      <c r="W190" s="38" t="str">
        <f>IFERROR(__xludf.DUMMYFUNCTION("""COMPUTED_VALUE"""),"CASWJ Board Hours")</f>
        <v>CASWJ Board Hours</v>
      </c>
      <c r="X190" s="38" t="s">
        <v>44</v>
      </c>
      <c r="Y190" s="38">
        <v>1.666667</v>
      </c>
      <c r="Z190" s="38" t="s">
        <v>224</v>
      </c>
      <c r="AA190" s="38" t="s">
        <v>152</v>
      </c>
      <c r="AB190" s="68">
        <v>46175.0</v>
      </c>
      <c r="AC190" s="38" t="s">
        <v>225</v>
      </c>
      <c r="AP190" s="73">
        <v>46175.0</v>
      </c>
      <c r="AQ190" s="38" t="s">
        <v>199</v>
      </c>
      <c r="AR190" s="38" t="s">
        <v>200</v>
      </c>
      <c r="AS190" s="38" t="s">
        <v>33</v>
      </c>
      <c r="AT190" s="38" t="s">
        <v>32</v>
      </c>
      <c r="AU190" s="38" t="s">
        <v>44</v>
      </c>
      <c r="AV190" s="74">
        <v>0.5833333333333334</v>
      </c>
      <c r="AW190" s="74">
        <v>0.6527777777777778</v>
      </c>
      <c r="AX190" s="38">
        <v>1.666667</v>
      </c>
      <c r="AY190" s="38" t="s">
        <v>179</v>
      </c>
      <c r="AZ190" s="38" t="s">
        <v>179</v>
      </c>
      <c r="BA190" s="38" t="s">
        <v>179</v>
      </c>
      <c r="BB190" s="38" t="s">
        <v>179</v>
      </c>
      <c r="BC190" s="38" t="s">
        <v>224</v>
      </c>
      <c r="BD190" s="38" t="s">
        <v>152</v>
      </c>
      <c r="BE190" s="68">
        <v>46175.0</v>
      </c>
      <c r="BF190" s="38" t="s">
        <v>225</v>
      </c>
    </row>
    <row r="191">
      <c r="A191" s="63"/>
      <c r="B191" s="63"/>
      <c r="C191" s="62" t="s">
        <v>326</v>
      </c>
      <c r="D191" s="63"/>
      <c r="E191" s="62" t="s">
        <v>186</v>
      </c>
      <c r="F191" s="75" t="s">
        <v>53</v>
      </c>
      <c r="G191" s="63"/>
      <c r="H191" s="75" t="s">
        <v>187</v>
      </c>
      <c r="I191" s="63"/>
      <c r="J191" s="64">
        <v>46234.0</v>
      </c>
      <c r="K191" s="65">
        <v>0.8840277777777777</v>
      </c>
      <c r="L191" s="64">
        <v>46234.0</v>
      </c>
      <c r="M191" s="65">
        <v>0.9701388888888889</v>
      </c>
      <c r="N191" s="65">
        <v>0.08611111111111111</v>
      </c>
      <c r="O191" s="66">
        <v>2.066667</v>
      </c>
      <c r="R191" s="67"/>
      <c r="S191" s="68">
        <v>46234.0</v>
      </c>
      <c r="T191" s="38" t="str">
        <f>IFERROR(__xludf.DUMMYFUNCTION("""COMPUTED_VALUE"""),"General - Visual Arts Society")</f>
        <v>General - Visual Arts Society</v>
      </c>
      <c r="U191" s="38" t="s">
        <v>186</v>
      </c>
      <c r="V191" s="38" t="s">
        <v>53</v>
      </c>
      <c r="W191" s="38" t="str">
        <f>IFERROR(__xludf.DUMMYFUNCTION("""COMPUTED_VALUE"""),"Committee Member Hours")</f>
        <v>Committee Member Hours</v>
      </c>
      <c r="X191" s="38" t="s">
        <v>44</v>
      </c>
      <c r="Y191" s="38">
        <v>2.066667</v>
      </c>
      <c r="Z191" s="38" t="s">
        <v>187</v>
      </c>
      <c r="AA191" s="38" t="s">
        <v>152</v>
      </c>
      <c r="AB191" s="68">
        <v>46234.0</v>
      </c>
      <c r="AC191" s="38" t="s">
        <v>326</v>
      </c>
      <c r="AP191" s="73">
        <v>46234.0</v>
      </c>
      <c r="AQ191" s="38" t="s">
        <v>185</v>
      </c>
      <c r="AR191" s="38" t="s">
        <v>186</v>
      </c>
      <c r="AS191" s="38" t="s">
        <v>53</v>
      </c>
      <c r="AT191" s="38" t="s">
        <v>42</v>
      </c>
      <c r="AU191" s="38" t="s">
        <v>44</v>
      </c>
      <c r="AV191" s="74">
        <v>0.8840277777777777</v>
      </c>
      <c r="AW191" s="74">
        <v>0.9701388888888889</v>
      </c>
      <c r="AX191" s="38">
        <v>2.066667</v>
      </c>
      <c r="AY191" s="38" t="s">
        <v>179</v>
      </c>
      <c r="AZ191" s="38" t="s">
        <v>179</v>
      </c>
      <c r="BA191" s="38" t="s">
        <v>179</v>
      </c>
      <c r="BB191" s="38" t="s">
        <v>179</v>
      </c>
      <c r="BC191" s="38" t="s">
        <v>187</v>
      </c>
      <c r="BD191" s="38" t="s">
        <v>152</v>
      </c>
      <c r="BE191" s="68">
        <v>46234.0</v>
      </c>
      <c r="BF191" s="38" t="s">
        <v>326</v>
      </c>
    </row>
    <row r="192">
      <c r="A192" s="62" t="s">
        <v>262</v>
      </c>
      <c r="B192" s="63"/>
      <c r="C192" s="62" t="s">
        <v>225</v>
      </c>
      <c r="D192" s="63"/>
      <c r="E192" s="62" t="s">
        <v>285</v>
      </c>
      <c r="F192" s="62" t="s">
        <v>270</v>
      </c>
      <c r="G192" s="63"/>
      <c r="H192" s="62" t="s">
        <v>224</v>
      </c>
      <c r="I192" s="63"/>
      <c r="J192" s="64">
        <v>46234.0</v>
      </c>
      <c r="K192" s="65">
        <v>0.6041666666666666</v>
      </c>
      <c r="L192" s="64">
        <v>46234.0</v>
      </c>
      <c r="M192" s="65">
        <v>0.7291666666666666</v>
      </c>
      <c r="N192" s="65">
        <v>0.125</v>
      </c>
      <c r="O192" s="66">
        <v>3.0</v>
      </c>
      <c r="R192" s="67"/>
      <c r="S192" s="68">
        <v>46234.0</v>
      </c>
      <c r="T192" s="38" t="str">
        <f>IFERROR(__xludf.DUMMYFUNCTION("""COMPUTED_VALUE"""),"General / No Specific Project")</f>
        <v>General / No Specific Project</v>
      </c>
      <c r="U192" s="38" t="s">
        <v>200</v>
      </c>
      <c r="V192" s="38" t="s">
        <v>33</v>
      </c>
      <c r="W192" s="38" t="str">
        <f>IFERROR(__xludf.DUMMYFUNCTION("""COMPUTED_VALUE"""),"CASWJ Board Hours")</f>
        <v>CASWJ Board Hours</v>
      </c>
      <c r="X192" s="38" t="s">
        <v>44</v>
      </c>
      <c r="Y192" s="38">
        <v>3.0</v>
      </c>
      <c r="Z192" s="38" t="s">
        <v>224</v>
      </c>
      <c r="AA192" s="38" t="s">
        <v>152</v>
      </c>
      <c r="AB192" s="68">
        <v>46234.0</v>
      </c>
      <c r="AC192" s="38" t="s">
        <v>225</v>
      </c>
      <c r="AP192" s="73">
        <v>46234.0</v>
      </c>
      <c r="AQ192" s="38" t="s">
        <v>199</v>
      </c>
      <c r="AR192" s="38" t="s">
        <v>200</v>
      </c>
      <c r="AS192" s="38" t="s">
        <v>33</v>
      </c>
      <c r="AT192" s="38" t="s">
        <v>32</v>
      </c>
      <c r="AU192" s="38" t="s">
        <v>44</v>
      </c>
      <c r="AV192" s="74">
        <v>0.6041666666666666</v>
      </c>
      <c r="AW192" s="74">
        <v>0.7291666666666666</v>
      </c>
      <c r="AX192" s="38">
        <v>3.0</v>
      </c>
      <c r="AY192" s="38" t="s">
        <v>179</v>
      </c>
      <c r="AZ192" s="38" t="s">
        <v>179</v>
      </c>
      <c r="BA192" s="38" t="s">
        <v>179</v>
      </c>
      <c r="BB192" s="38" t="s">
        <v>179</v>
      </c>
      <c r="BC192" s="38" t="s">
        <v>224</v>
      </c>
      <c r="BD192" s="38" t="s">
        <v>152</v>
      </c>
      <c r="BE192" s="68">
        <v>46234.0</v>
      </c>
      <c r="BF192" s="38" t="s">
        <v>225</v>
      </c>
    </row>
    <row r="193">
      <c r="A193" s="62" t="s">
        <v>262</v>
      </c>
      <c r="B193" s="63"/>
      <c r="C193" s="62" t="s">
        <v>319</v>
      </c>
      <c r="D193" s="63"/>
      <c r="E193" s="62" t="s">
        <v>263</v>
      </c>
      <c r="F193" s="62" t="s">
        <v>60</v>
      </c>
      <c r="G193" s="63"/>
      <c r="H193" s="62" t="s">
        <v>151</v>
      </c>
      <c r="I193" s="63"/>
      <c r="J193" s="64">
        <v>46234.0</v>
      </c>
      <c r="K193" s="65">
        <v>0.5743055555555555</v>
      </c>
      <c r="L193" s="64">
        <v>46235.0</v>
      </c>
      <c r="M193" s="65">
        <v>0.19930555555555557</v>
      </c>
      <c r="N193" s="65">
        <v>0.625</v>
      </c>
      <c r="O193" s="66">
        <v>15.0</v>
      </c>
      <c r="R193" s="67"/>
      <c r="S193" s="68">
        <v>46234.0</v>
      </c>
      <c r="T193" s="38" t="str">
        <f>IFERROR(__xludf.DUMMYFUNCTION("""COMPUTED_VALUE"""),"General - West Jordan Symphony")</f>
        <v>General - West Jordan Symphony</v>
      </c>
      <c r="U193" s="38" t="s">
        <v>170</v>
      </c>
      <c r="V193" s="38" t="s">
        <v>60</v>
      </c>
      <c r="W193" s="38" t="str">
        <f>IFERROR(__xludf.DUMMYFUNCTION("""COMPUTED_VALUE"""),"Committee Member Hours")</f>
        <v>Committee Member Hours</v>
      </c>
      <c r="X193" s="38" t="s">
        <v>44</v>
      </c>
      <c r="Y193" s="38">
        <v>15.0</v>
      </c>
      <c r="Z193" s="38" t="s">
        <v>151</v>
      </c>
      <c r="AA193" s="38" t="s">
        <v>152</v>
      </c>
      <c r="AB193" s="68">
        <v>46234.0</v>
      </c>
      <c r="AC193" s="38" t="s">
        <v>319</v>
      </c>
      <c r="AP193" s="73">
        <v>46234.0</v>
      </c>
      <c r="AQ193" s="38" t="s">
        <v>64</v>
      </c>
      <c r="AR193" s="38" t="s">
        <v>170</v>
      </c>
      <c r="AS193" s="38" t="s">
        <v>60</v>
      </c>
      <c r="AT193" s="38" t="s">
        <v>42</v>
      </c>
      <c r="AU193" s="38" t="s">
        <v>44</v>
      </c>
      <c r="AV193" s="74">
        <v>0.5743055555555555</v>
      </c>
      <c r="AW193" s="74">
        <v>0.19930555555555557</v>
      </c>
      <c r="AX193" s="38">
        <v>15.0</v>
      </c>
      <c r="AY193" s="38" t="s">
        <v>179</v>
      </c>
      <c r="AZ193" s="38" t="s">
        <v>179</v>
      </c>
      <c r="BA193" s="38" t="s">
        <v>179</v>
      </c>
      <c r="BB193" s="38" t="s">
        <v>179</v>
      </c>
      <c r="BC193" s="38" t="s">
        <v>151</v>
      </c>
      <c r="BD193" s="38" t="s">
        <v>152</v>
      </c>
      <c r="BE193" s="68">
        <v>46234.0</v>
      </c>
      <c r="BF193" s="38" t="s">
        <v>319</v>
      </c>
    </row>
    <row r="194">
      <c r="A194" s="62" t="s">
        <v>262</v>
      </c>
      <c r="B194" s="63"/>
      <c r="C194" s="62" t="s">
        <v>225</v>
      </c>
      <c r="D194" s="63"/>
      <c r="E194" s="62" t="s">
        <v>285</v>
      </c>
      <c r="F194" s="62" t="s">
        <v>270</v>
      </c>
      <c r="G194" s="63"/>
      <c r="H194" s="62" t="s">
        <v>224</v>
      </c>
      <c r="I194" s="63"/>
      <c r="J194" s="64">
        <v>46232.0</v>
      </c>
      <c r="K194" s="65">
        <v>0.49930555555555556</v>
      </c>
      <c r="L194" s="64">
        <v>46232.0</v>
      </c>
      <c r="M194" s="65">
        <v>0.5409722222222222</v>
      </c>
      <c r="N194" s="65">
        <v>0.041666666666666664</v>
      </c>
      <c r="O194" s="66">
        <v>1.0</v>
      </c>
      <c r="R194" s="67"/>
      <c r="S194" s="68">
        <v>46232.0</v>
      </c>
      <c r="T194" s="38" t="str">
        <f>IFERROR(__xludf.DUMMYFUNCTION("""COMPUTED_VALUE"""),"General / No Specific Project")</f>
        <v>General / No Specific Project</v>
      </c>
      <c r="U194" s="38" t="s">
        <v>200</v>
      </c>
      <c r="V194" s="38" t="s">
        <v>33</v>
      </c>
      <c r="W194" s="38" t="str">
        <f>IFERROR(__xludf.DUMMYFUNCTION("""COMPUTED_VALUE"""),"CASWJ Board Hours")</f>
        <v>CASWJ Board Hours</v>
      </c>
      <c r="X194" s="38" t="s">
        <v>44</v>
      </c>
      <c r="Y194" s="38">
        <v>1.0</v>
      </c>
      <c r="Z194" s="38" t="s">
        <v>224</v>
      </c>
      <c r="AA194" s="38" t="s">
        <v>152</v>
      </c>
      <c r="AB194" s="68">
        <v>46232.0</v>
      </c>
      <c r="AC194" s="38" t="s">
        <v>225</v>
      </c>
      <c r="AP194" s="73">
        <v>46232.0</v>
      </c>
      <c r="AQ194" s="38" t="s">
        <v>199</v>
      </c>
      <c r="AR194" s="38" t="s">
        <v>200</v>
      </c>
      <c r="AS194" s="38" t="s">
        <v>33</v>
      </c>
      <c r="AT194" s="38" t="s">
        <v>32</v>
      </c>
      <c r="AU194" s="38" t="s">
        <v>44</v>
      </c>
      <c r="AV194" s="74">
        <v>0.49930555555555556</v>
      </c>
      <c r="AW194" s="74">
        <v>0.5409722222222222</v>
      </c>
      <c r="AX194" s="38">
        <v>1.0</v>
      </c>
      <c r="AY194" s="38" t="s">
        <v>179</v>
      </c>
      <c r="AZ194" s="38" t="s">
        <v>179</v>
      </c>
      <c r="BA194" s="38" t="s">
        <v>179</v>
      </c>
      <c r="BB194" s="38" t="s">
        <v>179</v>
      </c>
      <c r="BC194" s="38" t="s">
        <v>224</v>
      </c>
      <c r="BD194" s="38" t="s">
        <v>152</v>
      </c>
      <c r="BE194" s="68">
        <v>46232.0</v>
      </c>
      <c r="BF194" s="38" t="s">
        <v>225</v>
      </c>
    </row>
    <row r="195">
      <c r="A195" s="62" t="s">
        <v>262</v>
      </c>
      <c r="B195" s="63"/>
      <c r="C195" s="62" t="s">
        <v>225</v>
      </c>
      <c r="D195" s="63"/>
      <c r="E195" s="62" t="s">
        <v>285</v>
      </c>
      <c r="F195" s="62" t="s">
        <v>270</v>
      </c>
      <c r="G195" s="63"/>
      <c r="H195" s="62" t="s">
        <v>224</v>
      </c>
      <c r="I195" s="63"/>
      <c r="J195" s="64">
        <v>46227.0</v>
      </c>
      <c r="K195" s="65">
        <v>0.6791666666666667</v>
      </c>
      <c r="L195" s="64">
        <v>46227.0</v>
      </c>
      <c r="M195" s="65">
        <v>0.7208333333333333</v>
      </c>
      <c r="N195" s="65">
        <v>0.041666666666666664</v>
      </c>
      <c r="O195" s="66">
        <v>1.0</v>
      </c>
      <c r="R195" s="67"/>
      <c r="S195" s="68">
        <v>46227.0</v>
      </c>
      <c r="T195" s="38" t="str">
        <f>IFERROR(__xludf.DUMMYFUNCTION("""COMPUTED_VALUE"""),"General / No Specific Project")</f>
        <v>General / No Specific Project</v>
      </c>
      <c r="U195" s="38" t="s">
        <v>200</v>
      </c>
      <c r="V195" s="38" t="s">
        <v>33</v>
      </c>
      <c r="W195" s="38" t="str">
        <f>IFERROR(__xludf.DUMMYFUNCTION("""COMPUTED_VALUE"""),"CASWJ Board Hours")</f>
        <v>CASWJ Board Hours</v>
      </c>
      <c r="X195" s="38" t="s">
        <v>44</v>
      </c>
      <c r="Y195" s="38">
        <v>1.0</v>
      </c>
      <c r="Z195" s="38" t="s">
        <v>224</v>
      </c>
      <c r="AA195" s="38" t="s">
        <v>152</v>
      </c>
      <c r="AB195" s="68">
        <v>46227.0</v>
      </c>
      <c r="AC195" s="38" t="s">
        <v>225</v>
      </c>
      <c r="AP195" s="73">
        <v>46227.0</v>
      </c>
      <c r="AQ195" s="38" t="s">
        <v>199</v>
      </c>
      <c r="AR195" s="38" t="s">
        <v>200</v>
      </c>
      <c r="AS195" s="38" t="s">
        <v>33</v>
      </c>
      <c r="AT195" s="38" t="s">
        <v>32</v>
      </c>
      <c r="AU195" s="38" t="s">
        <v>44</v>
      </c>
      <c r="AV195" s="74">
        <v>0.6791666666666667</v>
      </c>
      <c r="AW195" s="74">
        <v>0.7208333333333333</v>
      </c>
      <c r="AX195" s="38">
        <v>1.0</v>
      </c>
      <c r="AY195" s="38" t="s">
        <v>179</v>
      </c>
      <c r="AZ195" s="38" t="s">
        <v>179</v>
      </c>
      <c r="BA195" s="38" t="s">
        <v>179</v>
      </c>
      <c r="BB195" s="38" t="s">
        <v>179</v>
      </c>
      <c r="BC195" s="38" t="s">
        <v>224</v>
      </c>
      <c r="BD195" s="38" t="s">
        <v>152</v>
      </c>
      <c r="BE195" s="68">
        <v>46227.0</v>
      </c>
      <c r="BF195" s="38" t="s">
        <v>225</v>
      </c>
    </row>
    <row r="196">
      <c r="A196" s="62" t="s">
        <v>262</v>
      </c>
      <c r="B196" s="63"/>
      <c r="C196" s="62" t="s">
        <v>225</v>
      </c>
      <c r="D196" s="63"/>
      <c r="E196" s="62" t="s">
        <v>285</v>
      </c>
      <c r="F196" s="62" t="s">
        <v>270</v>
      </c>
      <c r="G196" s="63"/>
      <c r="H196" s="62" t="s">
        <v>224</v>
      </c>
      <c r="I196" s="63"/>
      <c r="J196" s="64">
        <v>46227.0</v>
      </c>
      <c r="K196" s="65">
        <v>0.4375</v>
      </c>
      <c r="L196" s="64">
        <v>46227.0</v>
      </c>
      <c r="M196" s="65">
        <v>0.5</v>
      </c>
      <c r="N196" s="65">
        <v>0.0625</v>
      </c>
      <c r="O196" s="66">
        <v>1.5</v>
      </c>
      <c r="R196" s="67"/>
      <c r="S196" s="68">
        <v>46227.0</v>
      </c>
      <c r="T196" s="38" t="str">
        <f>IFERROR(__xludf.DUMMYFUNCTION("""COMPUTED_VALUE"""),"General / No Specific Project")</f>
        <v>General / No Specific Project</v>
      </c>
      <c r="U196" s="38" t="s">
        <v>200</v>
      </c>
      <c r="V196" s="38" t="s">
        <v>33</v>
      </c>
      <c r="W196" s="38" t="str">
        <f>IFERROR(__xludf.DUMMYFUNCTION("""COMPUTED_VALUE"""),"CASWJ Board Hours")</f>
        <v>CASWJ Board Hours</v>
      </c>
      <c r="X196" s="38" t="s">
        <v>44</v>
      </c>
      <c r="Y196" s="38">
        <v>1.5</v>
      </c>
      <c r="Z196" s="38" t="s">
        <v>224</v>
      </c>
      <c r="AA196" s="38" t="s">
        <v>152</v>
      </c>
      <c r="AB196" s="68">
        <v>46227.0</v>
      </c>
      <c r="AC196" s="38" t="s">
        <v>225</v>
      </c>
      <c r="AP196" s="73">
        <v>46227.0</v>
      </c>
      <c r="AQ196" s="38" t="s">
        <v>199</v>
      </c>
      <c r="AR196" s="38" t="s">
        <v>200</v>
      </c>
      <c r="AS196" s="38" t="s">
        <v>33</v>
      </c>
      <c r="AT196" s="38" t="s">
        <v>32</v>
      </c>
      <c r="AU196" s="38" t="s">
        <v>44</v>
      </c>
      <c r="AV196" s="74">
        <v>0.4375</v>
      </c>
      <c r="AW196" s="74">
        <v>0.5</v>
      </c>
      <c r="AX196" s="38">
        <v>1.5</v>
      </c>
      <c r="AY196" s="38" t="s">
        <v>179</v>
      </c>
      <c r="AZ196" s="38" t="s">
        <v>179</v>
      </c>
      <c r="BA196" s="38" t="s">
        <v>179</v>
      </c>
      <c r="BB196" s="38" t="s">
        <v>179</v>
      </c>
      <c r="BC196" s="38" t="s">
        <v>224</v>
      </c>
      <c r="BD196" s="38" t="s">
        <v>152</v>
      </c>
      <c r="BE196" s="68">
        <v>46227.0</v>
      </c>
      <c r="BF196" s="38" t="s">
        <v>225</v>
      </c>
    </row>
    <row r="197">
      <c r="A197" s="62" t="s">
        <v>262</v>
      </c>
      <c r="B197" s="63"/>
      <c r="C197" s="62" t="s">
        <v>225</v>
      </c>
      <c r="D197" s="63"/>
      <c r="E197" s="62" t="s">
        <v>285</v>
      </c>
      <c r="F197" s="62" t="s">
        <v>270</v>
      </c>
      <c r="G197" s="63"/>
      <c r="H197" s="62" t="s">
        <v>224</v>
      </c>
      <c r="I197" s="63"/>
      <c r="J197" s="64">
        <v>46225.0</v>
      </c>
      <c r="K197" s="65">
        <v>0.7916666666666666</v>
      </c>
      <c r="L197" s="64">
        <v>46225.0</v>
      </c>
      <c r="M197" s="65">
        <v>0.8125</v>
      </c>
      <c r="N197" s="65">
        <v>0.020833333333333332</v>
      </c>
      <c r="O197" s="66">
        <v>0.5</v>
      </c>
      <c r="R197" s="67"/>
      <c r="S197" s="68">
        <v>46225.0</v>
      </c>
      <c r="T197" s="38" t="str">
        <f>IFERROR(__xludf.DUMMYFUNCTION("""COMPUTED_VALUE"""),"General / No Specific Project")</f>
        <v>General / No Specific Project</v>
      </c>
      <c r="U197" s="38" t="s">
        <v>200</v>
      </c>
      <c r="V197" s="38" t="s">
        <v>33</v>
      </c>
      <c r="W197" s="38" t="str">
        <f>IFERROR(__xludf.DUMMYFUNCTION("""COMPUTED_VALUE"""),"CASWJ Board Hours")</f>
        <v>CASWJ Board Hours</v>
      </c>
      <c r="X197" s="38" t="s">
        <v>44</v>
      </c>
      <c r="Y197" s="38">
        <v>0.5</v>
      </c>
      <c r="Z197" s="38" t="s">
        <v>224</v>
      </c>
      <c r="AA197" s="38" t="s">
        <v>152</v>
      </c>
      <c r="AB197" s="68">
        <v>46225.0</v>
      </c>
      <c r="AC197" s="38" t="s">
        <v>225</v>
      </c>
      <c r="AP197" s="73">
        <v>46225.0</v>
      </c>
      <c r="AQ197" s="38" t="s">
        <v>199</v>
      </c>
      <c r="AR197" s="38" t="s">
        <v>200</v>
      </c>
      <c r="AS197" s="38" t="s">
        <v>33</v>
      </c>
      <c r="AT197" s="38" t="s">
        <v>32</v>
      </c>
      <c r="AU197" s="38" t="s">
        <v>44</v>
      </c>
      <c r="AV197" s="74">
        <v>0.7916666666666666</v>
      </c>
      <c r="AW197" s="74">
        <v>0.8125</v>
      </c>
      <c r="AX197" s="38">
        <v>0.5</v>
      </c>
      <c r="AY197" s="38" t="s">
        <v>179</v>
      </c>
      <c r="AZ197" s="38" t="s">
        <v>179</v>
      </c>
      <c r="BA197" s="38" t="s">
        <v>179</v>
      </c>
      <c r="BB197" s="38" t="s">
        <v>179</v>
      </c>
      <c r="BC197" s="38" t="s">
        <v>224</v>
      </c>
      <c r="BD197" s="38" t="s">
        <v>152</v>
      </c>
      <c r="BE197" s="68">
        <v>46225.0</v>
      </c>
      <c r="BF197" s="38" t="s">
        <v>225</v>
      </c>
    </row>
    <row r="198">
      <c r="A198" s="63"/>
      <c r="B198" s="63"/>
      <c r="C198" s="62" t="s">
        <v>327</v>
      </c>
      <c r="D198" s="63"/>
      <c r="E198" s="62" t="s">
        <v>186</v>
      </c>
      <c r="F198" s="75" t="s">
        <v>53</v>
      </c>
      <c r="G198" s="63"/>
      <c r="H198" s="75" t="s">
        <v>187</v>
      </c>
      <c r="I198" s="63"/>
      <c r="J198" s="64">
        <v>46218.0</v>
      </c>
      <c r="K198" s="65">
        <v>0.875</v>
      </c>
      <c r="L198" s="64">
        <v>46218.0</v>
      </c>
      <c r="M198" s="65">
        <v>0.8840277777777777</v>
      </c>
      <c r="N198" s="65">
        <v>0.009027777777777777</v>
      </c>
      <c r="O198" s="66">
        <v>0.216667</v>
      </c>
      <c r="R198" s="67"/>
      <c r="S198" s="68">
        <v>46218.0</v>
      </c>
      <c r="T198" s="38" t="str">
        <f>IFERROR(__xludf.DUMMYFUNCTION("""COMPUTED_VALUE"""),"General - Visual Arts Society")</f>
        <v>General - Visual Arts Society</v>
      </c>
      <c r="U198" s="38" t="s">
        <v>186</v>
      </c>
      <c r="V198" s="38" t="s">
        <v>53</v>
      </c>
      <c r="W198" s="38" t="str">
        <f>IFERROR(__xludf.DUMMYFUNCTION("""COMPUTED_VALUE"""),"Committee Member Hours")</f>
        <v>Committee Member Hours</v>
      </c>
      <c r="X198" s="38" t="s">
        <v>44</v>
      </c>
      <c r="Y198" s="38">
        <v>0.216667</v>
      </c>
      <c r="Z198" s="38" t="s">
        <v>187</v>
      </c>
      <c r="AA198" s="38" t="s">
        <v>152</v>
      </c>
      <c r="AB198" s="68">
        <v>46218.0</v>
      </c>
      <c r="AC198" s="38" t="s">
        <v>327</v>
      </c>
      <c r="AP198" s="73">
        <v>46218.0</v>
      </c>
      <c r="AQ198" s="38" t="s">
        <v>185</v>
      </c>
      <c r="AR198" s="38" t="s">
        <v>186</v>
      </c>
      <c r="AS198" s="38" t="s">
        <v>53</v>
      </c>
      <c r="AT198" s="38" t="s">
        <v>42</v>
      </c>
      <c r="AU198" s="38" t="s">
        <v>44</v>
      </c>
      <c r="AV198" s="74">
        <v>0.875</v>
      </c>
      <c r="AW198" s="74">
        <v>0.8840277777777777</v>
      </c>
      <c r="AX198" s="38">
        <v>0.216667</v>
      </c>
      <c r="AY198" s="38" t="s">
        <v>179</v>
      </c>
      <c r="AZ198" s="38" t="s">
        <v>179</v>
      </c>
      <c r="BA198" s="38" t="s">
        <v>179</v>
      </c>
      <c r="BB198" s="38" t="s">
        <v>179</v>
      </c>
      <c r="BC198" s="38" t="s">
        <v>187</v>
      </c>
      <c r="BD198" s="38" t="s">
        <v>152</v>
      </c>
      <c r="BE198" s="68">
        <v>46218.0</v>
      </c>
      <c r="BF198" s="38" t="s">
        <v>327</v>
      </c>
    </row>
    <row r="199">
      <c r="A199" s="62" t="s">
        <v>262</v>
      </c>
      <c r="B199" s="63"/>
      <c r="C199" s="62" t="s">
        <v>225</v>
      </c>
      <c r="D199" s="63"/>
      <c r="E199" s="62" t="s">
        <v>285</v>
      </c>
      <c r="F199" s="62" t="s">
        <v>270</v>
      </c>
      <c r="G199" s="63"/>
      <c r="H199" s="62" t="s">
        <v>224</v>
      </c>
      <c r="I199" s="63"/>
      <c r="J199" s="64">
        <v>46218.0</v>
      </c>
      <c r="K199" s="65">
        <v>0.6486111111111111</v>
      </c>
      <c r="L199" s="64">
        <v>46218.0</v>
      </c>
      <c r="M199" s="65">
        <v>0.6902777777777778</v>
      </c>
      <c r="N199" s="72">
        <v>0.041666666666666664</v>
      </c>
      <c r="O199" s="66">
        <v>1.0</v>
      </c>
      <c r="R199" s="67"/>
      <c r="S199" s="68">
        <v>46218.0</v>
      </c>
      <c r="T199" s="38" t="str">
        <f>IFERROR(__xludf.DUMMYFUNCTION("""COMPUTED_VALUE"""),"General / No Specific Project")</f>
        <v>General / No Specific Project</v>
      </c>
      <c r="U199" s="38" t="s">
        <v>200</v>
      </c>
      <c r="V199" s="38" t="s">
        <v>33</v>
      </c>
      <c r="W199" s="38" t="str">
        <f>IFERROR(__xludf.DUMMYFUNCTION("""COMPUTED_VALUE"""),"CASWJ Board Hours")</f>
        <v>CASWJ Board Hours</v>
      </c>
      <c r="X199" s="38" t="s">
        <v>44</v>
      </c>
      <c r="Y199" s="38">
        <v>1.0</v>
      </c>
      <c r="Z199" s="38" t="s">
        <v>224</v>
      </c>
      <c r="AA199" s="38" t="s">
        <v>152</v>
      </c>
      <c r="AB199" s="68">
        <v>46218.0</v>
      </c>
      <c r="AC199" s="38" t="s">
        <v>225</v>
      </c>
      <c r="AP199" s="73">
        <v>46218.0</v>
      </c>
      <c r="AQ199" s="38" t="s">
        <v>199</v>
      </c>
      <c r="AR199" s="38" t="s">
        <v>200</v>
      </c>
      <c r="AS199" s="38" t="s">
        <v>33</v>
      </c>
      <c r="AT199" s="38" t="s">
        <v>32</v>
      </c>
      <c r="AU199" s="38" t="s">
        <v>44</v>
      </c>
      <c r="AV199" s="74">
        <v>0.6486111111111111</v>
      </c>
      <c r="AW199" s="74">
        <v>0.6902777777777778</v>
      </c>
      <c r="AX199" s="38">
        <v>1.0</v>
      </c>
      <c r="AY199" s="38" t="s">
        <v>179</v>
      </c>
      <c r="AZ199" s="38" t="s">
        <v>179</v>
      </c>
      <c r="BA199" s="38" t="s">
        <v>179</v>
      </c>
      <c r="BB199" s="38" t="s">
        <v>179</v>
      </c>
      <c r="BC199" s="38" t="s">
        <v>224</v>
      </c>
      <c r="BD199" s="38" t="s">
        <v>152</v>
      </c>
      <c r="BE199" s="68">
        <v>46218.0</v>
      </c>
      <c r="BF199" s="38" t="s">
        <v>225</v>
      </c>
    </row>
    <row r="200">
      <c r="A200" s="63"/>
      <c r="B200" s="63"/>
      <c r="C200" s="62" t="s">
        <v>328</v>
      </c>
      <c r="D200" s="63"/>
      <c r="E200" s="62" t="s">
        <v>186</v>
      </c>
      <c r="F200" s="75" t="s">
        <v>53</v>
      </c>
      <c r="G200" s="63"/>
      <c r="H200" s="75" t="s">
        <v>187</v>
      </c>
      <c r="I200" s="63"/>
      <c r="J200" s="64">
        <v>46216.0</v>
      </c>
      <c r="K200" s="65">
        <v>0.8916666666666667</v>
      </c>
      <c r="L200" s="64">
        <v>46216.0</v>
      </c>
      <c r="M200" s="65">
        <v>0.9277777777777778</v>
      </c>
      <c r="N200" s="65">
        <v>0.03611111111111111</v>
      </c>
      <c r="O200" s="66">
        <v>0.866667</v>
      </c>
      <c r="R200" s="67"/>
      <c r="S200" s="68">
        <v>46216.0</v>
      </c>
      <c r="T200" s="38" t="str">
        <f>IFERROR(__xludf.DUMMYFUNCTION("""COMPUTED_VALUE"""),"General - Visual Arts Society")</f>
        <v>General - Visual Arts Society</v>
      </c>
      <c r="U200" s="38" t="s">
        <v>186</v>
      </c>
      <c r="V200" s="38" t="s">
        <v>53</v>
      </c>
      <c r="W200" s="38" t="str">
        <f>IFERROR(__xludf.DUMMYFUNCTION("""COMPUTED_VALUE"""),"Committee Member Hours")</f>
        <v>Committee Member Hours</v>
      </c>
      <c r="X200" s="38" t="s">
        <v>44</v>
      </c>
      <c r="Y200" s="38">
        <v>0.866667</v>
      </c>
      <c r="Z200" s="38" t="s">
        <v>187</v>
      </c>
      <c r="AA200" s="38" t="s">
        <v>152</v>
      </c>
      <c r="AB200" s="68">
        <v>46216.0</v>
      </c>
      <c r="AC200" s="38" t="s">
        <v>328</v>
      </c>
      <c r="AP200" s="73">
        <v>46216.0</v>
      </c>
      <c r="AQ200" s="38" t="s">
        <v>185</v>
      </c>
      <c r="AR200" s="38" t="s">
        <v>186</v>
      </c>
      <c r="AS200" s="38" t="s">
        <v>53</v>
      </c>
      <c r="AT200" s="38" t="s">
        <v>42</v>
      </c>
      <c r="AU200" s="38" t="s">
        <v>44</v>
      </c>
      <c r="AV200" s="74">
        <v>0.8916666666666667</v>
      </c>
      <c r="AW200" s="74">
        <v>0.9277777777777778</v>
      </c>
      <c r="AX200" s="38">
        <v>0.866667</v>
      </c>
      <c r="AY200" s="38" t="s">
        <v>179</v>
      </c>
      <c r="AZ200" s="38" t="s">
        <v>179</v>
      </c>
      <c r="BA200" s="38" t="s">
        <v>179</v>
      </c>
      <c r="BB200" s="38" t="s">
        <v>179</v>
      </c>
      <c r="BC200" s="38" t="s">
        <v>187</v>
      </c>
      <c r="BD200" s="38" t="s">
        <v>152</v>
      </c>
      <c r="BE200" s="68">
        <v>46216.0</v>
      </c>
      <c r="BF200" s="38" t="s">
        <v>328</v>
      </c>
    </row>
    <row r="201">
      <c r="A201" s="62" t="s">
        <v>262</v>
      </c>
      <c r="B201" s="63"/>
      <c r="C201" s="62" t="s">
        <v>225</v>
      </c>
      <c r="D201" s="63"/>
      <c r="E201" s="62" t="s">
        <v>285</v>
      </c>
      <c r="F201" s="62" t="s">
        <v>270</v>
      </c>
      <c r="G201" s="63"/>
      <c r="H201" s="62" t="s">
        <v>224</v>
      </c>
      <c r="I201" s="63"/>
      <c r="J201" s="64">
        <v>46216.0</v>
      </c>
      <c r="K201" s="65">
        <v>0.6277777777777778</v>
      </c>
      <c r="L201" s="64">
        <v>46216.0</v>
      </c>
      <c r="M201" s="65">
        <v>0.6694444444444444</v>
      </c>
      <c r="N201" s="65">
        <v>0.041666666666666664</v>
      </c>
      <c r="O201" s="66">
        <v>1.0</v>
      </c>
      <c r="R201" s="67"/>
      <c r="S201" s="68">
        <v>46216.0</v>
      </c>
      <c r="T201" s="38" t="str">
        <f>IFERROR(__xludf.DUMMYFUNCTION("""COMPUTED_VALUE"""),"General / No Specific Project")</f>
        <v>General / No Specific Project</v>
      </c>
      <c r="U201" s="38" t="s">
        <v>200</v>
      </c>
      <c r="V201" s="38" t="s">
        <v>33</v>
      </c>
      <c r="W201" s="38" t="str">
        <f>IFERROR(__xludf.DUMMYFUNCTION("""COMPUTED_VALUE"""),"CASWJ Board Hours")</f>
        <v>CASWJ Board Hours</v>
      </c>
      <c r="X201" s="38" t="s">
        <v>44</v>
      </c>
      <c r="Y201" s="38">
        <v>1.0</v>
      </c>
      <c r="Z201" s="38" t="s">
        <v>224</v>
      </c>
      <c r="AA201" s="38" t="s">
        <v>152</v>
      </c>
      <c r="AB201" s="68">
        <v>46216.0</v>
      </c>
      <c r="AC201" s="38" t="s">
        <v>225</v>
      </c>
      <c r="AP201" s="73">
        <v>46216.0</v>
      </c>
      <c r="AQ201" s="38" t="s">
        <v>199</v>
      </c>
      <c r="AR201" s="38" t="s">
        <v>200</v>
      </c>
      <c r="AS201" s="38" t="s">
        <v>33</v>
      </c>
      <c r="AT201" s="38" t="s">
        <v>32</v>
      </c>
      <c r="AU201" s="38" t="s">
        <v>44</v>
      </c>
      <c r="AV201" s="74">
        <v>0.6277777777777778</v>
      </c>
      <c r="AW201" s="74">
        <v>0.6694444444444444</v>
      </c>
      <c r="AX201" s="38">
        <v>1.0</v>
      </c>
      <c r="AY201" s="38" t="s">
        <v>179</v>
      </c>
      <c r="AZ201" s="38" t="s">
        <v>179</v>
      </c>
      <c r="BA201" s="38" t="s">
        <v>179</v>
      </c>
      <c r="BB201" s="38" t="s">
        <v>179</v>
      </c>
      <c r="BC201" s="38" t="s">
        <v>224</v>
      </c>
      <c r="BD201" s="38" t="s">
        <v>152</v>
      </c>
      <c r="BE201" s="68">
        <v>46216.0</v>
      </c>
      <c r="BF201" s="38" t="s">
        <v>225</v>
      </c>
    </row>
    <row r="202">
      <c r="A202" s="62" t="s">
        <v>262</v>
      </c>
      <c r="B202" s="63"/>
      <c r="C202" s="62" t="s">
        <v>329</v>
      </c>
      <c r="D202" s="63"/>
      <c r="E202" s="62" t="s">
        <v>281</v>
      </c>
      <c r="F202" s="75" t="s">
        <v>53</v>
      </c>
      <c r="G202" s="63"/>
      <c r="H202" s="75" t="s">
        <v>187</v>
      </c>
      <c r="I202" s="63"/>
      <c r="J202" s="64">
        <v>46212.0</v>
      </c>
      <c r="K202" s="65">
        <v>0.5416666666666666</v>
      </c>
      <c r="L202" s="64">
        <v>46212.0</v>
      </c>
      <c r="M202" s="65">
        <v>0.7083333333333334</v>
      </c>
      <c r="N202" s="65">
        <v>0.16666666666666666</v>
      </c>
      <c r="O202" s="66">
        <v>4.0</v>
      </c>
      <c r="R202" s="67"/>
      <c r="S202" s="68">
        <v>46212.0</v>
      </c>
      <c r="T202" s="38" t="str">
        <f>IFERROR(__xludf.DUMMYFUNCTION("""COMPUTED_VALUE"""),"General - Visual Arts Society")</f>
        <v>General - Visual Arts Society</v>
      </c>
      <c r="U202" s="38" t="s">
        <v>189</v>
      </c>
      <c r="V202" s="38" t="s">
        <v>53</v>
      </c>
      <c r="W202" s="38" t="str">
        <f>IFERROR(__xludf.DUMMYFUNCTION("""COMPUTED_VALUE"""),"Committee Member Hours")</f>
        <v>Committee Member Hours</v>
      </c>
      <c r="X202" s="38" t="s">
        <v>44</v>
      </c>
      <c r="Y202" s="38">
        <v>4.0</v>
      </c>
      <c r="Z202" s="38" t="s">
        <v>187</v>
      </c>
      <c r="AA202" s="38" t="s">
        <v>152</v>
      </c>
      <c r="AB202" s="68">
        <v>46212.0</v>
      </c>
      <c r="AC202" s="38" t="s">
        <v>329</v>
      </c>
      <c r="AP202" s="73">
        <v>46212.0</v>
      </c>
      <c r="AQ202" s="38" t="s">
        <v>185</v>
      </c>
      <c r="AR202" s="38" t="s">
        <v>189</v>
      </c>
      <c r="AS202" s="38" t="s">
        <v>53</v>
      </c>
      <c r="AT202" s="38" t="s">
        <v>42</v>
      </c>
      <c r="AU202" s="38" t="s">
        <v>44</v>
      </c>
      <c r="AV202" s="74">
        <v>0.5416666666666666</v>
      </c>
      <c r="AW202" s="74">
        <v>0.7083333333333334</v>
      </c>
      <c r="AX202" s="38">
        <v>4.0</v>
      </c>
      <c r="AY202" s="38" t="s">
        <v>179</v>
      </c>
      <c r="AZ202" s="38" t="s">
        <v>179</v>
      </c>
      <c r="BA202" s="38" t="s">
        <v>179</v>
      </c>
      <c r="BB202" s="38" t="s">
        <v>179</v>
      </c>
      <c r="BC202" s="38" t="s">
        <v>187</v>
      </c>
      <c r="BD202" s="38" t="s">
        <v>152</v>
      </c>
      <c r="BE202" s="68">
        <v>46212.0</v>
      </c>
      <c r="BF202" s="38" t="s">
        <v>329</v>
      </c>
    </row>
    <row r="203">
      <c r="A203" s="63"/>
      <c r="B203" s="63"/>
      <c r="C203" s="62" t="s">
        <v>330</v>
      </c>
      <c r="D203" s="63"/>
      <c r="E203" s="62" t="s">
        <v>186</v>
      </c>
      <c r="F203" s="75" t="s">
        <v>53</v>
      </c>
      <c r="G203" s="63"/>
      <c r="H203" s="75" t="s">
        <v>187</v>
      </c>
      <c r="I203" s="63"/>
      <c r="J203" s="64">
        <v>46209.0</v>
      </c>
      <c r="K203" s="65">
        <v>0.5833333333333334</v>
      </c>
      <c r="L203" s="64">
        <v>46209.0</v>
      </c>
      <c r="M203" s="65">
        <v>0.6180555555555556</v>
      </c>
      <c r="N203" s="65">
        <v>0.034722222222222224</v>
      </c>
      <c r="O203" s="66">
        <v>0.833333</v>
      </c>
      <c r="R203" s="67"/>
      <c r="S203" s="68">
        <v>46209.0</v>
      </c>
      <c r="T203" s="38" t="str">
        <f>IFERROR(__xludf.DUMMYFUNCTION("""COMPUTED_VALUE"""),"General - Visual Arts Society")</f>
        <v>General - Visual Arts Society</v>
      </c>
      <c r="U203" s="38" t="s">
        <v>186</v>
      </c>
      <c r="V203" s="38" t="s">
        <v>53</v>
      </c>
      <c r="W203" s="38" t="str">
        <f>IFERROR(__xludf.DUMMYFUNCTION("""COMPUTED_VALUE"""),"Committee Member Hours")</f>
        <v>Committee Member Hours</v>
      </c>
      <c r="X203" s="38" t="s">
        <v>44</v>
      </c>
      <c r="Y203" s="38">
        <v>0.833333</v>
      </c>
      <c r="Z203" s="38" t="s">
        <v>187</v>
      </c>
      <c r="AA203" s="38" t="s">
        <v>152</v>
      </c>
      <c r="AB203" s="68">
        <v>46209.0</v>
      </c>
      <c r="AC203" s="38" t="s">
        <v>330</v>
      </c>
      <c r="AP203" s="73">
        <v>46209.0</v>
      </c>
      <c r="AQ203" s="38" t="s">
        <v>185</v>
      </c>
      <c r="AR203" s="38" t="s">
        <v>186</v>
      </c>
      <c r="AS203" s="38" t="s">
        <v>53</v>
      </c>
      <c r="AT203" s="38" t="s">
        <v>42</v>
      </c>
      <c r="AU203" s="38" t="s">
        <v>44</v>
      </c>
      <c r="AV203" s="74">
        <v>0.5833333333333334</v>
      </c>
      <c r="AW203" s="74">
        <v>0.6180555555555556</v>
      </c>
      <c r="AX203" s="38">
        <v>0.833333</v>
      </c>
      <c r="AY203" s="38" t="s">
        <v>179</v>
      </c>
      <c r="AZ203" s="38" t="s">
        <v>179</v>
      </c>
      <c r="BA203" s="38" t="s">
        <v>179</v>
      </c>
      <c r="BB203" s="38" t="s">
        <v>179</v>
      </c>
      <c r="BC203" s="38" t="s">
        <v>187</v>
      </c>
      <c r="BD203" s="38" t="s">
        <v>152</v>
      </c>
      <c r="BE203" s="68">
        <v>46209.0</v>
      </c>
      <c r="BF203" s="38" t="s">
        <v>330</v>
      </c>
    </row>
    <row r="204">
      <c r="A204" s="62" t="s">
        <v>262</v>
      </c>
      <c r="B204" s="63"/>
      <c r="C204" s="62" t="s">
        <v>331</v>
      </c>
      <c r="D204" s="63"/>
      <c r="E204" s="62" t="s">
        <v>271</v>
      </c>
      <c r="F204" s="75" t="s">
        <v>53</v>
      </c>
      <c r="G204" s="63"/>
      <c r="H204" s="75" t="s">
        <v>187</v>
      </c>
      <c r="I204" s="63"/>
      <c r="J204" s="64">
        <v>46204.0</v>
      </c>
      <c r="K204" s="65">
        <v>0.8472222222222222</v>
      </c>
      <c r="L204" s="64">
        <v>46204.0</v>
      </c>
      <c r="M204" s="65">
        <v>0.8694444444444445</v>
      </c>
      <c r="N204" s="72">
        <v>0.022222222222222223</v>
      </c>
      <c r="O204" s="66">
        <v>0.533333</v>
      </c>
      <c r="R204" s="67"/>
      <c r="S204" s="68">
        <v>46204.0</v>
      </c>
      <c r="T204" s="38" t="str">
        <f>IFERROR(__xludf.DUMMYFUNCTION("""COMPUTED_VALUE"""),"General - Visual Arts Society")</f>
        <v>General - Visual Arts Society</v>
      </c>
      <c r="U204" s="38" t="s">
        <v>175</v>
      </c>
      <c r="V204" s="38" t="s">
        <v>53</v>
      </c>
      <c r="W204" s="38" t="str">
        <f>IFERROR(__xludf.DUMMYFUNCTION("""COMPUTED_VALUE"""),"Committee Member Hours")</f>
        <v>Committee Member Hours</v>
      </c>
      <c r="X204" s="38" t="s">
        <v>44</v>
      </c>
      <c r="Y204" s="38">
        <v>0.533333</v>
      </c>
      <c r="Z204" s="38" t="s">
        <v>187</v>
      </c>
      <c r="AA204" s="38" t="s">
        <v>152</v>
      </c>
      <c r="AB204" s="68">
        <v>46204.0</v>
      </c>
      <c r="AC204" s="38" t="s">
        <v>331</v>
      </c>
      <c r="AP204" s="73">
        <v>46204.0</v>
      </c>
      <c r="AQ204" s="38" t="s">
        <v>185</v>
      </c>
      <c r="AR204" s="38" t="s">
        <v>175</v>
      </c>
      <c r="AS204" s="38" t="s">
        <v>53</v>
      </c>
      <c r="AT204" s="38" t="s">
        <v>42</v>
      </c>
      <c r="AU204" s="38" t="s">
        <v>44</v>
      </c>
      <c r="AV204" s="74">
        <v>0.8472222222222222</v>
      </c>
      <c r="AW204" s="74">
        <v>0.8694444444444445</v>
      </c>
      <c r="AX204" s="38">
        <v>0.533333</v>
      </c>
      <c r="AY204" s="38" t="s">
        <v>179</v>
      </c>
      <c r="AZ204" s="38" t="s">
        <v>179</v>
      </c>
      <c r="BA204" s="38" t="s">
        <v>179</v>
      </c>
      <c r="BB204" s="38" t="s">
        <v>179</v>
      </c>
      <c r="BC204" s="38" t="s">
        <v>187</v>
      </c>
      <c r="BD204" s="38" t="s">
        <v>152</v>
      </c>
      <c r="BE204" s="68">
        <v>46204.0</v>
      </c>
      <c r="BF204" s="38" t="s">
        <v>331</v>
      </c>
    </row>
    <row r="205">
      <c r="A205" s="62" t="s">
        <v>262</v>
      </c>
      <c r="B205" s="63"/>
      <c r="C205" s="62" t="s">
        <v>173</v>
      </c>
      <c r="D205" s="63"/>
      <c r="E205" s="62" t="s">
        <v>263</v>
      </c>
      <c r="F205" s="62" t="s">
        <v>60</v>
      </c>
      <c r="G205" s="63"/>
      <c r="H205" s="62" t="s">
        <v>172</v>
      </c>
      <c r="I205" s="63"/>
      <c r="J205" s="64">
        <v>46261.0</v>
      </c>
      <c r="K205" s="65">
        <v>0.5763888888888888</v>
      </c>
      <c r="L205" s="64">
        <v>46261.0</v>
      </c>
      <c r="M205" s="65">
        <v>0.5770833333333333</v>
      </c>
      <c r="N205" s="72">
        <v>6.944444444444445E-4</v>
      </c>
      <c r="O205" s="66">
        <v>0.016667</v>
      </c>
      <c r="R205" s="67"/>
      <c r="S205" s="68">
        <v>46261.0</v>
      </c>
      <c r="T205" s="38" t="str">
        <f>IFERROR(__xludf.DUMMYFUNCTION("""COMPUTED_VALUE"""),"General - West Jordan Symphony")</f>
        <v>General - West Jordan Symphony</v>
      </c>
      <c r="U205" s="38" t="s">
        <v>170</v>
      </c>
      <c r="V205" s="38" t="s">
        <v>60</v>
      </c>
      <c r="W205" s="38" t="str">
        <f>IFERROR(__xludf.DUMMYFUNCTION("""COMPUTED_VALUE"""),"Participant Hours")</f>
        <v>Participant Hours</v>
      </c>
      <c r="X205" s="38" t="s">
        <v>44</v>
      </c>
      <c r="Y205" s="38">
        <v>0.016667</v>
      </c>
      <c r="Z205" s="38" t="s">
        <v>172</v>
      </c>
      <c r="AA205" s="38" t="s">
        <v>152</v>
      </c>
      <c r="AB205" s="68">
        <v>46261.0</v>
      </c>
      <c r="AC205" s="38" t="s">
        <v>173</v>
      </c>
      <c r="AP205" s="73">
        <v>46261.0</v>
      </c>
      <c r="AQ205" s="38" t="s">
        <v>64</v>
      </c>
      <c r="AR205" s="38" t="s">
        <v>170</v>
      </c>
      <c r="AS205" s="38" t="s">
        <v>60</v>
      </c>
      <c r="AT205" s="38" t="s">
        <v>48</v>
      </c>
      <c r="AU205" s="38" t="s">
        <v>44</v>
      </c>
      <c r="AV205" s="74">
        <v>0.5763888888888888</v>
      </c>
      <c r="AW205" s="74">
        <v>0.5770833333333333</v>
      </c>
      <c r="AX205" s="38">
        <v>0.016667</v>
      </c>
      <c r="AY205" s="38" t="s">
        <v>179</v>
      </c>
      <c r="AZ205" s="38" t="s">
        <v>179</v>
      </c>
      <c r="BA205" s="38" t="s">
        <v>179</v>
      </c>
      <c r="BB205" s="38" t="s">
        <v>179</v>
      </c>
      <c r="BC205" s="38" t="s">
        <v>172</v>
      </c>
      <c r="BD205" s="38" t="s">
        <v>152</v>
      </c>
      <c r="BE205" s="68">
        <v>46261.0</v>
      </c>
      <c r="BF205" s="38" t="s">
        <v>173</v>
      </c>
    </row>
    <row r="206">
      <c r="A206" s="63"/>
      <c r="B206" s="63"/>
      <c r="C206" s="62" t="s">
        <v>332</v>
      </c>
      <c r="D206" s="63"/>
      <c r="E206" s="62" t="s">
        <v>186</v>
      </c>
      <c r="F206" s="75" t="s">
        <v>53</v>
      </c>
      <c r="G206" s="63"/>
      <c r="H206" s="75" t="s">
        <v>187</v>
      </c>
      <c r="I206" s="63"/>
      <c r="J206" s="64">
        <v>46259.0</v>
      </c>
      <c r="K206" s="65">
        <v>0.8826388888888889</v>
      </c>
      <c r="L206" s="64">
        <v>46259.0</v>
      </c>
      <c r="M206" s="65">
        <v>0.91875</v>
      </c>
      <c r="N206" s="72">
        <v>0.03611111111111111</v>
      </c>
      <c r="O206" s="66">
        <v>0.866667</v>
      </c>
      <c r="R206" s="67"/>
      <c r="S206" s="68">
        <v>46259.0</v>
      </c>
      <c r="T206" s="38" t="str">
        <f>IFERROR(__xludf.DUMMYFUNCTION("""COMPUTED_VALUE"""),"General - Visual Arts Society")</f>
        <v>General - Visual Arts Society</v>
      </c>
      <c r="U206" s="38" t="s">
        <v>186</v>
      </c>
      <c r="V206" s="38" t="s">
        <v>53</v>
      </c>
      <c r="W206" s="38" t="str">
        <f>IFERROR(__xludf.DUMMYFUNCTION("""COMPUTED_VALUE"""),"Committee Member Hours")</f>
        <v>Committee Member Hours</v>
      </c>
      <c r="X206" s="38" t="s">
        <v>44</v>
      </c>
      <c r="Y206" s="38">
        <v>0.866667</v>
      </c>
      <c r="Z206" s="38" t="s">
        <v>187</v>
      </c>
      <c r="AA206" s="38" t="s">
        <v>152</v>
      </c>
      <c r="AB206" s="68">
        <v>46259.0</v>
      </c>
      <c r="AC206" s="38" t="s">
        <v>332</v>
      </c>
      <c r="AP206" s="73">
        <v>46259.0</v>
      </c>
      <c r="AQ206" s="38" t="s">
        <v>185</v>
      </c>
      <c r="AR206" s="38" t="s">
        <v>186</v>
      </c>
      <c r="AS206" s="38" t="s">
        <v>53</v>
      </c>
      <c r="AT206" s="38" t="s">
        <v>42</v>
      </c>
      <c r="AU206" s="38" t="s">
        <v>44</v>
      </c>
      <c r="AV206" s="74">
        <v>0.8826388888888889</v>
      </c>
      <c r="AW206" s="74">
        <v>0.91875</v>
      </c>
      <c r="AX206" s="38">
        <v>0.866667</v>
      </c>
      <c r="AY206" s="38" t="s">
        <v>179</v>
      </c>
      <c r="AZ206" s="38" t="s">
        <v>179</v>
      </c>
      <c r="BA206" s="38" t="s">
        <v>179</v>
      </c>
      <c r="BB206" s="38" t="s">
        <v>179</v>
      </c>
      <c r="BC206" s="38" t="s">
        <v>187</v>
      </c>
      <c r="BD206" s="38" t="s">
        <v>152</v>
      </c>
      <c r="BE206" s="68">
        <v>46259.0</v>
      </c>
      <c r="BF206" s="38" t="s">
        <v>332</v>
      </c>
    </row>
    <row r="207">
      <c r="A207" s="62" t="s">
        <v>262</v>
      </c>
      <c r="B207" s="63"/>
      <c r="C207" s="62" t="s">
        <v>173</v>
      </c>
      <c r="D207" s="63"/>
      <c r="E207" s="62" t="s">
        <v>263</v>
      </c>
      <c r="F207" s="62" t="s">
        <v>60</v>
      </c>
      <c r="G207" s="63"/>
      <c r="H207" s="75" t="s">
        <v>172</v>
      </c>
      <c r="I207" s="63"/>
      <c r="J207" s="64">
        <v>46256.0</v>
      </c>
      <c r="K207" s="65">
        <v>0.375</v>
      </c>
      <c r="L207" s="64">
        <v>46261.0</v>
      </c>
      <c r="M207" s="65">
        <v>0.7916666666666666</v>
      </c>
      <c r="N207" s="72">
        <v>5.416666666666667</v>
      </c>
      <c r="O207" s="66">
        <v>130.0</v>
      </c>
      <c r="R207" s="67"/>
      <c r="S207" s="68">
        <v>46256.0</v>
      </c>
      <c r="T207" s="38" t="str">
        <f>IFERROR(__xludf.DUMMYFUNCTION("""COMPUTED_VALUE"""),"General - West Jordan Symphony")</f>
        <v>General - West Jordan Symphony</v>
      </c>
      <c r="U207" s="38" t="s">
        <v>170</v>
      </c>
      <c r="V207" s="38" t="s">
        <v>60</v>
      </c>
      <c r="W207" s="38" t="str">
        <f>IFERROR(__xludf.DUMMYFUNCTION("""COMPUTED_VALUE"""),"Participant Hours")</f>
        <v>Participant Hours</v>
      </c>
      <c r="X207" s="38" t="s">
        <v>44</v>
      </c>
      <c r="Y207" s="38">
        <v>130.0</v>
      </c>
      <c r="Z207" s="38" t="s">
        <v>172</v>
      </c>
      <c r="AA207" s="38" t="s">
        <v>152</v>
      </c>
      <c r="AB207" s="68">
        <v>46256.0</v>
      </c>
      <c r="AC207" s="38" t="s">
        <v>173</v>
      </c>
      <c r="AP207" s="73">
        <v>46256.0</v>
      </c>
      <c r="AQ207" s="38" t="s">
        <v>64</v>
      </c>
      <c r="AR207" s="38" t="s">
        <v>170</v>
      </c>
      <c r="AS207" s="38" t="s">
        <v>60</v>
      </c>
      <c r="AT207" s="38" t="s">
        <v>48</v>
      </c>
      <c r="AU207" s="38" t="s">
        <v>44</v>
      </c>
      <c r="AV207" s="74">
        <v>0.375</v>
      </c>
      <c r="AW207" s="74">
        <v>0.7916666666666666</v>
      </c>
      <c r="AX207" s="38">
        <v>130.0</v>
      </c>
      <c r="AY207" s="38" t="s">
        <v>179</v>
      </c>
      <c r="AZ207" s="38" t="s">
        <v>179</v>
      </c>
      <c r="BA207" s="38" t="s">
        <v>179</v>
      </c>
      <c r="BB207" s="38" t="s">
        <v>179</v>
      </c>
      <c r="BC207" s="38" t="s">
        <v>172</v>
      </c>
      <c r="BD207" s="38" t="s">
        <v>152</v>
      </c>
      <c r="BE207" s="68">
        <v>46256.0</v>
      </c>
      <c r="BF207" s="38" t="s">
        <v>173</v>
      </c>
    </row>
    <row r="208">
      <c r="A208" s="62" t="s">
        <v>262</v>
      </c>
      <c r="B208" s="63"/>
      <c r="C208" s="62" t="s">
        <v>173</v>
      </c>
      <c r="D208" s="63"/>
      <c r="E208" s="62" t="s">
        <v>263</v>
      </c>
      <c r="F208" s="62" t="s">
        <v>60</v>
      </c>
      <c r="G208" s="63"/>
      <c r="H208" s="62" t="s">
        <v>172</v>
      </c>
      <c r="I208" s="63"/>
      <c r="J208" s="64">
        <v>46249.0</v>
      </c>
      <c r="K208" s="65">
        <v>0.375</v>
      </c>
      <c r="L208" s="64">
        <v>46255.0</v>
      </c>
      <c r="M208" s="65">
        <v>0.20833333333333334</v>
      </c>
      <c r="N208" s="72">
        <v>5.833333333333333</v>
      </c>
      <c r="O208" s="66">
        <v>140.0</v>
      </c>
      <c r="R208" s="67"/>
      <c r="S208" s="68">
        <v>46249.0</v>
      </c>
      <c r="T208" s="38" t="str">
        <f>IFERROR(__xludf.DUMMYFUNCTION("""COMPUTED_VALUE"""),"General - West Jordan Symphony")</f>
        <v>General - West Jordan Symphony</v>
      </c>
      <c r="U208" s="38" t="s">
        <v>170</v>
      </c>
      <c r="V208" s="38" t="s">
        <v>60</v>
      </c>
      <c r="W208" s="38" t="str">
        <f>IFERROR(__xludf.DUMMYFUNCTION("""COMPUTED_VALUE"""),"Participant Hours")</f>
        <v>Participant Hours</v>
      </c>
      <c r="X208" s="38" t="s">
        <v>44</v>
      </c>
      <c r="Y208" s="38">
        <v>140.0</v>
      </c>
      <c r="Z208" s="38" t="s">
        <v>172</v>
      </c>
      <c r="AA208" s="38" t="s">
        <v>152</v>
      </c>
      <c r="AB208" s="68">
        <v>46249.0</v>
      </c>
      <c r="AC208" s="38" t="s">
        <v>173</v>
      </c>
      <c r="AP208" s="73">
        <v>46249.0</v>
      </c>
      <c r="AQ208" s="38" t="s">
        <v>64</v>
      </c>
      <c r="AR208" s="38" t="s">
        <v>170</v>
      </c>
      <c r="AS208" s="38" t="s">
        <v>60</v>
      </c>
      <c r="AT208" s="38" t="s">
        <v>48</v>
      </c>
      <c r="AU208" s="38" t="s">
        <v>44</v>
      </c>
      <c r="AV208" s="74">
        <v>0.375</v>
      </c>
      <c r="AW208" s="74">
        <v>0.20833333333333334</v>
      </c>
      <c r="AX208" s="38">
        <v>140.0</v>
      </c>
      <c r="AY208" s="38" t="s">
        <v>179</v>
      </c>
      <c r="AZ208" s="38" t="s">
        <v>179</v>
      </c>
      <c r="BA208" s="38" t="s">
        <v>179</v>
      </c>
      <c r="BB208" s="38" t="s">
        <v>179</v>
      </c>
      <c r="BC208" s="38" t="s">
        <v>172</v>
      </c>
      <c r="BD208" s="38" t="s">
        <v>152</v>
      </c>
      <c r="BE208" s="68">
        <v>46249.0</v>
      </c>
      <c r="BF208" s="38" t="s">
        <v>173</v>
      </c>
    </row>
    <row r="209">
      <c r="A209" s="63"/>
      <c r="B209" s="63"/>
      <c r="C209" s="62" t="s">
        <v>333</v>
      </c>
      <c r="D209" s="63"/>
      <c r="E209" s="62" t="s">
        <v>186</v>
      </c>
      <c r="F209" s="75" t="s">
        <v>53</v>
      </c>
      <c r="G209" s="63"/>
      <c r="H209" s="75" t="s">
        <v>187</v>
      </c>
      <c r="I209" s="63"/>
      <c r="J209" s="64">
        <v>46239.0</v>
      </c>
      <c r="K209" s="65">
        <v>0.5625</v>
      </c>
      <c r="L209" s="64">
        <v>46239.0</v>
      </c>
      <c r="M209" s="65">
        <v>0.6111111111111112</v>
      </c>
      <c r="N209" s="65">
        <v>0.04861111111111111</v>
      </c>
      <c r="O209" s="66">
        <v>1.166667</v>
      </c>
      <c r="R209" s="67"/>
      <c r="S209" s="68">
        <v>46239.0</v>
      </c>
      <c r="T209" s="38" t="str">
        <f>IFERROR(__xludf.DUMMYFUNCTION("""COMPUTED_VALUE"""),"General - Visual Arts Society")</f>
        <v>General - Visual Arts Society</v>
      </c>
      <c r="U209" s="38" t="s">
        <v>186</v>
      </c>
      <c r="V209" s="38" t="s">
        <v>53</v>
      </c>
      <c r="W209" s="38" t="str">
        <f>IFERROR(__xludf.DUMMYFUNCTION("""COMPUTED_VALUE"""),"Committee Member Hours")</f>
        <v>Committee Member Hours</v>
      </c>
      <c r="X209" s="38" t="s">
        <v>44</v>
      </c>
      <c r="Y209" s="38">
        <v>1.166667</v>
      </c>
      <c r="Z209" s="38" t="s">
        <v>187</v>
      </c>
      <c r="AA209" s="38" t="s">
        <v>152</v>
      </c>
      <c r="AB209" s="68">
        <v>46239.0</v>
      </c>
      <c r="AC209" s="38" t="s">
        <v>333</v>
      </c>
      <c r="AP209" s="73">
        <v>46239.0</v>
      </c>
      <c r="AQ209" s="38" t="s">
        <v>185</v>
      </c>
      <c r="AR209" s="38" t="s">
        <v>186</v>
      </c>
      <c r="AS209" s="38" t="s">
        <v>53</v>
      </c>
      <c r="AT209" s="38" t="s">
        <v>42</v>
      </c>
      <c r="AU209" s="38" t="s">
        <v>44</v>
      </c>
      <c r="AV209" s="74">
        <v>0.5625</v>
      </c>
      <c r="AW209" s="74">
        <v>0.6111111111111112</v>
      </c>
      <c r="AX209" s="38">
        <v>1.166667</v>
      </c>
      <c r="AY209" s="38" t="s">
        <v>179</v>
      </c>
      <c r="AZ209" s="38" t="s">
        <v>179</v>
      </c>
      <c r="BA209" s="38" t="s">
        <v>179</v>
      </c>
      <c r="BB209" s="38" t="s">
        <v>179</v>
      </c>
      <c r="BC209" s="38" t="s">
        <v>187</v>
      </c>
      <c r="BD209" s="38" t="s">
        <v>152</v>
      </c>
      <c r="BE209" s="68">
        <v>46239.0</v>
      </c>
      <c r="BF209" s="38" t="s">
        <v>333</v>
      </c>
    </row>
    <row r="210">
      <c r="A210" s="63"/>
      <c r="B210" s="63"/>
      <c r="C210" s="62" t="s">
        <v>334</v>
      </c>
      <c r="D210" s="63"/>
      <c r="E210" s="62" t="s">
        <v>186</v>
      </c>
      <c r="F210" s="75" t="s">
        <v>53</v>
      </c>
      <c r="G210" s="63"/>
      <c r="H210" s="75" t="s">
        <v>187</v>
      </c>
      <c r="I210" s="63"/>
      <c r="J210" s="64">
        <v>46293.0</v>
      </c>
      <c r="K210" s="65">
        <v>0.8319444444444445</v>
      </c>
      <c r="L210" s="64">
        <v>46293.0</v>
      </c>
      <c r="M210" s="65">
        <v>0.85625</v>
      </c>
      <c r="N210" s="72">
        <v>0.024305555555555556</v>
      </c>
      <c r="O210" s="66">
        <v>0.583333</v>
      </c>
      <c r="R210" s="67"/>
      <c r="S210" s="68">
        <v>46293.0</v>
      </c>
      <c r="T210" s="38" t="str">
        <f>IFERROR(__xludf.DUMMYFUNCTION("""COMPUTED_VALUE"""),"General - Visual Arts Society")</f>
        <v>General - Visual Arts Society</v>
      </c>
      <c r="U210" s="38" t="s">
        <v>186</v>
      </c>
      <c r="V210" s="38" t="s">
        <v>53</v>
      </c>
      <c r="W210" s="38" t="str">
        <f>IFERROR(__xludf.DUMMYFUNCTION("""COMPUTED_VALUE"""),"Committee Member Hours")</f>
        <v>Committee Member Hours</v>
      </c>
      <c r="X210" s="38" t="s">
        <v>44</v>
      </c>
      <c r="Y210" s="38">
        <v>0.583333</v>
      </c>
      <c r="Z210" s="38" t="s">
        <v>187</v>
      </c>
      <c r="AA210" s="38" t="s">
        <v>152</v>
      </c>
      <c r="AB210" s="68">
        <v>46293.0</v>
      </c>
      <c r="AC210" s="38" t="s">
        <v>334</v>
      </c>
      <c r="AP210" s="73">
        <v>46293.0</v>
      </c>
      <c r="AQ210" s="38" t="s">
        <v>185</v>
      </c>
      <c r="AR210" s="38" t="s">
        <v>186</v>
      </c>
      <c r="AS210" s="38" t="s">
        <v>53</v>
      </c>
      <c r="AT210" s="38" t="s">
        <v>42</v>
      </c>
      <c r="AU210" s="38" t="s">
        <v>44</v>
      </c>
      <c r="AV210" s="74">
        <v>0.8319444444444445</v>
      </c>
      <c r="AW210" s="74">
        <v>0.85625</v>
      </c>
      <c r="AX210" s="38">
        <v>0.583333</v>
      </c>
      <c r="AY210" s="38" t="s">
        <v>179</v>
      </c>
      <c r="AZ210" s="38" t="s">
        <v>179</v>
      </c>
      <c r="BA210" s="38" t="s">
        <v>179</v>
      </c>
      <c r="BB210" s="38" t="s">
        <v>179</v>
      </c>
      <c r="BC210" s="38" t="s">
        <v>187</v>
      </c>
      <c r="BD210" s="38" t="s">
        <v>152</v>
      </c>
      <c r="BE210" s="68">
        <v>46293.0</v>
      </c>
      <c r="BF210" s="38" t="s">
        <v>334</v>
      </c>
    </row>
    <row r="211">
      <c r="A211" s="63"/>
      <c r="B211" s="63"/>
      <c r="C211" s="62" t="s">
        <v>335</v>
      </c>
      <c r="D211" s="63"/>
      <c r="E211" s="62" t="s">
        <v>186</v>
      </c>
      <c r="F211" s="75" t="s">
        <v>53</v>
      </c>
      <c r="G211" s="63"/>
      <c r="H211" s="62" t="s">
        <v>336</v>
      </c>
      <c r="I211" s="63"/>
      <c r="J211" s="64">
        <v>46291.0</v>
      </c>
      <c r="K211" s="65">
        <v>0.5881944444444445</v>
      </c>
      <c r="L211" s="64">
        <v>46291.0</v>
      </c>
      <c r="M211" s="65">
        <v>0.6777777777777778</v>
      </c>
      <c r="N211" s="65">
        <v>0.08958333333333333</v>
      </c>
      <c r="O211" s="66">
        <v>2.15</v>
      </c>
      <c r="R211" s="67"/>
      <c r="S211" s="68">
        <v>46291.0</v>
      </c>
      <c r="T211" s="38" t="str">
        <f>IFERROR(__xludf.DUMMYFUNCTION("""COMPUTED_VALUE"""),"General - Visual Arts Society")</f>
        <v>General - Visual Arts Society</v>
      </c>
      <c r="U211" s="38" t="s">
        <v>186</v>
      </c>
      <c r="V211" s="38" t="s">
        <v>53</v>
      </c>
      <c r="W211" s="38" t="str">
        <f>IFERROR(__xludf.DUMMYFUNCTION("""COMPUTED_VALUE"""),"Participant Hours")</f>
        <v>Participant Hours</v>
      </c>
      <c r="X211" s="38" t="s">
        <v>44</v>
      </c>
      <c r="Y211" s="38">
        <v>2.15</v>
      </c>
      <c r="Z211" s="38" t="s">
        <v>336</v>
      </c>
      <c r="AA211" s="38" t="s">
        <v>152</v>
      </c>
      <c r="AB211" s="68">
        <v>46291.0</v>
      </c>
      <c r="AC211" s="38" t="s">
        <v>335</v>
      </c>
      <c r="AP211" s="73">
        <v>46291.0</v>
      </c>
      <c r="AQ211" s="38" t="s">
        <v>185</v>
      </c>
      <c r="AR211" s="38" t="s">
        <v>186</v>
      </c>
      <c r="AS211" s="38" t="s">
        <v>53</v>
      </c>
      <c r="AT211" s="38" t="s">
        <v>48</v>
      </c>
      <c r="AU211" s="38" t="s">
        <v>44</v>
      </c>
      <c r="AV211" s="74">
        <v>0.5881944444444445</v>
      </c>
      <c r="AW211" s="74">
        <v>0.6777777777777778</v>
      </c>
      <c r="AX211" s="38">
        <v>2.15</v>
      </c>
      <c r="AY211" s="38" t="s">
        <v>179</v>
      </c>
      <c r="AZ211" s="38" t="s">
        <v>179</v>
      </c>
      <c r="BA211" s="38" t="s">
        <v>179</v>
      </c>
      <c r="BB211" s="38" t="s">
        <v>179</v>
      </c>
      <c r="BC211" s="38" t="s">
        <v>336</v>
      </c>
      <c r="BD211" s="38" t="s">
        <v>152</v>
      </c>
      <c r="BE211" s="68">
        <v>46291.0</v>
      </c>
      <c r="BF211" s="38" t="s">
        <v>335</v>
      </c>
    </row>
    <row r="212">
      <c r="A212" s="63"/>
      <c r="B212" s="63"/>
      <c r="C212" s="62" t="s">
        <v>335</v>
      </c>
      <c r="D212" s="63"/>
      <c r="E212" s="62" t="s">
        <v>186</v>
      </c>
      <c r="F212" s="75" t="s">
        <v>53</v>
      </c>
      <c r="G212" s="63"/>
      <c r="H212" s="62" t="s">
        <v>336</v>
      </c>
      <c r="I212" s="63"/>
      <c r="J212" s="64">
        <v>46291.0</v>
      </c>
      <c r="K212" s="65">
        <v>0.58125</v>
      </c>
      <c r="L212" s="64">
        <v>46291.0</v>
      </c>
      <c r="M212" s="65">
        <v>0.6777777777777778</v>
      </c>
      <c r="N212" s="72">
        <v>0.09652777777777778</v>
      </c>
      <c r="O212" s="66">
        <v>2.316667</v>
      </c>
      <c r="R212" s="67"/>
      <c r="S212" s="68">
        <v>46291.0</v>
      </c>
      <c r="T212" s="38" t="str">
        <f>IFERROR(__xludf.DUMMYFUNCTION("""COMPUTED_VALUE"""),"General - Visual Arts Society")</f>
        <v>General - Visual Arts Society</v>
      </c>
      <c r="U212" s="38" t="s">
        <v>186</v>
      </c>
      <c r="V212" s="38" t="s">
        <v>53</v>
      </c>
      <c r="W212" s="38" t="str">
        <f>IFERROR(__xludf.DUMMYFUNCTION("""COMPUTED_VALUE"""),"Participant Hours")</f>
        <v>Participant Hours</v>
      </c>
      <c r="X212" s="38" t="s">
        <v>44</v>
      </c>
      <c r="Y212" s="38">
        <v>2.316667</v>
      </c>
      <c r="Z212" s="38" t="s">
        <v>336</v>
      </c>
      <c r="AA212" s="38" t="s">
        <v>152</v>
      </c>
      <c r="AB212" s="68">
        <v>46291.0</v>
      </c>
      <c r="AC212" s="38" t="s">
        <v>335</v>
      </c>
      <c r="AP212" s="73">
        <v>46291.0</v>
      </c>
      <c r="AQ212" s="38" t="s">
        <v>185</v>
      </c>
      <c r="AR212" s="38" t="s">
        <v>186</v>
      </c>
      <c r="AS212" s="38" t="s">
        <v>53</v>
      </c>
      <c r="AT212" s="38" t="s">
        <v>48</v>
      </c>
      <c r="AU212" s="38" t="s">
        <v>44</v>
      </c>
      <c r="AV212" s="74">
        <v>0.58125</v>
      </c>
      <c r="AW212" s="74">
        <v>0.6777777777777778</v>
      </c>
      <c r="AX212" s="38">
        <v>2.316667</v>
      </c>
      <c r="AY212" s="38" t="s">
        <v>179</v>
      </c>
      <c r="AZ212" s="38" t="s">
        <v>179</v>
      </c>
      <c r="BA212" s="38" t="s">
        <v>179</v>
      </c>
      <c r="BB212" s="38" t="s">
        <v>179</v>
      </c>
      <c r="BC212" s="38" t="s">
        <v>336</v>
      </c>
      <c r="BD212" s="38" t="s">
        <v>152</v>
      </c>
      <c r="BE212" s="68">
        <v>46291.0</v>
      </c>
      <c r="BF212" s="38" t="s">
        <v>335</v>
      </c>
    </row>
    <row r="213">
      <c r="A213" s="63"/>
      <c r="B213" s="63"/>
      <c r="C213" s="62" t="s">
        <v>335</v>
      </c>
      <c r="D213" s="63"/>
      <c r="E213" s="62" t="s">
        <v>186</v>
      </c>
      <c r="F213" s="75" t="s">
        <v>53</v>
      </c>
      <c r="G213" s="63"/>
      <c r="H213" s="62" t="s">
        <v>336</v>
      </c>
      <c r="I213" s="63"/>
      <c r="J213" s="64">
        <v>46291.0</v>
      </c>
      <c r="K213" s="65">
        <v>0.5798611111111112</v>
      </c>
      <c r="L213" s="64">
        <v>46291.0</v>
      </c>
      <c r="M213" s="65">
        <v>0.6777777777777778</v>
      </c>
      <c r="N213" s="72">
        <v>0.09791666666666667</v>
      </c>
      <c r="O213" s="66">
        <v>2.35</v>
      </c>
      <c r="R213" s="67"/>
      <c r="S213" s="68">
        <v>46291.0</v>
      </c>
      <c r="T213" s="38" t="str">
        <f>IFERROR(__xludf.DUMMYFUNCTION("""COMPUTED_VALUE"""),"General - Visual Arts Society")</f>
        <v>General - Visual Arts Society</v>
      </c>
      <c r="U213" s="38" t="s">
        <v>186</v>
      </c>
      <c r="V213" s="38" t="s">
        <v>53</v>
      </c>
      <c r="W213" s="38" t="str">
        <f>IFERROR(__xludf.DUMMYFUNCTION("""COMPUTED_VALUE"""),"Participant Hours")</f>
        <v>Participant Hours</v>
      </c>
      <c r="X213" s="38" t="s">
        <v>44</v>
      </c>
      <c r="Y213" s="38">
        <v>2.35</v>
      </c>
      <c r="Z213" s="38" t="s">
        <v>336</v>
      </c>
      <c r="AA213" s="38" t="s">
        <v>152</v>
      </c>
      <c r="AB213" s="68">
        <v>46291.0</v>
      </c>
      <c r="AC213" s="38" t="s">
        <v>335</v>
      </c>
      <c r="AP213" s="73">
        <v>46291.0</v>
      </c>
      <c r="AQ213" s="38" t="s">
        <v>185</v>
      </c>
      <c r="AR213" s="38" t="s">
        <v>186</v>
      </c>
      <c r="AS213" s="38" t="s">
        <v>53</v>
      </c>
      <c r="AT213" s="38" t="s">
        <v>48</v>
      </c>
      <c r="AU213" s="38" t="s">
        <v>44</v>
      </c>
      <c r="AV213" s="74">
        <v>0.5798611111111112</v>
      </c>
      <c r="AW213" s="74">
        <v>0.6777777777777778</v>
      </c>
      <c r="AX213" s="38">
        <v>2.35</v>
      </c>
      <c r="AY213" s="38" t="s">
        <v>179</v>
      </c>
      <c r="AZ213" s="38" t="s">
        <v>179</v>
      </c>
      <c r="BA213" s="38" t="s">
        <v>179</v>
      </c>
      <c r="BB213" s="38" t="s">
        <v>179</v>
      </c>
      <c r="BC213" s="38" t="s">
        <v>336</v>
      </c>
      <c r="BD213" s="38" t="s">
        <v>152</v>
      </c>
      <c r="BE213" s="68">
        <v>46291.0</v>
      </c>
      <c r="BF213" s="38" t="s">
        <v>335</v>
      </c>
    </row>
    <row r="214">
      <c r="A214" s="63"/>
      <c r="B214" s="63"/>
      <c r="C214" s="62" t="s">
        <v>335</v>
      </c>
      <c r="D214" s="63"/>
      <c r="E214" s="62" t="s">
        <v>186</v>
      </c>
      <c r="F214" s="75" t="s">
        <v>53</v>
      </c>
      <c r="G214" s="63"/>
      <c r="H214" s="62" t="s">
        <v>336</v>
      </c>
      <c r="I214" s="63"/>
      <c r="J214" s="91">
        <v>46291.0</v>
      </c>
      <c r="K214" s="65">
        <v>0.5798611111111112</v>
      </c>
      <c r="L214" s="91">
        <v>46291.0</v>
      </c>
      <c r="M214" s="65">
        <v>0.6777777777777778</v>
      </c>
      <c r="N214" s="65">
        <v>0.09791666666666667</v>
      </c>
      <c r="O214" s="92">
        <v>2.35</v>
      </c>
      <c r="R214" s="93"/>
      <c r="S214" s="68">
        <v>46291.0</v>
      </c>
      <c r="T214" s="38" t="str">
        <f>IFERROR(__xludf.DUMMYFUNCTION("""COMPUTED_VALUE"""),"General - Visual Arts Society")</f>
        <v>General - Visual Arts Society</v>
      </c>
      <c r="U214" s="38" t="s">
        <v>186</v>
      </c>
      <c r="V214" s="38" t="s">
        <v>53</v>
      </c>
      <c r="W214" s="38" t="str">
        <f>IFERROR(__xludf.DUMMYFUNCTION("""COMPUTED_VALUE"""),"Participant Hours")</f>
        <v>Participant Hours</v>
      </c>
      <c r="X214" s="38" t="s">
        <v>44</v>
      </c>
      <c r="Y214" s="38">
        <v>2.35</v>
      </c>
      <c r="Z214" s="38" t="s">
        <v>336</v>
      </c>
      <c r="AA214" s="38" t="s">
        <v>152</v>
      </c>
      <c r="AB214" s="68">
        <v>46291.0</v>
      </c>
      <c r="AC214" s="38" t="s">
        <v>335</v>
      </c>
      <c r="AP214" s="73">
        <v>46291.0</v>
      </c>
      <c r="AQ214" s="38" t="s">
        <v>185</v>
      </c>
      <c r="AR214" s="38" t="s">
        <v>186</v>
      </c>
      <c r="AS214" s="38" t="s">
        <v>53</v>
      </c>
      <c r="AT214" s="38" t="s">
        <v>48</v>
      </c>
      <c r="AU214" s="38" t="s">
        <v>44</v>
      </c>
      <c r="AV214" s="74">
        <v>0.5798611111111112</v>
      </c>
      <c r="AW214" s="74">
        <v>0.6777777777777778</v>
      </c>
      <c r="AX214" s="38">
        <v>2.35</v>
      </c>
      <c r="AY214" s="38" t="s">
        <v>179</v>
      </c>
      <c r="AZ214" s="38" t="s">
        <v>179</v>
      </c>
      <c r="BA214" s="38" t="s">
        <v>179</v>
      </c>
      <c r="BB214" s="38" t="s">
        <v>179</v>
      </c>
      <c r="BC214" s="38" t="s">
        <v>336</v>
      </c>
      <c r="BD214" s="38" t="s">
        <v>152</v>
      </c>
      <c r="BE214" s="68">
        <v>46291.0</v>
      </c>
      <c r="BF214" s="38" t="s">
        <v>335</v>
      </c>
    </row>
    <row r="215">
      <c r="A215" s="63"/>
      <c r="B215" s="63"/>
      <c r="C215" s="62" t="s">
        <v>335</v>
      </c>
      <c r="D215" s="63"/>
      <c r="E215" s="62" t="s">
        <v>186</v>
      </c>
      <c r="F215" s="75" t="s">
        <v>53</v>
      </c>
      <c r="G215" s="63"/>
      <c r="H215" s="62" t="s">
        <v>336</v>
      </c>
      <c r="I215" s="63"/>
      <c r="J215" s="91">
        <v>46291.0</v>
      </c>
      <c r="K215" s="65">
        <v>0.5756944444444444</v>
      </c>
      <c r="L215" s="91">
        <v>46291.0</v>
      </c>
      <c r="M215" s="65">
        <v>0.6777777777777778</v>
      </c>
      <c r="N215" s="65">
        <v>0.10208333333333333</v>
      </c>
      <c r="O215" s="92">
        <v>2.45</v>
      </c>
      <c r="R215" s="93"/>
      <c r="S215" s="68">
        <v>46291.0</v>
      </c>
      <c r="T215" s="38" t="str">
        <f>IFERROR(__xludf.DUMMYFUNCTION("""COMPUTED_VALUE"""),"General - Visual Arts Society")</f>
        <v>General - Visual Arts Society</v>
      </c>
      <c r="U215" s="38" t="s">
        <v>186</v>
      </c>
      <c r="V215" s="38" t="s">
        <v>53</v>
      </c>
      <c r="W215" s="38" t="str">
        <f>IFERROR(__xludf.DUMMYFUNCTION("""COMPUTED_VALUE"""),"Participant Hours")</f>
        <v>Participant Hours</v>
      </c>
      <c r="X215" s="38" t="s">
        <v>44</v>
      </c>
      <c r="Y215" s="38">
        <v>2.45</v>
      </c>
      <c r="Z215" s="38" t="s">
        <v>336</v>
      </c>
      <c r="AA215" s="38" t="s">
        <v>152</v>
      </c>
      <c r="AB215" s="68">
        <v>46291.0</v>
      </c>
      <c r="AC215" s="38" t="s">
        <v>335</v>
      </c>
      <c r="AP215" s="73">
        <v>46291.0</v>
      </c>
      <c r="AQ215" s="38" t="s">
        <v>185</v>
      </c>
      <c r="AR215" s="38" t="s">
        <v>186</v>
      </c>
      <c r="AS215" s="38" t="s">
        <v>53</v>
      </c>
      <c r="AT215" s="38" t="s">
        <v>48</v>
      </c>
      <c r="AU215" s="38" t="s">
        <v>44</v>
      </c>
      <c r="AV215" s="74">
        <v>0.5756944444444444</v>
      </c>
      <c r="AW215" s="74">
        <v>0.6777777777777778</v>
      </c>
      <c r="AX215" s="38">
        <v>2.45</v>
      </c>
      <c r="AY215" s="38" t="s">
        <v>179</v>
      </c>
      <c r="AZ215" s="38" t="s">
        <v>179</v>
      </c>
      <c r="BA215" s="38" t="s">
        <v>179</v>
      </c>
      <c r="BB215" s="38" t="s">
        <v>179</v>
      </c>
      <c r="BC215" s="38" t="s">
        <v>336</v>
      </c>
      <c r="BD215" s="38" t="s">
        <v>152</v>
      </c>
      <c r="BE215" s="68">
        <v>46291.0</v>
      </c>
      <c r="BF215" s="38" t="s">
        <v>335</v>
      </c>
    </row>
    <row r="216">
      <c r="A216" s="63"/>
      <c r="B216" s="63"/>
      <c r="C216" s="62" t="s">
        <v>335</v>
      </c>
      <c r="D216" s="63"/>
      <c r="E216" s="62" t="s">
        <v>186</v>
      </c>
      <c r="F216" s="75" t="s">
        <v>53</v>
      </c>
      <c r="G216" s="63"/>
      <c r="H216" s="62" t="s">
        <v>336</v>
      </c>
      <c r="I216" s="63"/>
      <c r="J216" s="91">
        <v>46291.0</v>
      </c>
      <c r="K216" s="65">
        <v>0.5729166666666666</v>
      </c>
      <c r="L216" s="91">
        <v>46291.0</v>
      </c>
      <c r="M216" s="65">
        <v>0.6777777777777778</v>
      </c>
      <c r="N216" s="65">
        <v>0.10486111111111111</v>
      </c>
      <c r="O216" s="92">
        <v>2.516667</v>
      </c>
      <c r="R216" s="93"/>
      <c r="S216" s="68">
        <v>46291.0</v>
      </c>
      <c r="T216" s="38" t="str">
        <f>IFERROR(__xludf.DUMMYFUNCTION("""COMPUTED_VALUE"""),"General - Visual Arts Society")</f>
        <v>General - Visual Arts Society</v>
      </c>
      <c r="U216" s="38" t="s">
        <v>186</v>
      </c>
      <c r="V216" s="38" t="s">
        <v>53</v>
      </c>
      <c r="W216" s="38" t="str">
        <f>IFERROR(__xludf.DUMMYFUNCTION("""COMPUTED_VALUE"""),"Participant Hours")</f>
        <v>Participant Hours</v>
      </c>
      <c r="X216" s="38" t="s">
        <v>44</v>
      </c>
      <c r="Y216" s="38">
        <v>2.516667</v>
      </c>
      <c r="Z216" s="38" t="s">
        <v>336</v>
      </c>
      <c r="AA216" s="38" t="s">
        <v>152</v>
      </c>
      <c r="AB216" s="68">
        <v>46291.0</v>
      </c>
      <c r="AC216" s="38" t="s">
        <v>335</v>
      </c>
      <c r="AP216" s="73">
        <v>46291.0</v>
      </c>
      <c r="AQ216" s="38" t="s">
        <v>185</v>
      </c>
      <c r="AR216" s="38" t="s">
        <v>186</v>
      </c>
      <c r="AS216" s="38" t="s">
        <v>53</v>
      </c>
      <c r="AT216" s="38" t="s">
        <v>48</v>
      </c>
      <c r="AU216" s="38" t="s">
        <v>44</v>
      </c>
      <c r="AV216" s="74">
        <v>0.5729166666666666</v>
      </c>
      <c r="AW216" s="74">
        <v>0.6777777777777778</v>
      </c>
      <c r="AX216" s="38">
        <v>2.516667</v>
      </c>
      <c r="AY216" s="38" t="s">
        <v>179</v>
      </c>
      <c r="AZ216" s="38" t="s">
        <v>179</v>
      </c>
      <c r="BA216" s="38" t="s">
        <v>179</v>
      </c>
      <c r="BB216" s="38" t="s">
        <v>179</v>
      </c>
      <c r="BC216" s="38" t="s">
        <v>336</v>
      </c>
      <c r="BD216" s="38" t="s">
        <v>152</v>
      </c>
      <c r="BE216" s="68">
        <v>46291.0</v>
      </c>
      <c r="BF216" s="38" t="s">
        <v>335</v>
      </c>
    </row>
    <row r="217">
      <c r="A217" s="63"/>
      <c r="B217" s="63"/>
      <c r="C217" s="62" t="s">
        <v>335</v>
      </c>
      <c r="D217" s="63"/>
      <c r="E217" s="62" t="s">
        <v>186</v>
      </c>
      <c r="F217" s="75" t="s">
        <v>53</v>
      </c>
      <c r="G217" s="63"/>
      <c r="H217" s="62" t="s">
        <v>336</v>
      </c>
      <c r="I217" s="63"/>
      <c r="J217" s="91">
        <v>46291.0</v>
      </c>
      <c r="K217" s="65">
        <v>0.4638888888888889</v>
      </c>
      <c r="L217" s="91">
        <v>46291.0</v>
      </c>
      <c r="M217" s="65">
        <v>0.5923611111111111</v>
      </c>
      <c r="N217" s="65">
        <v>0.1284722222222222</v>
      </c>
      <c r="O217" s="92">
        <v>3.083333</v>
      </c>
      <c r="R217" s="93"/>
      <c r="S217" s="68">
        <v>46291.0</v>
      </c>
      <c r="T217" s="38" t="str">
        <f>IFERROR(__xludf.DUMMYFUNCTION("""COMPUTED_VALUE"""),"General - Visual Arts Society")</f>
        <v>General - Visual Arts Society</v>
      </c>
      <c r="U217" s="38" t="s">
        <v>186</v>
      </c>
      <c r="V217" s="38" t="s">
        <v>53</v>
      </c>
      <c r="W217" s="38" t="str">
        <f>IFERROR(__xludf.DUMMYFUNCTION("""COMPUTED_VALUE"""),"Participant Hours")</f>
        <v>Participant Hours</v>
      </c>
      <c r="X217" s="38" t="s">
        <v>44</v>
      </c>
      <c r="Y217" s="38">
        <v>3.083333</v>
      </c>
      <c r="Z217" s="38" t="s">
        <v>336</v>
      </c>
      <c r="AA217" s="38" t="s">
        <v>152</v>
      </c>
      <c r="AB217" s="68">
        <v>46291.0</v>
      </c>
      <c r="AC217" s="38" t="s">
        <v>335</v>
      </c>
      <c r="AP217" s="73">
        <v>46291.0</v>
      </c>
      <c r="AQ217" s="38" t="s">
        <v>185</v>
      </c>
      <c r="AR217" s="38" t="s">
        <v>186</v>
      </c>
      <c r="AS217" s="38" t="s">
        <v>53</v>
      </c>
      <c r="AT217" s="38" t="s">
        <v>48</v>
      </c>
      <c r="AU217" s="38" t="s">
        <v>44</v>
      </c>
      <c r="AV217" s="74">
        <v>0.4638888888888889</v>
      </c>
      <c r="AW217" s="74">
        <v>0.5923611111111111</v>
      </c>
      <c r="AX217" s="38">
        <v>3.083333</v>
      </c>
      <c r="AY217" s="38" t="s">
        <v>179</v>
      </c>
      <c r="AZ217" s="38" t="s">
        <v>179</v>
      </c>
      <c r="BA217" s="38" t="s">
        <v>179</v>
      </c>
      <c r="BB217" s="38" t="s">
        <v>179</v>
      </c>
      <c r="BC217" s="38" t="s">
        <v>336</v>
      </c>
      <c r="BD217" s="38" t="s">
        <v>152</v>
      </c>
      <c r="BE217" s="68">
        <v>46291.0</v>
      </c>
      <c r="BF217" s="38" t="s">
        <v>335</v>
      </c>
    </row>
    <row r="218">
      <c r="A218" s="63"/>
      <c r="B218" s="63"/>
      <c r="C218" s="62" t="s">
        <v>335</v>
      </c>
      <c r="D218" s="63"/>
      <c r="E218" s="62" t="s">
        <v>186</v>
      </c>
      <c r="F218" s="75" t="s">
        <v>53</v>
      </c>
      <c r="G218" s="63"/>
      <c r="H218" s="62" t="s">
        <v>336</v>
      </c>
      <c r="I218" s="63"/>
      <c r="J218" s="91">
        <v>46291.0</v>
      </c>
      <c r="K218" s="65">
        <v>0.46319444444444446</v>
      </c>
      <c r="L218" s="91">
        <v>46291.0</v>
      </c>
      <c r="M218" s="65">
        <v>0.6895833333333333</v>
      </c>
      <c r="N218" s="65">
        <v>0.2263888888888889</v>
      </c>
      <c r="O218" s="92">
        <v>5.433333</v>
      </c>
      <c r="R218" s="93"/>
      <c r="S218" s="68">
        <v>46291.0</v>
      </c>
      <c r="T218" s="38" t="str">
        <f>IFERROR(__xludf.DUMMYFUNCTION("""COMPUTED_VALUE"""),"General - Visual Arts Society")</f>
        <v>General - Visual Arts Society</v>
      </c>
      <c r="U218" s="38" t="s">
        <v>186</v>
      </c>
      <c r="V218" s="38" t="s">
        <v>53</v>
      </c>
      <c r="W218" s="38" t="str">
        <f>IFERROR(__xludf.DUMMYFUNCTION("""COMPUTED_VALUE"""),"Participant Hours")</f>
        <v>Participant Hours</v>
      </c>
      <c r="X218" s="38" t="s">
        <v>44</v>
      </c>
      <c r="Y218" s="38">
        <v>5.433333</v>
      </c>
      <c r="Z218" s="38" t="s">
        <v>336</v>
      </c>
      <c r="AA218" s="38" t="s">
        <v>152</v>
      </c>
      <c r="AB218" s="68">
        <v>46291.0</v>
      </c>
      <c r="AC218" s="38" t="s">
        <v>335</v>
      </c>
      <c r="AP218" s="73">
        <v>46291.0</v>
      </c>
      <c r="AQ218" s="38" t="s">
        <v>185</v>
      </c>
      <c r="AR218" s="38" t="s">
        <v>186</v>
      </c>
      <c r="AS218" s="38" t="s">
        <v>53</v>
      </c>
      <c r="AT218" s="38" t="s">
        <v>48</v>
      </c>
      <c r="AU218" s="38" t="s">
        <v>44</v>
      </c>
      <c r="AV218" s="74">
        <v>0.46319444444444446</v>
      </c>
      <c r="AW218" s="74">
        <v>0.6895833333333333</v>
      </c>
      <c r="AX218" s="38">
        <v>5.433333</v>
      </c>
      <c r="AY218" s="38" t="s">
        <v>179</v>
      </c>
      <c r="AZ218" s="38" t="s">
        <v>179</v>
      </c>
      <c r="BA218" s="38" t="s">
        <v>179</v>
      </c>
      <c r="BB218" s="38" t="s">
        <v>179</v>
      </c>
      <c r="BC218" s="38" t="s">
        <v>336</v>
      </c>
      <c r="BD218" s="38" t="s">
        <v>152</v>
      </c>
      <c r="BE218" s="68">
        <v>46291.0</v>
      </c>
      <c r="BF218" s="38" t="s">
        <v>335</v>
      </c>
    </row>
    <row r="219">
      <c r="A219" s="63"/>
      <c r="B219" s="63"/>
      <c r="C219" s="62" t="s">
        <v>335</v>
      </c>
      <c r="D219" s="63"/>
      <c r="E219" s="62" t="s">
        <v>186</v>
      </c>
      <c r="F219" s="75" t="s">
        <v>53</v>
      </c>
      <c r="G219" s="63"/>
      <c r="H219" s="62" t="s">
        <v>336</v>
      </c>
      <c r="I219" s="63"/>
      <c r="J219" s="91">
        <v>46291.0</v>
      </c>
      <c r="K219" s="65">
        <v>0.4583333333333333</v>
      </c>
      <c r="L219" s="91">
        <v>46291.0</v>
      </c>
      <c r="M219" s="65">
        <v>0.5972222222222222</v>
      </c>
      <c r="N219" s="65">
        <v>0.1388888888888889</v>
      </c>
      <c r="O219" s="92">
        <v>3.333333</v>
      </c>
      <c r="R219" s="93"/>
      <c r="S219" s="68">
        <v>46291.0</v>
      </c>
      <c r="T219" s="38" t="str">
        <f>IFERROR(__xludf.DUMMYFUNCTION("""COMPUTED_VALUE"""),"General - Visual Arts Society")</f>
        <v>General - Visual Arts Society</v>
      </c>
      <c r="U219" s="38" t="s">
        <v>186</v>
      </c>
      <c r="V219" s="38" t="s">
        <v>53</v>
      </c>
      <c r="W219" s="38" t="str">
        <f>IFERROR(__xludf.DUMMYFUNCTION("""COMPUTED_VALUE"""),"Participant Hours")</f>
        <v>Participant Hours</v>
      </c>
      <c r="X219" s="38" t="s">
        <v>44</v>
      </c>
      <c r="Y219" s="38">
        <v>3.333333</v>
      </c>
      <c r="Z219" s="38" t="s">
        <v>336</v>
      </c>
      <c r="AA219" s="38" t="s">
        <v>152</v>
      </c>
      <c r="AB219" s="68">
        <v>46291.0</v>
      </c>
      <c r="AC219" s="38" t="s">
        <v>335</v>
      </c>
      <c r="AP219" s="73">
        <v>46291.0</v>
      </c>
      <c r="AQ219" s="38" t="s">
        <v>185</v>
      </c>
      <c r="AR219" s="38" t="s">
        <v>186</v>
      </c>
      <c r="AS219" s="38" t="s">
        <v>53</v>
      </c>
      <c r="AT219" s="38" t="s">
        <v>48</v>
      </c>
      <c r="AU219" s="38" t="s">
        <v>44</v>
      </c>
      <c r="AV219" s="74">
        <v>0.4583333333333333</v>
      </c>
      <c r="AW219" s="74">
        <v>0.5972222222222222</v>
      </c>
      <c r="AX219" s="38">
        <v>3.333333</v>
      </c>
      <c r="AY219" s="38" t="s">
        <v>179</v>
      </c>
      <c r="AZ219" s="38" t="s">
        <v>179</v>
      </c>
      <c r="BA219" s="38" t="s">
        <v>179</v>
      </c>
      <c r="BB219" s="38" t="s">
        <v>179</v>
      </c>
      <c r="BC219" s="38" t="s">
        <v>336</v>
      </c>
      <c r="BD219" s="38" t="s">
        <v>152</v>
      </c>
      <c r="BE219" s="68">
        <v>46291.0</v>
      </c>
      <c r="BF219" s="38" t="s">
        <v>335</v>
      </c>
    </row>
    <row r="220">
      <c r="A220" s="63"/>
      <c r="B220" s="63"/>
      <c r="C220" s="62" t="s">
        <v>335</v>
      </c>
      <c r="D220" s="63"/>
      <c r="E220" s="62" t="s">
        <v>186</v>
      </c>
      <c r="F220" s="75" t="s">
        <v>53</v>
      </c>
      <c r="G220" s="63"/>
      <c r="H220" s="62" t="s">
        <v>336</v>
      </c>
      <c r="I220" s="63"/>
      <c r="J220" s="91">
        <v>46291.0</v>
      </c>
      <c r="K220" s="65">
        <v>0.4583333333333333</v>
      </c>
      <c r="L220" s="91">
        <v>46291.0</v>
      </c>
      <c r="M220" s="65">
        <v>0.5972222222222222</v>
      </c>
      <c r="N220" s="65">
        <v>0.1388888888888889</v>
      </c>
      <c r="O220" s="92">
        <v>3.333333</v>
      </c>
      <c r="R220" s="93"/>
      <c r="S220" s="68">
        <v>46291.0</v>
      </c>
      <c r="T220" s="38" t="str">
        <f>IFERROR(__xludf.DUMMYFUNCTION("""COMPUTED_VALUE"""),"General - Visual Arts Society")</f>
        <v>General - Visual Arts Society</v>
      </c>
      <c r="U220" s="38" t="s">
        <v>186</v>
      </c>
      <c r="V220" s="38" t="s">
        <v>53</v>
      </c>
      <c r="W220" s="38" t="str">
        <f>IFERROR(__xludf.DUMMYFUNCTION("""COMPUTED_VALUE"""),"Participant Hours")</f>
        <v>Participant Hours</v>
      </c>
      <c r="X220" s="38" t="s">
        <v>44</v>
      </c>
      <c r="Y220" s="38">
        <v>3.333333</v>
      </c>
      <c r="Z220" s="38" t="s">
        <v>336</v>
      </c>
      <c r="AA220" s="38" t="s">
        <v>152</v>
      </c>
      <c r="AB220" s="68">
        <v>46291.0</v>
      </c>
      <c r="AC220" s="38" t="s">
        <v>335</v>
      </c>
      <c r="AP220" s="73">
        <v>46291.0</v>
      </c>
      <c r="AQ220" s="38" t="s">
        <v>185</v>
      </c>
      <c r="AR220" s="38" t="s">
        <v>186</v>
      </c>
      <c r="AS220" s="38" t="s">
        <v>53</v>
      </c>
      <c r="AT220" s="38" t="s">
        <v>48</v>
      </c>
      <c r="AU220" s="38" t="s">
        <v>44</v>
      </c>
      <c r="AV220" s="74">
        <v>0.4583333333333333</v>
      </c>
      <c r="AW220" s="74">
        <v>0.5972222222222222</v>
      </c>
      <c r="AX220" s="38">
        <v>3.333333</v>
      </c>
      <c r="AY220" s="38" t="s">
        <v>179</v>
      </c>
      <c r="AZ220" s="38" t="s">
        <v>179</v>
      </c>
      <c r="BA220" s="38" t="s">
        <v>179</v>
      </c>
      <c r="BB220" s="38" t="s">
        <v>179</v>
      </c>
      <c r="BC220" s="38" t="s">
        <v>336</v>
      </c>
      <c r="BD220" s="38" t="s">
        <v>152</v>
      </c>
      <c r="BE220" s="68">
        <v>46291.0</v>
      </c>
      <c r="BF220" s="38" t="s">
        <v>335</v>
      </c>
    </row>
    <row r="221">
      <c r="A221" s="63"/>
      <c r="B221" s="63"/>
      <c r="C221" s="62" t="s">
        <v>335</v>
      </c>
      <c r="D221" s="63"/>
      <c r="E221" s="62" t="s">
        <v>186</v>
      </c>
      <c r="F221" s="75" t="s">
        <v>53</v>
      </c>
      <c r="G221" s="63"/>
      <c r="H221" s="62" t="s">
        <v>336</v>
      </c>
      <c r="I221" s="63"/>
      <c r="J221" s="91">
        <v>46291.0</v>
      </c>
      <c r="K221" s="65">
        <v>0.45555555555555555</v>
      </c>
      <c r="L221" s="91">
        <v>46291.0</v>
      </c>
      <c r="M221" s="65">
        <v>0.5888888888888889</v>
      </c>
      <c r="N221" s="65">
        <v>0.13333333333333333</v>
      </c>
      <c r="O221" s="92">
        <v>3.2</v>
      </c>
      <c r="R221" s="93"/>
      <c r="S221" s="68">
        <v>46291.0</v>
      </c>
      <c r="T221" s="38" t="str">
        <f>IFERROR(__xludf.DUMMYFUNCTION("""COMPUTED_VALUE"""),"General - Visual Arts Society")</f>
        <v>General - Visual Arts Society</v>
      </c>
      <c r="U221" s="38" t="s">
        <v>186</v>
      </c>
      <c r="V221" s="38" t="s">
        <v>53</v>
      </c>
      <c r="W221" s="38" t="str">
        <f>IFERROR(__xludf.DUMMYFUNCTION("""COMPUTED_VALUE"""),"Participant Hours")</f>
        <v>Participant Hours</v>
      </c>
      <c r="X221" s="38" t="s">
        <v>44</v>
      </c>
      <c r="Y221" s="38">
        <v>3.2</v>
      </c>
      <c r="Z221" s="38" t="s">
        <v>336</v>
      </c>
      <c r="AA221" s="38" t="s">
        <v>152</v>
      </c>
      <c r="AB221" s="68">
        <v>46291.0</v>
      </c>
      <c r="AC221" s="38" t="s">
        <v>335</v>
      </c>
      <c r="AP221" s="73">
        <v>46291.0</v>
      </c>
      <c r="AQ221" s="38" t="s">
        <v>185</v>
      </c>
      <c r="AR221" s="38" t="s">
        <v>186</v>
      </c>
      <c r="AS221" s="38" t="s">
        <v>53</v>
      </c>
      <c r="AT221" s="38" t="s">
        <v>48</v>
      </c>
      <c r="AU221" s="38" t="s">
        <v>44</v>
      </c>
      <c r="AV221" s="74">
        <v>0.45555555555555555</v>
      </c>
      <c r="AW221" s="74">
        <v>0.5888888888888889</v>
      </c>
      <c r="AX221" s="38">
        <v>3.2</v>
      </c>
      <c r="AY221" s="38" t="s">
        <v>179</v>
      </c>
      <c r="AZ221" s="38" t="s">
        <v>179</v>
      </c>
      <c r="BA221" s="38" t="s">
        <v>179</v>
      </c>
      <c r="BB221" s="38" t="s">
        <v>179</v>
      </c>
      <c r="BC221" s="38" t="s">
        <v>336</v>
      </c>
      <c r="BD221" s="38" t="s">
        <v>152</v>
      </c>
      <c r="BE221" s="68">
        <v>46291.0</v>
      </c>
      <c r="BF221" s="38" t="s">
        <v>335</v>
      </c>
    </row>
    <row r="222">
      <c r="A222" s="63"/>
      <c r="B222" s="63"/>
      <c r="C222" s="62" t="s">
        <v>335</v>
      </c>
      <c r="D222" s="63"/>
      <c r="E222" s="62" t="s">
        <v>186</v>
      </c>
      <c r="F222" s="75" t="s">
        <v>53</v>
      </c>
      <c r="G222" s="63"/>
      <c r="H222" s="62" t="s">
        <v>336</v>
      </c>
      <c r="I222" s="63"/>
      <c r="J222" s="91">
        <v>46291.0</v>
      </c>
      <c r="K222" s="65">
        <v>0.4548611111111111</v>
      </c>
      <c r="L222" s="91">
        <v>46291.0</v>
      </c>
      <c r="M222" s="65">
        <v>0.5888888888888889</v>
      </c>
      <c r="N222" s="65">
        <v>0.13402777777777777</v>
      </c>
      <c r="O222" s="92">
        <v>3.216667</v>
      </c>
      <c r="R222" s="93"/>
      <c r="S222" s="68">
        <v>46291.0</v>
      </c>
      <c r="T222" s="38" t="str">
        <f>IFERROR(__xludf.DUMMYFUNCTION("""COMPUTED_VALUE"""),"General - Visual Arts Society")</f>
        <v>General - Visual Arts Society</v>
      </c>
      <c r="U222" s="38" t="s">
        <v>186</v>
      </c>
      <c r="V222" s="38" t="s">
        <v>53</v>
      </c>
      <c r="W222" s="38" t="str">
        <f>IFERROR(__xludf.DUMMYFUNCTION("""COMPUTED_VALUE"""),"Participant Hours")</f>
        <v>Participant Hours</v>
      </c>
      <c r="X222" s="38" t="s">
        <v>44</v>
      </c>
      <c r="Y222" s="38">
        <v>3.216667</v>
      </c>
      <c r="Z222" s="38" t="s">
        <v>336</v>
      </c>
      <c r="AA222" s="38" t="s">
        <v>152</v>
      </c>
      <c r="AB222" s="68">
        <v>46291.0</v>
      </c>
      <c r="AC222" s="38" t="s">
        <v>335</v>
      </c>
      <c r="AP222" s="73">
        <v>46291.0</v>
      </c>
      <c r="AQ222" s="38" t="s">
        <v>185</v>
      </c>
      <c r="AR222" s="38" t="s">
        <v>186</v>
      </c>
      <c r="AS222" s="38" t="s">
        <v>53</v>
      </c>
      <c r="AT222" s="38" t="s">
        <v>48</v>
      </c>
      <c r="AU222" s="38" t="s">
        <v>44</v>
      </c>
      <c r="AV222" s="74">
        <v>0.4548611111111111</v>
      </c>
      <c r="AW222" s="74">
        <v>0.5888888888888889</v>
      </c>
      <c r="AX222" s="38">
        <v>3.216667</v>
      </c>
      <c r="AY222" s="38" t="s">
        <v>179</v>
      </c>
      <c r="AZ222" s="38" t="s">
        <v>179</v>
      </c>
      <c r="BA222" s="38" t="s">
        <v>179</v>
      </c>
      <c r="BB222" s="38" t="s">
        <v>179</v>
      </c>
      <c r="BC222" s="38" t="s">
        <v>336</v>
      </c>
      <c r="BD222" s="38" t="s">
        <v>152</v>
      </c>
      <c r="BE222" s="68">
        <v>46291.0</v>
      </c>
      <c r="BF222" s="38" t="s">
        <v>335</v>
      </c>
    </row>
    <row r="223">
      <c r="A223" s="63"/>
      <c r="B223" s="63"/>
      <c r="C223" s="62" t="s">
        <v>335</v>
      </c>
      <c r="D223" s="63"/>
      <c r="E223" s="62" t="s">
        <v>186</v>
      </c>
      <c r="F223" s="75" t="s">
        <v>53</v>
      </c>
      <c r="G223" s="63"/>
      <c r="H223" s="62" t="s">
        <v>336</v>
      </c>
      <c r="I223" s="63"/>
      <c r="J223" s="91">
        <v>46291.0</v>
      </c>
      <c r="K223" s="65">
        <v>0.4131944444444444</v>
      </c>
      <c r="L223" s="91">
        <v>46291.0</v>
      </c>
      <c r="M223" s="65">
        <v>0.6041666666666666</v>
      </c>
      <c r="N223" s="65">
        <v>0.1909722222222222</v>
      </c>
      <c r="O223" s="92">
        <v>4.583333</v>
      </c>
      <c r="R223" s="93"/>
      <c r="S223" s="68">
        <v>46291.0</v>
      </c>
      <c r="T223" s="38" t="str">
        <f>IFERROR(__xludf.DUMMYFUNCTION("""COMPUTED_VALUE"""),"General - Visual Arts Society")</f>
        <v>General - Visual Arts Society</v>
      </c>
      <c r="U223" s="38" t="s">
        <v>186</v>
      </c>
      <c r="V223" s="38" t="s">
        <v>53</v>
      </c>
      <c r="W223" s="38" t="str">
        <f>IFERROR(__xludf.DUMMYFUNCTION("""COMPUTED_VALUE"""),"Participant Hours")</f>
        <v>Participant Hours</v>
      </c>
      <c r="X223" s="38" t="s">
        <v>44</v>
      </c>
      <c r="Y223" s="38">
        <v>4.583333</v>
      </c>
      <c r="Z223" s="38" t="s">
        <v>336</v>
      </c>
      <c r="AA223" s="38" t="s">
        <v>152</v>
      </c>
      <c r="AB223" s="68">
        <v>46291.0</v>
      </c>
      <c r="AC223" s="38" t="s">
        <v>335</v>
      </c>
      <c r="AP223" s="73">
        <v>46291.0</v>
      </c>
      <c r="AQ223" s="38" t="s">
        <v>185</v>
      </c>
      <c r="AR223" s="38" t="s">
        <v>186</v>
      </c>
      <c r="AS223" s="38" t="s">
        <v>53</v>
      </c>
      <c r="AT223" s="38" t="s">
        <v>48</v>
      </c>
      <c r="AU223" s="38" t="s">
        <v>44</v>
      </c>
      <c r="AV223" s="74">
        <v>0.4131944444444444</v>
      </c>
      <c r="AW223" s="74">
        <v>0.6041666666666666</v>
      </c>
      <c r="AX223" s="38">
        <v>4.583333</v>
      </c>
      <c r="AY223" s="38" t="s">
        <v>179</v>
      </c>
      <c r="AZ223" s="38" t="s">
        <v>179</v>
      </c>
      <c r="BA223" s="38" t="s">
        <v>179</v>
      </c>
      <c r="BB223" s="38" t="s">
        <v>179</v>
      </c>
      <c r="BC223" s="38" t="s">
        <v>336</v>
      </c>
      <c r="BD223" s="38" t="s">
        <v>152</v>
      </c>
      <c r="BE223" s="68">
        <v>46291.0</v>
      </c>
      <c r="BF223" s="38" t="s">
        <v>335</v>
      </c>
    </row>
    <row r="224">
      <c r="A224" s="63"/>
      <c r="B224" s="63"/>
      <c r="C224" s="62" t="s">
        <v>335</v>
      </c>
      <c r="D224" s="63"/>
      <c r="E224" s="62" t="s">
        <v>186</v>
      </c>
      <c r="F224" s="75" t="s">
        <v>53</v>
      </c>
      <c r="G224" s="63"/>
      <c r="H224" s="62" t="s">
        <v>336</v>
      </c>
      <c r="I224" s="63"/>
      <c r="J224" s="91">
        <v>46291.0</v>
      </c>
      <c r="K224" s="65">
        <v>0.3541666666666667</v>
      </c>
      <c r="L224" s="91">
        <v>46291.0</v>
      </c>
      <c r="M224" s="65">
        <v>0.4625</v>
      </c>
      <c r="N224" s="65">
        <v>0.10833333333333334</v>
      </c>
      <c r="O224" s="92">
        <v>2.6</v>
      </c>
      <c r="R224" s="93"/>
      <c r="S224" s="68">
        <v>46291.0</v>
      </c>
      <c r="T224" s="38" t="str">
        <f>IFERROR(__xludf.DUMMYFUNCTION("""COMPUTED_VALUE"""),"General - Visual Arts Society")</f>
        <v>General - Visual Arts Society</v>
      </c>
      <c r="U224" s="38" t="s">
        <v>186</v>
      </c>
      <c r="V224" s="38" t="s">
        <v>53</v>
      </c>
      <c r="W224" s="38" t="str">
        <f>IFERROR(__xludf.DUMMYFUNCTION("""COMPUTED_VALUE"""),"Participant Hours")</f>
        <v>Participant Hours</v>
      </c>
      <c r="X224" s="38" t="s">
        <v>44</v>
      </c>
      <c r="Y224" s="38">
        <v>2.6</v>
      </c>
      <c r="Z224" s="38" t="s">
        <v>336</v>
      </c>
      <c r="AA224" s="38" t="s">
        <v>152</v>
      </c>
      <c r="AB224" s="68">
        <v>46291.0</v>
      </c>
      <c r="AC224" s="38" t="s">
        <v>335</v>
      </c>
      <c r="AP224" s="73">
        <v>46291.0</v>
      </c>
      <c r="AQ224" s="38" t="s">
        <v>185</v>
      </c>
      <c r="AR224" s="38" t="s">
        <v>186</v>
      </c>
      <c r="AS224" s="38" t="s">
        <v>53</v>
      </c>
      <c r="AT224" s="38" t="s">
        <v>48</v>
      </c>
      <c r="AU224" s="38" t="s">
        <v>44</v>
      </c>
      <c r="AV224" s="74">
        <v>0.3541666666666667</v>
      </c>
      <c r="AW224" s="74">
        <v>0.4625</v>
      </c>
      <c r="AX224" s="38">
        <v>2.6</v>
      </c>
      <c r="AY224" s="38" t="s">
        <v>179</v>
      </c>
      <c r="AZ224" s="38" t="s">
        <v>179</v>
      </c>
      <c r="BA224" s="38" t="s">
        <v>179</v>
      </c>
      <c r="BB224" s="38" t="s">
        <v>179</v>
      </c>
      <c r="BC224" s="38" t="s">
        <v>336</v>
      </c>
      <c r="BD224" s="38" t="s">
        <v>152</v>
      </c>
      <c r="BE224" s="68">
        <v>46291.0</v>
      </c>
      <c r="BF224" s="38" t="s">
        <v>335</v>
      </c>
    </row>
    <row r="225">
      <c r="A225" s="63"/>
      <c r="B225" s="63"/>
      <c r="C225" s="62" t="s">
        <v>335</v>
      </c>
      <c r="D225" s="63"/>
      <c r="E225" s="62" t="s">
        <v>186</v>
      </c>
      <c r="F225" s="75" t="s">
        <v>53</v>
      </c>
      <c r="G225" s="63"/>
      <c r="H225" s="62" t="s">
        <v>336</v>
      </c>
      <c r="I225" s="63"/>
      <c r="J225" s="91">
        <v>46291.0</v>
      </c>
      <c r="K225" s="65">
        <v>0.3506944444444444</v>
      </c>
      <c r="L225" s="91">
        <v>46291.0</v>
      </c>
      <c r="M225" s="65">
        <v>0.46875</v>
      </c>
      <c r="N225" s="65">
        <v>0.11805555555555555</v>
      </c>
      <c r="O225" s="92">
        <v>2.833333</v>
      </c>
      <c r="R225" s="93"/>
      <c r="S225" s="68">
        <v>46291.0</v>
      </c>
      <c r="T225" s="38" t="str">
        <f>IFERROR(__xludf.DUMMYFUNCTION("""COMPUTED_VALUE"""),"General - Visual Arts Society")</f>
        <v>General - Visual Arts Society</v>
      </c>
      <c r="U225" s="38" t="s">
        <v>186</v>
      </c>
      <c r="V225" s="38" t="s">
        <v>53</v>
      </c>
      <c r="W225" s="38" t="str">
        <f>IFERROR(__xludf.DUMMYFUNCTION("""COMPUTED_VALUE"""),"Participant Hours")</f>
        <v>Participant Hours</v>
      </c>
      <c r="X225" s="38" t="s">
        <v>44</v>
      </c>
      <c r="Y225" s="38">
        <v>2.833333</v>
      </c>
      <c r="Z225" s="38" t="s">
        <v>336</v>
      </c>
      <c r="AA225" s="38" t="s">
        <v>152</v>
      </c>
      <c r="AB225" s="68">
        <v>46291.0</v>
      </c>
      <c r="AC225" s="38" t="s">
        <v>335</v>
      </c>
      <c r="AP225" s="73">
        <v>46291.0</v>
      </c>
      <c r="AQ225" s="38" t="s">
        <v>185</v>
      </c>
      <c r="AR225" s="38" t="s">
        <v>186</v>
      </c>
      <c r="AS225" s="38" t="s">
        <v>53</v>
      </c>
      <c r="AT225" s="38" t="s">
        <v>48</v>
      </c>
      <c r="AU225" s="38" t="s">
        <v>44</v>
      </c>
      <c r="AV225" s="74">
        <v>0.3506944444444444</v>
      </c>
      <c r="AW225" s="74">
        <v>0.46875</v>
      </c>
      <c r="AX225" s="38">
        <v>2.833333</v>
      </c>
      <c r="AY225" s="38" t="s">
        <v>179</v>
      </c>
      <c r="AZ225" s="38" t="s">
        <v>179</v>
      </c>
      <c r="BA225" s="38" t="s">
        <v>179</v>
      </c>
      <c r="BB225" s="38" t="s">
        <v>179</v>
      </c>
      <c r="BC225" s="38" t="s">
        <v>336</v>
      </c>
      <c r="BD225" s="38" t="s">
        <v>152</v>
      </c>
      <c r="BE225" s="68">
        <v>46291.0</v>
      </c>
      <c r="BF225" s="38" t="s">
        <v>335</v>
      </c>
    </row>
    <row r="226">
      <c r="A226" s="63"/>
      <c r="B226" s="63"/>
      <c r="C226" s="62" t="s">
        <v>335</v>
      </c>
      <c r="D226" s="63"/>
      <c r="E226" s="62" t="s">
        <v>186</v>
      </c>
      <c r="F226" s="75" t="s">
        <v>53</v>
      </c>
      <c r="G226" s="63"/>
      <c r="H226" s="62" t="s">
        <v>336</v>
      </c>
      <c r="I226" s="63"/>
      <c r="J226" s="91">
        <v>46291.0</v>
      </c>
      <c r="K226" s="65">
        <v>0.34375</v>
      </c>
      <c r="L226" s="91">
        <v>46291.0</v>
      </c>
      <c r="M226" s="65">
        <v>0.7055555555555556</v>
      </c>
      <c r="N226" s="65">
        <v>0.36180555555555555</v>
      </c>
      <c r="O226" s="92">
        <v>8.683333</v>
      </c>
      <c r="R226" s="93"/>
      <c r="S226" s="68">
        <v>46291.0</v>
      </c>
      <c r="T226" s="38" t="str">
        <f>IFERROR(__xludf.DUMMYFUNCTION("""COMPUTED_VALUE"""),"General - Visual Arts Society")</f>
        <v>General - Visual Arts Society</v>
      </c>
      <c r="U226" s="38" t="s">
        <v>186</v>
      </c>
      <c r="V226" s="38" t="s">
        <v>53</v>
      </c>
      <c r="W226" s="38" t="str">
        <f>IFERROR(__xludf.DUMMYFUNCTION("""COMPUTED_VALUE"""),"Participant Hours")</f>
        <v>Participant Hours</v>
      </c>
      <c r="X226" s="38" t="s">
        <v>44</v>
      </c>
      <c r="Y226" s="38">
        <v>8.683333</v>
      </c>
      <c r="Z226" s="38" t="s">
        <v>336</v>
      </c>
      <c r="AA226" s="38" t="s">
        <v>152</v>
      </c>
      <c r="AB226" s="68">
        <v>46291.0</v>
      </c>
      <c r="AC226" s="38" t="s">
        <v>335</v>
      </c>
      <c r="AP226" s="73">
        <v>46291.0</v>
      </c>
      <c r="AQ226" s="38" t="s">
        <v>185</v>
      </c>
      <c r="AR226" s="38" t="s">
        <v>186</v>
      </c>
      <c r="AS226" s="38" t="s">
        <v>53</v>
      </c>
      <c r="AT226" s="38" t="s">
        <v>48</v>
      </c>
      <c r="AU226" s="38" t="s">
        <v>44</v>
      </c>
      <c r="AV226" s="74">
        <v>0.34375</v>
      </c>
      <c r="AW226" s="74">
        <v>0.7055555555555556</v>
      </c>
      <c r="AX226" s="38">
        <v>8.683333</v>
      </c>
      <c r="AY226" s="38" t="s">
        <v>179</v>
      </c>
      <c r="AZ226" s="38" t="s">
        <v>179</v>
      </c>
      <c r="BA226" s="38" t="s">
        <v>179</v>
      </c>
      <c r="BB226" s="38" t="s">
        <v>179</v>
      </c>
      <c r="BC226" s="38" t="s">
        <v>336</v>
      </c>
      <c r="BD226" s="38" t="s">
        <v>152</v>
      </c>
      <c r="BE226" s="68">
        <v>46291.0</v>
      </c>
      <c r="BF226" s="38" t="s">
        <v>335</v>
      </c>
    </row>
    <row r="227">
      <c r="A227" s="63"/>
      <c r="B227" s="63"/>
      <c r="C227" s="62" t="s">
        <v>337</v>
      </c>
      <c r="D227" s="63"/>
      <c r="E227" s="62" t="s">
        <v>186</v>
      </c>
      <c r="F227" s="75" t="s">
        <v>53</v>
      </c>
      <c r="G227" s="63"/>
      <c r="H227" s="75" t="s">
        <v>187</v>
      </c>
      <c r="I227" s="63"/>
      <c r="J227" s="91">
        <v>46290.0</v>
      </c>
      <c r="K227" s="65">
        <v>0.4236111111111111</v>
      </c>
      <c r="L227" s="91">
        <v>46290.0</v>
      </c>
      <c r="M227" s="65">
        <v>0.42777777777777776</v>
      </c>
      <c r="N227" s="65">
        <v>0.004166666666666667</v>
      </c>
      <c r="O227" s="92">
        <v>0.1</v>
      </c>
      <c r="R227" s="93"/>
      <c r="S227" s="68">
        <v>46290.0</v>
      </c>
      <c r="T227" s="38" t="str">
        <f>IFERROR(__xludf.DUMMYFUNCTION("""COMPUTED_VALUE"""),"General - Visual Arts Society")</f>
        <v>General - Visual Arts Society</v>
      </c>
      <c r="U227" s="38" t="s">
        <v>186</v>
      </c>
      <c r="V227" s="38" t="s">
        <v>53</v>
      </c>
      <c r="W227" s="38" t="str">
        <f>IFERROR(__xludf.DUMMYFUNCTION("""COMPUTED_VALUE"""),"Committee Member Hours")</f>
        <v>Committee Member Hours</v>
      </c>
      <c r="X227" s="38" t="s">
        <v>44</v>
      </c>
      <c r="Y227" s="38">
        <v>0.1</v>
      </c>
      <c r="Z227" s="38" t="s">
        <v>187</v>
      </c>
      <c r="AA227" s="38" t="s">
        <v>152</v>
      </c>
      <c r="AB227" s="68">
        <v>46290.0</v>
      </c>
      <c r="AC227" s="38" t="s">
        <v>337</v>
      </c>
      <c r="AP227" s="73">
        <v>46290.0</v>
      </c>
      <c r="AQ227" s="38" t="s">
        <v>185</v>
      </c>
      <c r="AR227" s="38" t="s">
        <v>186</v>
      </c>
      <c r="AS227" s="38" t="s">
        <v>53</v>
      </c>
      <c r="AT227" s="38" t="s">
        <v>42</v>
      </c>
      <c r="AU227" s="38" t="s">
        <v>44</v>
      </c>
      <c r="AV227" s="74">
        <v>0.4236111111111111</v>
      </c>
      <c r="AW227" s="74">
        <v>0.42777777777777776</v>
      </c>
      <c r="AX227" s="38">
        <v>0.1</v>
      </c>
      <c r="AY227" s="38" t="s">
        <v>179</v>
      </c>
      <c r="AZ227" s="38" t="s">
        <v>179</v>
      </c>
      <c r="BA227" s="38" t="s">
        <v>179</v>
      </c>
      <c r="BB227" s="38" t="s">
        <v>179</v>
      </c>
      <c r="BC227" s="38" t="s">
        <v>187</v>
      </c>
      <c r="BD227" s="38" t="s">
        <v>152</v>
      </c>
      <c r="BE227" s="68">
        <v>46290.0</v>
      </c>
      <c r="BF227" s="38" t="s">
        <v>337</v>
      </c>
    </row>
    <row r="228">
      <c r="A228" s="63"/>
      <c r="B228" s="63"/>
      <c r="C228" s="62" t="s">
        <v>338</v>
      </c>
      <c r="D228" s="63"/>
      <c r="E228" s="62" t="s">
        <v>186</v>
      </c>
      <c r="F228" s="75" t="s">
        <v>53</v>
      </c>
      <c r="G228" s="63"/>
      <c r="H228" s="75" t="s">
        <v>187</v>
      </c>
      <c r="I228" s="63"/>
      <c r="J228" s="91">
        <v>46289.0</v>
      </c>
      <c r="K228" s="65">
        <v>0.9166666666666666</v>
      </c>
      <c r="L228" s="91">
        <v>46289.0</v>
      </c>
      <c r="M228" s="65">
        <v>0.9402777777777778</v>
      </c>
      <c r="N228" s="65">
        <v>0.02361111111111111</v>
      </c>
      <c r="O228" s="92">
        <v>0.566667</v>
      </c>
      <c r="R228" s="93"/>
      <c r="S228" s="68">
        <v>46289.0</v>
      </c>
      <c r="T228" s="38" t="str">
        <f>IFERROR(__xludf.DUMMYFUNCTION("""COMPUTED_VALUE"""),"General - Visual Arts Society")</f>
        <v>General - Visual Arts Society</v>
      </c>
      <c r="U228" s="38" t="s">
        <v>186</v>
      </c>
      <c r="V228" s="38" t="s">
        <v>53</v>
      </c>
      <c r="W228" s="38" t="str">
        <f>IFERROR(__xludf.DUMMYFUNCTION("""COMPUTED_VALUE"""),"Committee Member Hours")</f>
        <v>Committee Member Hours</v>
      </c>
      <c r="X228" s="38" t="s">
        <v>44</v>
      </c>
      <c r="Y228" s="38">
        <v>0.566667</v>
      </c>
      <c r="Z228" s="38" t="s">
        <v>187</v>
      </c>
      <c r="AA228" s="38" t="s">
        <v>152</v>
      </c>
      <c r="AB228" s="68">
        <v>46289.0</v>
      </c>
      <c r="AC228" s="38" t="s">
        <v>338</v>
      </c>
      <c r="AP228" s="73">
        <v>46289.0</v>
      </c>
      <c r="AQ228" s="38" t="s">
        <v>185</v>
      </c>
      <c r="AR228" s="38" t="s">
        <v>186</v>
      </c>
      <c r="AS228" s="38" t="s">
        <v>53</v>
      </c>
      <c r="AT228" s="38" t="s">
        <v>42</v>
      </c>
      <c r="AU228" s="38" t="s">
        <v>44</v>
      </c>
      <c r="AV228" s="74">
        <v>0.9166666666666666</v>
      </c>
      <c r="AW228" s="74">
        <v>0.9402777777777778</v>
      </c>
      <c r="AX228" s="38">
        <v>0.566667</v>
      </c>
      <c r="AY228" s="38" t="s">
        <v>179</v>
      </c>
      <c r="AZ228" s="38" t="s">
        <v>179</v>
      </c>
      <c r="BA228" s="38" t="s">
        <v>179</v>
      </c>
      <c r="BB228" s="38" t="s">
        <v>179</v>
      </c>
      <c r="BC228" s="38" t="s">
        <v>187</v>
      </c>
      <c r="BD228" s="38" t="s">
        <v>152</v>
      </c>
      <c r="BE228" s="68">
        <v>46289.0</v>
      </c>
      <c r="BF228" s="38" t="s">
        <v>338</v>
      </c>
    </row>
    <row r="229">
      <c r="A229" s="63"/>
      <c r="B229" s="63"/>
      <c r="C229" s="62" t="s">
        <v>339</v>
      </c>
      <c r="D229" s="63"/>
      <c r="E229" s="62" t="s">
        <v>186</v>
      </c>
      <c r="F229" s="75" t="s">
        <v>53</v>
      </c>
      <c r="G229" s="63"/>
      <c r="H229" s="75" t="s">
        <v>187</v>
      </c>
      <c r="I229" s="63"/>
      <c r="J229" s="91">
        <v>46289.0</v>
      </c>
      <c r="K229" s="65">
        <v>0.8263888888888888</v>
      </c>
      <c r="L229" s="91">
        <v>46289.0</v>
      </c>
      <c r="M229" s="65">
        <v>0.8958333333333334</v>
      </c>
      <c r="N229" s="65">
        <v>0.06944444444444445</v>
      </c>
      <c r="O229" s="92">
        <v>1.666667</v>
      </c>
      <c r="R229" s="93"/>
      <c r="S229" s="68">
        <v>46289.0</v>
      </c>
      <c r="T229" s="38" t="str">
        <f>IFERROR(__xludf.DUMMYFUNCTION("""COMPUTED_VALUE"""),"General - Visual Arts Society")</f>
        <v>General - Visual Arts Society</v>
      </c>
      <c r="U229" s="38" t="s">
        <v>186</v>
      </c>
      <c r="V229" s="38" t="s">
        <v>53</v>
      </c>
      <c r="W229" s="38" t="str">
        <f>IFERROR(__xludf.DUMMYFUNCTION("""COMPUTED_VALUE"""),"Committee Member Hours")</f>
        <v>Committee Member Hours</v>
      </c>
      <c r="X229" s="38" t="s">
        <v>44</v>
      </c>
      <c r="Y229" s="38">
        <v>1.666667</v>
      </c>
      <c r="Z229" s="38" t="s">
        <v>187</v>
      </c>
      <c r="AA229" s="38" t="s">
        <v>152</v>
      </c>
      <c r="AB229" s="68">
        <v>46289.0</v>
      </c>
      <c r="AC229" s="38" t="s">
        <v>339</v>
      </c>
      <c r="AP229" s="73">
        <v>46289.0</v>
      </c>
      <c r="AQ229" s="38" t="s">
        <v>185</v>
      </c>
      <c r="AR229" s="38" t="s">
        <v>186</v>
      </c>
      <c r="AS229" s="38" t="s">
        <v>53</v>
      </c>
      <c r="AT229" s="38" t="s">
        <v>42</v>
      </c>
      <c r="AU229" s="38" t="s">
        <v>44</v>
      </c>
      <c r="AV229" s="74">
        <v>0.8263888888888888</v>
      </c>
      <c r="AW229" s="74">
        <v>0.8958333333333334</v>
      </c>
      <c r="AX229" s="38">
        <v>1.666667</v>
      </c>
      <c r="AY229" s="38" t="s">
        <v>179</v>
      </c>
      <c r="AZ229" s="38" t="s">
        <v>179</v>
      </c>
      <c r="BA229" s="38" t="s">
        <v>179</v>
      </c>
      <c r="BB229" s="38" t="s">
        <v>179</v>
      </c>
      <c r="BC229" s="38" t="s">
        <v>187</v>
      </c>
      <c r="BD229" s="38" t="s">
        <v>152</v>
      </c>
      <c r="BE229" s="68">
        <v>46289.0</v>
      </c>
      <c r="BF229" s="38" t="s">
        <v>339</v>
      </c>
    </row>
    <row r="230">
      <c r="A230" s="63"/>
      <c r="B230" s="63"/>
      <c r="C230" s="62" t="s">
        <v>340</v>
      </c>
      <c r="D230" s="63"/>
      <c r="E230" s="62" t="s">
        <v>186</v>
      </c>
      <c r="F230" s="75" t="s">
        <v>53</v>
      </c>
      <c r="G230" s="63"/>
      <c r="H230" s="75" t="s">
        <v>187</v>
      </c>
      <c r="I230" s="63"/>
      <c r="J230" s="91">
        <v>46288.0</v>
      </c>
      <c r="K230" s="65">
        <v>0.8333333333333334</v>
      </c>
      <c r="L230" s="91">
        <v>46288.0</v>
      </c>
      <c r="M230" s="65">
        <v>0.9430555555555555</v>
      </c>
      <c r="N230" s="65">
        <v>0.10972222222222222</v>
      </c>
      <c r="O230" s="92">
        <v>2.633333</v>
      </c>
      <c r="R230" s="93"/>
      <c r="S230" s="68">
        <v>46288.0</v>
      </c>
      <c r="T230" s="38" t="str">
        <f>IFERROR(__xludf.DUMMYFUNCTION("""COMPUTED_VALUE"""),"General - Visual Arts Society")</f>
        <v>General - Visual Arts Society</v>
      </c>
      <c r="U230" s="38" t="s">
        <v>186</v>
      </c>
      <c r="V230" s="38" t="s">
        <v>53</v>
      </c>
      <c r="W230" s="38" t="str">
        <f>IFERROR(__xludf.DUMMYFUNCTION("""COMPUTED_VALUE"""),"Committee Member Hours")</f>
        <v>Committee Member Hours</v>
      </c>
      <c r="X230" s="38" t="s">
        <v>44</v>
      </c>
      <c r="Y230" s="38">
        <v>2.633333</v>
      </c>
      <c r="Z230" s="38" t="s">
        <v>187</v>
      </c>
      <c r="AA230" s="38" t="s">
        <v>152</v>
      </c>
      <c r="AB230" s="68">
        <v>46288.0</v>
      </c>
      <c r="AC230" s="38" t="s">
        <v>340</v>
      </c>
      <c r="AP230" s="73">
        <v>46288.0</v>
      </c>
      <c r="AQ230" s="38" t="s">
        <v>185</v>
      </c>
      <c r="AR230" s="38" t="s">
        <v>186</v>
      </c>
      <c r="AS230" s="38" t="s">
        <v>53</v>
      </c>
      <c r="AT230" s="38" t="s">
        <v>42</v>
      </c>
      <c r="AU230" s="38" t="s">
        <v>44</v>
      </c>
      <c r="AV230" s="74">
        <v>0.8333333333333334</v>
      </c>
      <c r="AW230" s="74">
        <v>0.9430555555555555</v>
      </c>
      <c r="AX230" s="38">
        <v>2.633333</v>
      </c>
      <c r="AY230" s="38" t="s">
        <v>179</v>
      </c>
      <c r="AZ230" s="38" t="s">
        <v>179</v>
      </c>
      <c r="BA230" s="38" t="s">
        <v>179</v>
      </c>
      <c r="BB230" s="38" t="s">
        <v>179</v>
      </c>
      <c r="BC230" s="38" t="s">
        <v>187</v>
      </c>
      <c r="BD230" s="38" t="s">
        <v>152</v>
      </c>
      <c r="BE230" s="68">
        <v>46288.0</v>
      </c>
      <c r="BF230" s="38" t="s">
        <v>340</v>
      </c>
    </row>
    <row r="231">
      <c r="A231" s="63"/>
      <c r="B231" s="63"/>
      <c r="C231" s="62" t="s">
        <v>341</v>
      </c>
      <c r="D231" s="63"/>
      <c r="E231" s="62" t="s">
        <v>186</v>
      </c>
      <c r="F231" s="75" t="s">
        <v>53</v>
      </c>
      <c r="G231" s="63"/>
      <c r="H231" s="75" t="s">
        <v>187</v>
      </c>
      <c r="I231" s="63"/>
      <c r="J231" s="91">
        <v>46287.0</v>
      </c>
      <c r="K231" s="65">
        <v>0.3958333333333333</v>
      </c>
      <c r="L231" s="91">
        <v>46287.0</v>
      </c>
      <c r="M231" s="65">
        <v>0.4861111111111111</v>
      </c>
      <c r="N231" s="65">
        <v>0.09027777777777778</v>
      </c>
      <c r="O231" s="92">
        <v>2.166667</v>
      </c>
      <c r="R231" s="93"/>
      <c r="S231" s="68">
        <v>46287.0</v>
      </c>
      <c r="T231" s="38" t="str">
        <f>IFERROR(__xludf.DUMMYFUNCTION("""COMPUTED_VALUE"""),"General - Visual Arts Society")</f>
        <v>General - Visual Arts Society</v>
      </c>
      <c r="U231" s="38" t="s">
        <v>186</v>
      </c>
      <c r="V231" s="38" t="s">
        <v>53</v>
      </c>
      <c r="W231" s="38" t="str">
        <f>IFERROR(__xludf.DUMMYFUNCTION("""COMPUTED_VALUE"""),"Committee Member Hours")</f>
        <v>Committee Member Hours</v>
      </c>
      <c r="X231" s="38" t="s">
        <v>44</v>
      </c>
      <c r="Y231" s="38">
        <v>2.166667</v>
      </c>
      <c r="Z231" s="38" t="s">
        <v>187</v>
      </c>
      <c r="AA231" s="38" t="s">
        <v>152</v>
      </c>
      <c r="AB231" s="68">
        <v>46287.0</v>
      </c>
      <c r="AC231" s="38" t="s">
        <v>341</v>
      </c>
      <c r="AP231" s="73">
        <v>46287.0</v>
      </c>
      <c r="AQ231" s="38" t="s">
        <v>185</v>
      </c>
      <c r="AR231" s="38" t="s">
        <v>186</v>
      </c>
      <c r="AS231" s="38" t="s">
        <v>53</v>
      </c>
      <c r="AT231" s="38" t="s">
        <v>42</v>
      </c>
      <c r="AU231" s="38" t="s">
        <v>44</v>
      </c>
      <c r="AV231" s="74">
        <v>0.3958333333333333</v>
      </c>
      <c r="AW231" s="74">
        <v>0.4861111111111111</v>
      </c>
      <c r="AX231" s="38">
        <v>2.166667</v>
      </c>
      <c r="AY231" s="38" t="s">
        <v>179</v>
      </c>
      <c r="AZ231" s="38" t="s">
        <v>179</v>
      </c>
      <c r="BA231" s="38" t="s">
        <v>179</v>
      </c>
      <c r="BB231" s="38" t="s">
        <v>179</v>
      </c>
      <c r="BC231" s="38" t="s">
        <v>187</v>
      </c>
      <c r="BD231" s="38" t="s">
        <v>152</v>
      </c>
      <c r="BE231" s="68">
        <v>46287.0</v>
      </c>
      <c r="BF231" s="38" t="s">
        <v>341</v>
      </c>
    </row>
    <row r="232">
      <c r="A232" s="63"/>
      <c r="B232" s="63"/>
      <c r="C232" s="62" t="s">
        <v>342</v>
      </c>
      <c r="D232" s="63"/>
      <c r="E232" s="62" t="s">
        <v>186</v>
      </c>
      <c r="F232" s="75" t="s">
        <v>53</v>
      </c>
      <c r="G232" s="63"/>
      <c r="H232" s="75" t="s">
        <v>187</v>
      </c>
      <c r="I232" s="63"/>
      <c r="J232" s="91">
        <v>46286.0</v>
      </c>
      <c r="K232" s="65">
        <v>0.3958333333333333</v>
      </c>
      <c r="L232" s="91">
        <v>46286.0</v>
      </c>
      <c r="M232" s="65">
        <v>0.4270833333333333</v>
      </c>
      <c r="N232" s="65">
        <v>0.03125</v>
      </c>
      <c r="O232" s="92">
        <v>0.75</v>
      </c>
      <c r="R232" s="93"/>
      <c r="S232" s="68">
        <v>46286.0</v>
      </c>
      <c r="T232" s="38" t="str">
        <f>IFERROR(__xludf.DUMMYFUNCTION("""COMPUTED_VALUE"""),"General - Visual Arts Society")</f>
        <v>General - Visual Arts Society</v>
      </c>
      <c r="U232" s="38" t="s">
        <v>186</v>
      </c>
      <c r="V232" s="38" t="s">
        <v>53</v>
      </c>
      <c r="W232" s="38" t="str">
        <f>IFERROR(__xludf.DUMMYFUNCTION("""COMPUTED_VALUE"""),"Committee Member Hours")</f>
        <v>Committee Member Hours</v>
      </c>
      <c r="X232" s="38" t="s">
        <v>44</v>
      </c>
      <c r="Y232" s="38">
        <v>0.75</v>
      </c>
      <c r="Z232" s="38" t="s">
        <v>187</v>
      </c>
      <c r="AA232" s="38" t="s">
        <v>152</v>
      </c>
      <c r="AB232" s="68">
        <v>46286.0</v>
      </c>
      <c r="AC232" s="38" t="s">
        <v>342</v>
      </c>
      <c r="AP232" s="73">
        <v>46286.0</v>
      </c>
      <c r="AQ232" s="38" t="s">
        <v>185</v>
      </c>
      <c r="AR232" s="38" t="s">
        <v>186</v>
      </c>
      <c r="AS232" s="38" t="s">
        <v>53</v>
      </c>
      <c r="AT232" s="38" t="s">
        <v>42</v>
      </c>
      <c r="AU232" s="38" t="s">
        <v>44</v>
      </c>
      <c r="AV232" s="74">
        <v>0.3958333333333333</v>
      </c>
      <c r="AW232" s="74">
        <v>0.4270833333333333</v>
      </c>
      <c r="AX232" s="38">
        <v>0.75</v>
      </c>
      <c r="AY232" s="38" t="s">
        <v>179</v>
      </c>
      <c r="AZ232" s="38" t="s">
        <v>179</v>
      </c>
      <c r="BA232" s="38" t="s">
        <v>179</v>
      </c>
      <c r="BB232" s="38" t="s">
        <v>179</v>
      </c>
      <c r="BC232" s="38" t="s">
        <v>187</v>
      </c>
      <c r="BD232" s="38" t="s">
        <v>152</v>
      </c>
      <c r="BE232" s="68">
        <v>46286.0</v>
      </c>
      <c r="BF232" s="38" t="s">
        <v>342</v>
      </c>
    </row>
    <row r="233">
      <c r="A233" s="63"/>
      <c r="B233" s="63"/>
      <c r="C233" s="62" t="s">
        <v>343</v>
      </c>
      <c r="D233" s="63"/>
      <c r="E233" s="62" t="s">
        <v>186</v>
      </c>
      <c r="F233" s="75" t="s">
        <v>53</v>
      </c>
      <c r="G233" s="63"/>
      <c r="H233" s="75" t="s">
        <v>187</v>
      </c>
      <c r="I233" s="63"/>
      <c r="J233" s="91">
        <v>46279.0</v>
      </c>
      <c r="K233" s="65">
        <v>0.8680555555555556</v>
      </c>
      <c r="L233" s="91">
        <v>46279.0</v>
      </c>
      <c r="M233" s="65">
        <v>0.8826388888888889</v>
      </c>
      <c r="N233" s="65">
        <v>0.014583333333333334</v>
      </c>
      <c r="O233" s="92">
        <v>0.35</v>
      </c>
      <c r="R233" s="93"/>
      <c r="S233" s="68">
        <v>46279.0</v>
      </c>
      <c r="T233" s="38" t="str">
        <f>IFERROR(__xludf.DUMMYFUNCTION("""COMPUTED_VALUE"""),"General - Visual Arts Society")</f>
        <v>General - Visual Arts Society</v>
      </c>
      <c r="U233" s="38" t="s">
        <v>186</v>
      </c>
      <c r="V233" s="38" t="s">
        <v>53</v>
      </c>
      <c r="W233" s="38" t="str">
        <f>IFERROR(__xludf.DUMMYFUNCTION("""COMPUTED_VALUE"""),"Committee Member Hours")</f>
        <v>Committee Member Hours</v>
      </c>
      <c r="X233" s="38" t="s">
        <v>44</v>
      </c>
      <c r="Y233" s="38">
        <v>0.35</v>
      </c>
      <c r="Z233" s="38" t="s">
        <v>187</v>
      </c>
      <c r="AA233" s="38" t="s">
        <v>152</v>
      </c>
      <c r="AB233" s="68">
        <v>46279.0</v>
      </c>
      <c r="AC233" s="38" t="s">
        <v>343</v>
      </c>
      <c r="AP233" s="73">
        <v>46279.0</v>
      </c>
      <c r="AQ233" s="38" t="s">
        <v>185</v>
      </c>
      <c r="AR233" s="38" t="s">
        <v>186</v>
      </c>
      <c r="AS233" s="38" t="s">
        <v>53</v>
      </c>
      <c r="AT233" s="38" t="s">
        <v>42</v>
      </c>
      <c r="AU233" s="38" t="s">
        <v>44</v>
      </c>
      <c r="AV233" s="74">
        <v>0.8680555555555556</v>
      </c>
      <c r="AW233" s="74">
        <v>0.8826388888888889</v>
      </c>
      <c r="AX233" s="38">
        <v>0.35</v>
      </c>
      <c r="AY233" s="38" t="s">
        <v>179</v>
      </c>
      <c r="AZ233" s="38" t="s">
        <v>179</v>
      </c>
      <c r="BA233" s="38" t="s">
        <v>179</v>
      </c>
      <c r="BB233" s="38" t="s">
        <v>179</v>
      </c>
      <c r="BC233" s="38" t="s">
        <v>187</v>
      </c>
      <c r="BD233" s="38" t="s">
        <v>152</v>
      </c>
      <c r="BE233" s="68">
        <v>46279.0</v>
      </c>
      <c r="BF233" s="38" t="s">
        <v>343</v>
      </c>
    </row>
    <row r="234">
      <c r="A234" s="63"/>
      <c r="B234" s="63"/>
      <c r="C234" s="62" t="s">
        <v>344</v>
      </c>
      <c r="D234" s="63"/>
      <c r="E234" s="62" t="s">
        <v>186</v>
      </c>
      <c r="F234" s="75" t="s">
        <v>53</v>
      </c>
      <c r="G234" s="63"/>
      <c r="H234" s="75" t="s">
        <v>187</v>
      </c>
      <c r="I234" s="63"/>
      <c r="J234" s="91">
        <v>46275.0</v>
      </c>
      <c r="K234" s="65">
        <v>0.9784722222222222</v>
      </c>
      <c r="L234" s="91">
        <v>46275.0</v>
      </c>
      <c r="M234" s="65">
        <v>0.9965277777777778</v>
      </c>
      <c r="N234" s="65">
        <v>0.018055555555555554</v>
      </c>
      <c r="O234" s="92">
        <v>0.433333</v>
      </c>
      <c r="R234" s="93"/>
      <c r="S234" s="68">
        <v>46275.0</v>
      </c>
      <c r="T234" s="38" t="str">
        <f>IFERROR(__xludf.DUMMYFUNCTION("""COMPUTED_VALUE"""),"General - Visual Arts Society")</f>
        <v>General - Visual Arts Society</v>
      </c>
      <c r="U234" s="38" t="s">
        <v>186</v>
      </c>
      <c r="V234" s="38" t="s">
        <v>53</v>
      </c>
      <c r="W234" s="38" t="str">
        <f>IFERROR(__xludf.DUMMYFUNCTION("""COMPUTED_VALUE"""),"Committee Member Hours")</f>
        <v>Committee Member Hours</v>
      </c>
      <c r="X234" s="38" t="s">
        <v>44</v>
      </c>
      <c r="Y234" s="38">
        <v>0.433333</v>
      </c>
      <c r="Z234" s="38" t="s">
        <v>187</v>
      </c>
      <c r="AA234" s="38" t="s">
        <v>152</v>
      </c>
      <c r="AB234" s="68">
        <v>46275.0</v>
      </c>
      <c r="AC234" s="38" t="s">
        <v>344</v>
      </c>
      <c r="AP234" s="73">
        <v>46275.0</v>
      </c>
      <c r="AQ234" s="38" t="s">
        <v>185</v>
      </c>
      <c r="AR234" s="38" t="s">
        <v>186</v>
      </c>
      <c r="AS234" s="38" t="s">
        <v>53</v>
      </c>
      <c r="AT234" s="38" t="s">
        <v>42</v>
      </c>
      <c r="AU234" s="38" t="s">
        <v>44</v>
      </c>
      <c r="AV234" s="74">
        <v>0.9784722222222222</v>
      </c>
      <c r="AW234" s="74">
        <v>0.9965277777777778</v>
      </c>
      <c r="AX234" s="38">
        <v>0.433333</v>
      </c>
      <c r="AY234" s="38" t="s">
        <v>179</v>
      </c>
      <c r="AZ234" s="38" t="s">
        <v>179</v>
      </c>
      <c r="BA234" s="38" t="s">
        <v>179</v>
      </c>
      <c r="BB234" s="38" t="s">
        <v>179</v>
      </c>
      <c r="BC234" s="38" t="s">
        <v>187</v>
      </c>
      <c r="BD234" s="38" t="s">
        <v>152</v>
      </c>
      <c r="BE234" s="68">
        <v>46275.0</v>
      </c>
      <c r="BF234" s="38" t="s">
        <v>344</v>
      </c>
    </row>
    <row r="235">
      <c r="A235" s="63"/>
      <c r="B235" s="63"/>
      <c r="C235" s="62" t="s">
        <v>345</v>
      </c>
      <c r="D235" s="63"/>
      <c r="E235" s="62" t="s">
        <v>186</v>
      </c>
      <c r="F235" s="75" t="s">
        <v>53</v>
      </c>
      <c r="G235" s="63"/>
      <c r="H235" s="75" t="s">
        <v>187</v>
      </c>
      <c r="I235" s="63"/>
      <c r="J235" s="91">
        <v>46275.0</v>
      </c>
      <c r="K235" s="65">
        <v>0.875</v>
      </c>
      <c r="L235" s="91">
        <v>46275.0</v>
      </c>
      <c r="M235" s="65">
        <v>0.8958333333333334</v>
      </c>
      <c r="N235" s="65">
        <v>0.020833333333333332</v>
      </c>
      <c r="O235" s="92">
        <v>0.5</v>
      </c>
      <c r="R235" s="93"/>
      <c r="S235" s="68">
        <v>46275.0</v>
      </c>
      <c r="T235" s="38" t="str">
        <f>IFERROR(__xludf.DUMMYFUNCTION("""COMPUTED_VALUE"""),"General - Visual Arts Society")</f>
        <v>General - Visual Arts Society</v>
      </c>
      <c r="U235" s="38" t="s">
        <v>186</v>
      </c>
      <c r="V235" s="38" t="s">
        <v>53</v>
      </c>
      <c r="W235" s="38" t="str">
        <f>IFERROR(__xludf.DUMMYFUNCTION("""COMPUTED_VALUE"""),"Committee Member Hours")</f>
        <v>Committee Member Hours</v>
      </c>
      <c r="X235" s="38" t="s">
        <v>44</v>
      </c>
      <c r="Y235" s="38">
        <v>0.5</v>
      </c>
      <c r="Z235" s="38" t="s">
        <v>187</v>
      </c>
      <c r="AA235" s="38" t="s">
        <v>152</v>
      </c>
      <c r="AB235" s="68">
        <v>46275.0</v>
      </c>
      <c r="AC235" s="38" t="s">
        <v>345</v>
      </c>
      <c r="AP235" s="73">
        <v>46275.0</v>
      </c>
      <c r="AQ235" s="38" t="s">
        <v>185</v>
      </c>
      <c r="AR235" s="38" t="s">
        <v>186</v>
      </c>
      <c r="AS235" s="38" t="s">
        <v>53</v>
      </c>
      <c r="AT235" s="38" t="s">
        <v>42</v>
      </c>
      <c r="AU235" s="38" t="s">
        <v>44</v>
      </c>
      <c r="AV235" s="74">
        <v>0.875</v>
      </c>
      <c r="AW235" s="74">
        <v>0.8958333333333334</v>
      </c>
      <c r="AX235" s="38">
        <v>0.5</v>
      </c>
      <c r="AY235" s="38" t="s">
        <v>179</v>
      </c>
      <c r="AZ235" s="38" t="s">
        <v>179</v>
      </c>
      <c r="BA235" s="38" t="s">
        <v>179</v>
      </c>
      <c r="BB235" s="38" t="s">
        <v>179</v>
      </c>
      <c r="BC235" s="38" t="s">
        <v>187</v>
      </c>
      <c r="BD235" s="38" t="s">
        <v>152</v>
      </c>
      <c r="BE235" s="68">
        <v>46275.0</v>
      </c>
      <c r="BF235" s="38" t="s">
        <v>345</v>
      </c>
    </row>
    <row r="236">
      <c r="A236" s="63"/>
      <c r="B236" s="63"/>
      <c r="C236" s="62" t="s">
        <v>346</v>
      </c>
      <c r="D236" s="63"/>
      <c r="E236" s="62" t="s">
        <v>186</v>
      </c>
      <c r="F236" s="75" t="s">
        <v>53</v>
      </c>
      <c r="G236" s="63"/>
      <c r="H236" s="75" t="s">
        <v>187</v>
      </c>
      <c r="I236" s="63"/>
      <c r="J236" s="91">
        <v>46275.0</v>
      </c>
      <c r="K236" s="65">
        <v>0.3333333333333333</v>
      </c>
      <c r="L236" s="91">
        <v>46275.0</v>
      </c>
      <c r="M236" s="65">
        <v>0.3645833333333333</v>
      </c>
      <c r="N236" s="65">
        <v>0.03125</v>
      </c>
      <c r="O236" s="92">
        <v>0.75</v>
      </c>
      <c r="R236" s="93"/>
      <c r="S236" s="68">
        <v>46275.0</v>
      </c>
      <c r="T236" s="38" t="str">
        <f>IFERROR(__xludf.DUMMYFUNCTION("""COMPUTED_VALUE"""),"General - Visual Arts Society")</f>
        <v>General - Visual Arts Society</v>
      </c>
      <c r="U236" s="38" t="s">
        <v>186</v>
      </c>
      <c r="V236" s="38" t="s">
        <v>53</v>
      </c>
      <c r="W236" s="38" t="str">
        <f>IFERROR(__xludf.DUMMYFUNCTION("""COMPUTED_VALUE"""),"Committee Member Hours")</f>
        <v>Committee Member Hours</v>
      </c>
      <c r="X236" s="38" t="s">
        <v>44</v>
      </c>
      <c r="Y236" s="38">
        <v>0.75</v>
      </c>
      <c r="Z236" s="38" t="s">
        <v>187</v>
      </c>
      <c r="AA236" s="38" t="s">
        <v>152</v>
      </c>
      <c r="AB236" s="68">
        <v>46275.0</v>
      </c>
      <c r="AC236" s="38" t="s">
        <v>346</v>
      </c>
      <c r="AP236" s="73">
        <v>46275.0</v>
      </c>
      <c r="AQ236" s="38" t="s">
        <v>185</v>
      </c>
      <c r="AR236" s="38" t="s">
        <v>186</v>
      </c>
      <c r="AS236" s="38" t="s">
        <v>53</v>
      </c>
      <c r="AT236" s="38" t="s">
        <v>42</v>
      </c>
      <c r="AU236" s="38" t="s">
        <v>44</v>
      </c>
      <c r="AV236" s="74">
        <v>0.3333333333333333</v>
      </c>
      <c r="AW236" s="74">
        <v>0.3645833333333333</v>
      </c>
      <c r="AX236" s="38">
        <v>0.75</v>
      </c>
      <c r="AY236" s="38" t="s">
        <v>179</v>
      </c>
      <c r="AZ236" s="38" t="s">
        <v>179</v>
      </c>
      <c r="BA236" s="38" t="s">
        <v>179</v>
      </c>
      <c r="BB236" s="38" t="s">
        <v>179</v>
      </c>
      <c r="BC236" s="38" t="s">
        <v>187</v>
      </c>
      <c r="BD236" s="38" t="s">
        <v>152</v>
      </c>
      <c r="BE236" s="68">
        <v>46275.0</v>
      </c>
      <c r="BF236" s="38" t="s">
        <v>346</v>
      </c>
    </row>
    <row r="237">
      <c r="A237" s="63"/>
      <c r="B237" s="63"/>
      <c r="C237" s="62" t="s">
        <v>347</v>
      </c>
      <c r="D237" s="63"/>
      <c r="E237" s="62" t="s">
        <v>186</v>
      </c>
      <c r="F237" s="75" t="s">
        <v>53</v>
      </c>
      <c r="G237" s="63"/>
      <c r="H237" s="75" t="s">
        <v>187</v>
      </c>
      <c r="I237" s="63"/>
      <c r="J237" s="91">
        <v>46266.0</v>
      </c>
      <c r="K237" s="65">
        <v>0.46319444444444446</v>
      </c>
      <c r="L237" s="91">
        <v>46266.0</v>
      </c>
      <c r="M237" s="65">
        <v>0.4875</v>
      </c>
      <c r="N237" s="65">
        <v>0.024305555555555556</v>
      </c>
      <c r="O237" s="92">
        <v>0.583333</v>
      </c>
      <c r="R237" s="93"/>
      <c r="S237" s="68">
        <v>46266.0</v>
      </c>
      <c r="T237" s="38" t="str">
        <f>IFERROR(__xludf.DUMMYFUNCTION("""COMPUTED_VALUE"""),"General - Visual Arts Society")</f>
        <v>General - Visual Arts Society</v>
      </c>
      <c r="U237" s="38" t="s">
        <v>186</v>
      </c>
      <c r="V237" s="38" t="s">
        <v>53</v>
      </c>
      <c r="W237" s="38" t="str">
        <f>IFERROR(__xludf.DUMMYFUNCTION("""COMPUTED_VALUE"""),"Committee Member Hours")</f>
        <v>Committee Member Hours</v>
      </c>
      <c r="X237" s="38" t="s">
        <v>44</v>
      </c>
      <c r="Y237" s="38">
        <v>0.583333</v>
      </c>
      <c r="Z237" s="38" t="s">
        <v>187</v>
      </c>
      <c r="AA237" s="38" t="s">
        <v>152</v>
      </c>
      <c r="AB237" s="68">
        <v>46266.0</v>
      </c>
      <c r="AC237" s="38" t="s">
        <v>347</v>
      </c>
      <c r="AP237" s="73">
        <v>46266.0</v>
      </c>
      <c r="AQ237" s="38" t="s">
        <v>185</v>
      </c>
      <c r="AR237" s="38" t="s">
        <v>186</v>
      </c>
      <c r="AS237" s="38" t="s">
        <v>53</v>
      </c>
      <c r="AT237" s="38" t="s">
        <v>42</v>
      </c>
      <c r="AU237" s="38" t="s">
        <v>44</v>
      </c>
      <c r="AV237" s="74">
        <v>0.46319444444444446</v>
      </c>
      <c r="AW237" s="74">
        <v>0.4875</v>
      </c>
      <c r="AX237" s="38">
        <v>0.583333</v>
      </c>
      <c r="AY237" s="38" t="s">
        <v>179</v>
      </c>
      <c r="AZ237" s="38" t="s">
        <v>179</v>
      </c>
      <c r="BA237" s="38" t="s">
        <v>179</v>
      </c>
      <c r="BB237" s="38" t="s">
        <v>179</v>
      </c>
      <c r="BC237" s="38" t="s">
        <v>187</v>
      </c>
      <c r="BD237" s="38" t="s">
        <v>152</v>
      </c>
      <c r="BE237" s="68">
        <v>46266.0</v>
      </c>
      <c r="BF237" s="38" t="s">
        <v>347</v>
      </c>
    </row>
    <row r="238">
      <c r="A238" s="63"/>
      <c r="B238" s="63"/>
      <c r="C238" s="62" t="s">
        <v>348</v>
      </c>
      <c r="D238" s="63"/>
      <c r="E238" s="62" t="s">
        <v>186</v>
      </c>
      <c r="F238" s="75" t="s">
        <v>53</v>
      </c>
      <c r="G238" s="63"/>
      <c r="H238" s="75" t="s">
        <v>187</v>
      </c>
      <c r="I238" s="63"/>
      <c r="J238" s="91">
        <v>46296.0</v>
      </c>
      <c r="K238" s="65">
        <v>0.8777777777777778</v>
      </c>
      <c r="L238" s="91">
        <v>46296.0</v>
      </c>
      <c r="M238" s="65">
        <v>0.8868055555555555</v>
      </c>
      <c r="N238" s="65">
        <v>0.009027777777777777</v>
      </c>
      <c r="O238" s="92">
        <v>0.216667</v>
      </c>
      <c r="R238" s="93"/>
      <c r="S238" s="68">
        <v>46296.0</v>
      </c>
      <c r="T238" s="38" t="str">
        <f>IFERROR(__xludf.DUMMYFUNCTION("""COMPUTED_VALUE"""),"General - Visual Arts Society")</f>
        <v>General - Visual Arts Society</v>
      </c>
      <c r="U238" s="38" t="s">
        <v>186</v>
      </c>
      <c r="V238" s="38" t="s">
        <v>53</v>
      </c>
      <c r="W238" s="38" t="str">
        <f>IFERROR(__xludf.DUMMYFUNCTION("""COMPUTED_VALUE"""),"Committee Member Hours")</f>
        <v>Committee Member Hours</v>
      </c>
      <c r="X238" s="38" t="s">
        <v>44</v>
      </c>
      <c r="Y238" s="38">
        <v>0.216667</v>
      </c>
      <c r="Z238" s="38" t="s">
        <v>187</v>
      </c>
      <c r="AA238" s="38" t="s">
        <v>152</v>
      </c>
      <c r="AB238" s="68">
        <v>46296.0</v>
      </c>
      <c r="AC238" s="38" t="s">
        <v>348</v>
      </c>
      <c r="AP238" s="73">
        <v>46296.0</v>
      </c>
      <c r="AQ238" s="38" t="s">
        <v>185</v>
      </c>
      <c r="AR238" s="38" t="s">
        <v>186</v>
      </c>
      <c r="AS238" s="38" t="s">
        <v>53</v>
      </c>
      <c r="AT238" s="38" t="s">
        <v>42</v>
      </c>
      <c r="AU238" s="38" t="s">
        <v>44</v>
      </c>
      <c r="AV238" s="74">
        <v>0.8777777777777778</v>
      </c>
      <c r="AW238" s="74">
        <v>0.8868055555555555</v>
      </c>
      <c r="AX238" s="38">
        <v>0.216667</v>
      </c>
      <c r="AY238" s="38" t="s">
        <v>179</v>
      </c>
      <c r="AZ238" s="38" t="s">
        <v>179</v>
      </c>
      <c r="BA238" s="38" t="s">
        <v>179</v>
      </c>
      <c r="BB238" s="38" t="s">
        <v>179</v>
      </c>
      <c r="BC238" s="38" t="s">
        <v>187</v>
      </c>
      <c r="BD238" s="38" t="s">
        <v>152</v>
      </c>
      <c r="BE238" s="68">
        <v>46296.0</v>
      </c>
      <c r="BF238" s="38" t="s">
        <v>348</v>
      </c>
    </row>
    <row r="239">
      <c r="R239" s="93"/>
      <c r="S239" s="68" t="str">
        <f t="shared" ref="S239:S290" si="1">IF(J239="","",J239)</f>
        <v/>
      </c>
      <c r="T239" s="38" t="str">
        <f>IFERROR(__xludf.DUMMYFUNCTION("IFERROR(
  TRIM(REGEXEXTRACT(H239,""\(Event\)\s*([^,]+)"")),
  IF(V239="""","""",IF(V239=""CASWJ"",""General / No Specific Project"",""General - ""&amp;V239))
)"),"")</f>
        <v/>
      </c>
      <c r="W239" s="38"/>
      <c r="X239" s="38" t="str">
        <f t="shared" ref="X239:X290" si="2">IF(S239="","","Total Hours")</f>
        <v/>
      </c>
      <c r="Y239" s="38" t="str">
        <f t="shared" ref="Y239:Y290" si="3">IF(O239="","",O239)</f>
        <v/>
      </c>
      <c r="Z239" s="38" t="str">
        <f t="shared" ref="Z239:Z290" si="4">IF(H239="","",H239)</f>
        <v/>
      </c>
      <c r="AA239" s="38" t="str">
        <f t="shared" ref="AA239:AA290" si="5">IF(S239="","","Clockify Import")</f>
        <v/>
      </c>
      <c r="AB239" s="68" t="str">
        <f t="shared" ref="AB239:AB1000" si="6">IF(R239="","",R239)</f>
        <v/>
      </c>
      <c r="AC239" s="38" t="str">
        <f t="shared" ref="AC239:AC290" si="7">IF(C239="","",C239)</f>
        <v/>
      </c>
      <c r="AP239" s="94"/>
    </row>
    <row r="240">
      <c r="R240" s="93"/>
      <c r="S240" s="68" t="str">
        <f t="shared" si="1"/>
        <v/>
      </c>
      <c r="T240" s="38" t="str">
        <f>IFERROR(__xludf.DUMMYFUNCTION("IFERROR(
  TRIM(REGEXEXTRACT(H240,""\(Event\)\s*([^,]+)"")),
  IF(V240="""","""",IF(V240=""CASWJ"",""General / No Specific Project"",""General - ""&amp;V240))
)"),"")</f>
        <v/>
      </c>
      <c r="W240" s="38"/>
      <c r="X240" s="38" t="str">
        <f t="shared" si="2"/>
        <v/>
      </c>
      <c r="Y240" s="38" t="str">
        <f t="shared" si="3"/>
        <v/>
      </c>
      <c r="Z240" s="38" t="str">
        <f t="shared" si="4"/>
        <v/>
      </c>
      <c r="AA240" s="38" t="str">
        <f t="shared" si="5"/>
        <v/>
      </c>
      <c r="AB240" s="68" t="str">
        <f t="shared" si="6"/>
        <v/>
      </c>
      <c r="AC240" s="38" t="str">
        <f t="shared" si="7"/>
        <v/>
      </c>
      <c r="AP240" s="94"/>
    </row>
    <row r="241">
      <c r="R241" s="93"/>
      <c r="S241" s="68" t="str">
        <f t="shared" si="1"/>
        <v/>
      </c>
      <c r="T241" s="38" t="str">
        <f>IFERROR(__xludf.DUMMYFUNCTION("IFERROR(
  TRIM(REGEXEXTRACT(H241,""\(Event\)\s*([^,]+)"")),
  IF(V241="""","""",IF(V241=""CASWJ"",""General / No Specific Project"",""General - ""&amp;V241))
)"),"")</f>
        <v/>
      </c>
      <c r="W241" s="38"/>
      <c r="X241" s="38" t="str">
        <f t="shared" si="2"/>
        <v/>
      </c>
      <c r="Y241" s="38" t="str">
        <f t="shared" si="3"/>
        <v/>
      </c>
      <c r="Z241" s="38" t="str">
        <f t="shared" si="4"/>
        <v/>
      </c>
      <c r="AA241" s="38" t="str">
        <f t="shared" si="5"/>
        <v/>
      </c>
      <c r="AB241" s="68" t="str">
        <f t="shared" si="6"/>
        <v/>
      </c>
      <c r="AC241" s="38" t="str">
        <f t="shared" si="7"/>
        <v/>
      </c>
      <c r="AP241" s="94"/>
    </row>
    <row r="242">
      <c r="R242" s="93"/>
      <c r="S242" s="68" t="str">
        <f t="shared" si="1"/>
        <v/>
      </c>
      <c r="T242" s="38" t="str">
        <f>IFERROR(__xludf.DUMMYFUNCTION("IFERROR(
  TRIM(REGEXEXTRACT(H242,""\(Event\)\s*([^,]+)"")),
  IF(V242="""","""",IF(V242=""CASWJ"",""General / No Specific Project"",""General - ""&amp;V242))
)"),"")</f>
        <v/>
      </c>
      <c r="W242" s="38"/>
      <c r="X242" s="38" t="str">
        <f t="shared" si="2"/>
        <v/>
      </c>
      <c r="Y242" s="38" t="str">
        <f t="shared" si="3"/>
        <v/>
      </c>
      <c r="Z242" s="38" t="str">
        <f t="shared" si="4"/>
        <v/>
      </c>
      <c r="AA242" s="38" t="str">
        <f t="shared" si="5"/>
        <v/>
      </c>
      <c r="AB242" s="68" t="str">
        <f t="shared" si="6"/>
        <v/>
      </c>
      <c r="AC242" s="38" t="str">
        <f t="shared" si="7"/>
        <v/>
      </c>
      <c r="AP242" s="94"/>
    </row>
    <row r="243">
      <c r="R243" s="93"/>
      <c r="S243" s="68" t="str">
        <f t="shared" si="1"/>
        <v/>
      </c>
      <c r="T243" s="38" t="str">
        <f>IFERROR(__xludf.DUMMYFUNCTION("IFERROR(
  TRIM(REGEXEXTRACT(H243,""\(Event\)\s*([^,]+)"")),
  IF(V243="""","""",IF(V243=""CASWJ"",""General / No Specific Project"",""General - ""&amp;V243))
)"),"")</f>
        <v/>
      </c>
      <c r="W243" s="38"/>
      <c r="X243" s="38" t="str">
        <f t="shared" si="2"/>
        <v/>
      </c>
      <c r="Y243" s="38" t="str">
        <f t="shared" si="3"/>
        <v/>
      </c>
      <c r="Z243" s="38" t="str">
        <f t="shared" si="4"/>
        <v/>
      </c>
      <c r="AA243" s="38" t="str">
        <f t="shared" si="5"/>
        <v/>
      </c>
      <c r="AB243" s="68" t="str">
        <f t="shared" si="6"/>
        <v/>
      </c>
      <c r="AC243" s="38" t="str">
        <f t="shared" si="7"/>
        <v/>
      </c>
      <c r="AP243" s="94"/>
    </row>
    <row r="244">
      <c r="R244" s="93"/>
      <c r="S244" s="68" t="str">
        <f t="shared" si="1"/>
        <v/>
      </c>
      <c r="T244" s="38" t="str">
        <f>IFERROR(__xludf.DUMMYFUNCTION("IFERROR(
  TRIM(REGEXEXTRACT(H244,""\(Event\)\s*([^,]+)"")),
  IF(V244="""","""",IF(V244=""CASWJ"",""General / No Specific Project"",""General - ""&amp;V244))
)"),"")</f>
        <v/>
      </c>
      <c r="W244" s="38"/>
      <c r="X244" s="38" t="str">
        <f t="shared" si="2"/>
        <v/>
      </c>
      <c r="Y244" s="38" t="str">
        <f t="shared" si="3"/>
        <v/>
      </c>
      <c r="Z244" s="38" t="str">
        <f t="shared" si="4"/>
        <v/>
      </c>
      <c r="AA244" s="38" t="str">
        <f t="shared" si="5"/>
        <v/>
      </c>
      <c r="AB244" s="68" t="str">
        <f t="shared" si="6"/>
        <v/>
      </c>
      <c r="AC244" s="38" t="str">
        <f t="shared" si="7"/>
        <v/>
      </c>
      <c r="AP244" s="94"/>
    </row>
    <row r="245">
      <c r="R245" s="93"/>
      <c r="S245" s="68" t="str">
        <f t="shared" si="1"/>
        <v/>
      </c>
      <c r="T245" s="38" t="str">
        <f>IFERROR(__xludf.DUMMYFUNCTION("IFERROR(
  TRIM(REGEXEXTRACT(H245,""\(Event\)\s*([^,]+)"")),
  IF(V245="""","""",IF(V245=""CASWJ"",""General / No Specific Project"",""General - ""&amp;V245))
)"),"")</f>
        <v/>
      </c>
      <c r="W245" s="38"/>
      <c r="X245" s="38" t="str">
        <f t="shared" si="2"/>
        <v/>
      </c>
      <c r="Y245" s="38" t="str">
        <f t="shared" si="3"/>
        <v/>
      </c>
      <c r="Z245" s="38" t="str">
        <f t="shared" si="4"/>
        <v/>
      </c>
      <c r="AA245" s="38" t="str">
        <f t="shared" si="5"/>
        <v/>
      </c>
      <c r="AB245" s="68" t="str">
        <f t="shared" si="6"/>
        <v/>
      </c>
      <c r="AC245" s="38" t="str">
        <f t="shared" si="7"/>
        <v/>
      </c>
      <c r="AP245" s="94"/>
    </row>
    <row r="246">
      <c r="R246" s="93"/>
      <c r="S246" s="68" t="str">
        <f t="shared" si="1"/>
        <v/>
      </c>
      <c r="T246" s="38" t="str">
        <f>IFERROR(__xludf.DUMMYFUNCTION("IFERROR(
  TRIM(REGEXEXTRACT(H246,""\(Event\)\s*([^,]+)"")),
  IF(V246="""","""",IF(V246=""CASWJ"",""General / No Specific Project"",""General - ""&amp;V246))
)"),"")</f>
        <v/>
      </c>
      <c r="W246" s="38"/>
      <c r="X246" s="38" t="str">
        <f t="shared" si="2"/>
        <v/>
      </c>
      <c r="Y246" s="38" t="str">
        <f t="shared" si="3"/>
        <v/>
      </c>
      <c r="Z246" s="38" t="str">
        <f t="shared" si="4"/>
        <v/>
      </c>
      <c r="AA246" s="38" t="str">
        <f t="shared" si="5"/>
        <v/>
      </c>
      <c r="AB246" s="68" t="str">
        <f t="shared" si="6"/>
        <v/>
      </c>
      <c r="AC246" s="38" t="str">
        <f t="shared" si="7"/>
        <v/>
      </c>
      <c r="AP246" s="94"/>
    </row>
    <row r="247">
      <c r="R247" s="93"/>
      <c r="S247" s="68" t="str">
        <f t="shared" si="1"/>
        <v/>
      </c>
      <c r="T247" s="38" t="str">
        <f>IFERROR(__xludf.DUMMYFUNCTION("IFERROR(
  TRIM(REGEXEXTRACT(H247,""\(Event\)\s*([^,]+)"")),
  IF(V247="""","""",IF(V247=""CASWJ"",""General / No Specific Project"",""General - ""&amp;V247))
)"),"")</f>
        <v/>
      </c>
      <c r="W247" s="38"/>
      <c r="X247" s="38" t="str">
        <f t="shared" si="2"/>
        <v/>
      </c>
      <c r="Y247" s="38" t="str">
        <f t="shared" si="3"/>
        <v/>
      </c>
      <c r="Z247" s="38" t="str">
        <f t="shared" si="4"/>
        <v/>
      </c>
      <c r="AA247" s="38" t="str">
        <f t="shared" si="5"/>
        <v/>
      </c>
      <c r="AB247" s="68" t="str">
        <f t="shared" si="6"/>
        <v/>
      </c>
      <c r="AC247" s="38" t="str">
        <f t="shared" si="7"/>
        <v/>
      </c>
      <c r="AP247" s="94"/>
    </row>
    <row r="248">
      <c r="R248" s="93"/>
      <c r="S248" s="68" t="str">
        <f t="shared" si="1"/>
        <v/>
      </c>
      <c r="T248" s="38" t="str">
        <f>IFERROR(__xludf.DUMMYFUNCTION("IFERROR(
  TRIM(REGEXEXTRACT(H248,""\(Event\)\s*([^,]+)"")),
  IF(V248="""","""",IF(V248=""CASWJ"",""General / No Specific Project"",""General - ""&amp;V248))
)"),"")</f>
        <v/>
      </c>
      <c r="W248" s="38"/>
      <c r="X248" s="38" t="str">
        <f t="shared" si="2"/>
        <v/>
      </c>
      <c r="Y248" s="38" t="str">
        <f t="shared" si="3"/>
        <v/>
      </c>
      <c r="Z248" s="38" t="str">
        <f t="shared" si="4"/>
        <v/>
      </c>
      <c r="AA248" s="38" t="str">
        <f t="shared" si="5"/>
        <v/>
      </c>
      <c r="AB248" s="68" t="str">
        <f t="shared" si="6"/>
        <v/>
      </c>
      <c r="AC248" s="38" t="str">
        <f t="shared" si="7"/>
        <v/>
      </c>
      <c r="AP248" s="94"/>
    </row>
    <row r="249">
      <c r="R249" s="93"/>
      <c r="S249" s="68" t="str">
        <f t="shared" si="1"/>
        <v/>
      </c>
      <c r="T249" s="38" t="str">
        <f>IFERROR(__xludf.DUMMYFUNCTION("IFERROR(
  TRIM(REGEXEXTRACT(H249,""\(Event\)\s*([^,]+)"")),
  IF(V249="""","""",IF(V249=""CASWJ"",""General / No Specific Project"",""General - ""&amp;V249))
)"),"")</f>
        <v/>
      </c>
      <c r="W249" s="38"/>
      <c r="X249" s="38" t="str">
        <f t="shared" si="2"/>
        <v/>
      </c>
      <c r="Y249" s="38" t="str">
        <f t="shared" si="3"/>
        <v/>
      </c>
      <c r="Z249" s="38" t="str">
        <f t="shared" si="4"/>
        <v/>
      </c>
      <c r="AA249" s="38" t="str">
        <f t="shared" si="5"/>
        <v/>
      </c>
      <c r="AB249" s="68" t="str">
        <f t="shared" si="6"/>
        <v/>
      </c>
      <c r="AC249" s="38" t="str">
        <f t="shared" si="7"/>
        <v/>
      </c>
      <c r="AP249" s="94"/>
    </row>
    <row r="250">
      <c r="R250" s="93"/>
      <c r="S250" s="68" t="str">
        <f t="shared" si="1"/>
        <v/>
      </c>
      <c r="T250" s="38" t="str">
        <f>IFERROR(__xludf.DUMMYFUNCTION("IFERROR(
  TRIM(REGEXEXTRACT(H250,""\(Event\)\s*([^,]+)"")),
  IF(V250="""","""",IF(V250=""CASWJ"",""General / No Specific Project"",""General - ""&amp;V250))
)"),"")</f>
        <v/>
      </c>
      <c r="W250" s="38"/>
      <c r="X250" s="38" t="str">
        <f t="shared" si="2"/>
        <v/>
      </c>
      <c r="Y250" s="38" t="str">
        <f t="shared" si="3"/>
        <v/>
      </c>
      <c r="Z250" s="38" t="str">
        <f t="shared" si="4"/>
        <v/>
      </c>
      <c r="AA250" s="38" t="str">
        <f t="shared" si="5"/>
        <v/>
      </c>
      <c r="AB250" s="68" t="str">
        <f t="shared" si="6"/>
        <v/>
      </c>
      <c r="AC250" s="38" t="str">
        <f t="shared" si="7"/>
        <v/>
      </c>
      <c r="AP250" s="94"/>
    </row>
    <row r="251">
      <c r="R251" s="93"/>
      <c r="S251" s="68" t="str">
        <f t="shared" si="1"/>
        <v/>
      </c>
      <c r="T251" s="38" t="str">
        <f>IFERROR(__xludf.DUMMYFUNCTION("IFERROR(
  TRIM(REGEXEXTRACT(H251,""\(Event\)\s*([^,]+)"")),
  IF(V251="""","""",IF(V251=""CASWJ"",""General / No Specific Project"",""General - ""&amp;V251))
)"),"")</f>
        <v/>
      </c>
      <c r="W251" s="38"/>
      <c r="X251" s="38" t="str">
        <f t="shared" si="2"/>
        <v/>
      </c>
      <c r="Y251" s="38" t="str">
        <f t="shared" si="3"/>
        <v/>
      </c>
      <c r="Z251" s="38" t="str">
        <f t="shared" si="4"/>
        <v/>
      </c>
      <c r="AA251" s="38" t="str">
        <f t="shared" si="5"/>
        <v/>
      </c>
      <c r="AB251" s="68" t="str">
        <f t="shared" si="6"/>
        <v/>
      </c>
      <c r="AC251" s="38" t="str">
        <f t="shared" si="7"/>
        <v/>
      </c>
      <c r="AP251" s="94"/>
    </row>
    <row r="252">
      <c r="R252" s="93"/>
      <c r="S252" s="68" t="str">
        <f t="shared" si="1"/>
        <v/>
      </c>
      <c r="T252" s="38" t="str">
        <f>IFERROR(__xludf.DUMMYFUNCTION("IFERROR(
  TRIM(REGEXEXTRACT(H252,""\(Event\)\s*([^,]+)"")),
  IF(V252="""","""",IF(V252=""CASWJ"",""General / No Specific Project"",""General - ""&amp;V252))
)"),"")</f>
        <v/>
      </c>
      <c r="W252" s="38"/>
      <c r="X252" s="38" t="str">
        <f t="shared" si="2"/>
        <v/>
      </c>
      <c r="Y252" s="38" t="str">
        <f t="shared" si="3"/>
        <v/>
      </c>
      <c r="Z252" s="38" t="str">
        <f t="shared" si="4"/>
        <v/>
      </c>
      <c r="AA252" s="38" t="str">
        <f t="shared" si="5"/>
        <v/>
      </c>
      <c r="AB252" s="68" t="str">
        <f t="shared" si="6"/>
        <v/>
      </c>
      <c r="AC252" s="38" t="str">
        <f t="shared" si="7"/>
        <v/>
      </c>
      <c r="AP252" s="94"/>
    </row>
    <row r="253">
      <c r="R253" s="93"/>
      <c r="S253" s="68" t="str">
        <f t="shared" si="1"/>
        <v/>
      </c>
      <c r="T253" s="38" t="str">
        <f>IFERROR(__xludf.DUMMYFUNCTION("IFERROR(
  TRIM(REGEXEXTRACT(H253,""\(Event\)\s*([^,]+)"")),
  IF(V253="""","""",IF(V253=""CASWJ"",""General / No Specific Project"",""General - ""&amp;V253))
)"),"")</f>
        <v/>
      </c>
      <c r="W253" s="38"/>
      <c r="X253" s="38" t="str">
        <f t="shared" si="2"/>
        <v/>
      </c>
      <c r="Y253" s="38" t="str">
        <f t="shared" si="3"/>
        <v/>
      </c>
      <c r="Z253" s="38" t="str">
        <f t="shared" si="4"/>
        <v/>
      </c>
      <c r="AA253" s="38" t="str">
        <f t="shared" si="5"/>
        <v/>
      </c>
      <c r="AB253" s="68" t="str">
        <f t="shared" si="6"/>
        <v/>
      </c>
      <c r="AC253" s="38" t="str">
        <f t="shared" si="7"/>
        <v/>
      </c>
      <c r="AP253" s="94"/>
    </row>
    <row r="254">
      <c r="R254" s="93"/>
      <c r="S254" s="68" t="str">
        <f t="shared" si="1"/>
        <v/>
      </c>
      <c r="T254" s="38" t="str">
        <f>IFERROR(__xludf.DUMMYFUNCTION("IFERROR(
  TRIM(REGEXEXTRACT(H254,""\(Event\)\s*([^,]+)"")),
  IF(V254="""","""",IF(V254=""CASWJ"",""General / No Specific Project"",""General - ""&amp;V254))
)"),"")</f>
        <v/>
      </c>
      <c r="W254" s="38"/>
      <c r="X254" s="38" t="str">
        <f t="shared" si="2"/>
        <v/>
      </c>
      <c r="Y254" s="38" t="str">
        <f t="shared" si="3"/>
        <v/>
      </c>
      <c r="Z254" s="38" t="str">
        <f t="shared" si="4"/>
        <v/>
      </c>
      <c r="AA254" s="38" t="str">
        <f t="shared" si="5"/>
        <v/>
      </c>
      <c r="AB254" s="68" t="str">
        <f t="shared" si="6"/>
        <v/>
      </c>
      <c r="AC254" s="38" t="str">
        <f t="shared" si="7"/>
        <v/>
      </c>
      <c r="AP254" s="94"/>
    </row>
    <row r="255">
      <c r="R255" s="93"/>
      <c r="S255" s="68" t="str">
        <f t="shared" si="1"/>
        <v/>
      </c>
      <c r="T255" s="38" t="str">
        <f>IFERROR(__xludf.DUMMYFUNCTION("IFERROR(
  TRIM(REGEXEXTRACT(H255,""\(Event\)\s*([^,]+)"")),
  IF(V255="""","""",IF(V255=""CASWJ"",""General / No Specific Project"",""General - ""&amp;V255))
)"),"")</f>
        <v/>
      </c>
      <c r="W255" s="38"/>
      <c r="X255" s="38" t="str">
        <f t="shared" si="2"/>
        <v/>
      </c>
      <c r="Y255" s="38" t="str">
        <f t="shared" si="3"/>
        <v/>
      </c>
      <c r="Z255" s="38" t="str">
        <f t="shared" si="4"/>
        <v/>
      </c>
      <c r="AA255" s="38" t="str">
        <f t="shared" si="5"/>
        <v/>
      </c>
      <c r="AB255" s="68" t="str">
        <f t="shared" si="6"/>
        <v/>
      </c>
      <c r="AC255" s="38" t="str">
        <f t="shared" si="7"/>
        <v/>
      </c>
      <c r="AP255" s="94"/>
    </row>
    <row r="256">
      <c r="R256" s="93"/>
      <c r="S256" s="68" t="str">
        <f t="shared" si="1"/>
        <v/>
      </c>
      <c r="T256" s="38" t="str">
        <f>IFERROR(__xludf.DUMMYFUNCTION("IFERROR(
  TRIM(REGEXEXTRACT(H256,""\(Event\)\s*([^,]+)"")),
  IF(V256="""","""",IF(V256=""CASWJ"",""General / No Specific Project"",""General - ""&amp;V256))
)"),"")</f>
        <v/>
      </c>
      <c r="W256" s="38"/>
      <c r="X256" s="38" t="str">
        <f t="shared" si="2"/>
        <v/>
      </c>
      <c r="Y256" s="38" t="str">
        <f t="shared" si="3"/>
        <v/>
      </c>
      <c r="Z256" s="38" t="str">
        <f t="shared" si="4"/>
        <v/>
      </c>
      <c r="AA256" s="38" t="str">
        <f t="shared" si="5"/>
        <v/>
      </c>
      <c r="AB256" s="68" t="str">
        <f t="shared" si="6"/>
        <v/>
      </c>
      <c r="AC256" s="38" t="str">
        <f t="shared" si="7"/>
        <v/>
      </c>
      <c r="AP256" s="94"/>
    </row>
    <row r="257">
      <c r="R257" s="93"/>
      <c r="S257" s="68" t="str">
        <f t="shared" si="1"/>
        <v/>
      </c>
      <c r="T257" s="38" t="str">
        <f>IFERROR(__xludf.DUMMYFUNCTION("IFERROR(
  TRIM(REGEXEXTRACT(H257,""\(Event\)\s*([^,]+)"")),
  IF(V257="""","""",IF(V257=""CASWJ"",""General / No Specific Project"",""General - ""&amp;V257))
)"),"")</f>
        <v/>
      </c>
      <c r="W257" s="38"/>
      <c r="X257" s="38" t="str">
        <f t="shared" si="2"/>
        <v/>
      </c>
      <c r="Y257" s="38" t="str">
        <f t="shared" si="3"/>
        <v/>
      </c>
      <c r="Z257" s="38" t="str">
        <f t="shared" si="4"/>
        <v/>
      </c>
      <c r="AA257" s="38" t="str">
        <f t="shared" si="5"/>
        <v/>
      </c>
      <c r="AB257" s="68" t="str">
        <f t="shared" si="6"/>
        <v/>
      </c>
      <c r="AC257" s="38" t="str">
        <f t="shared" si="7"/>
        <v/>
      </c>
      <c r="AP257" s="94"/>
    </row>
    <row r="258">
      <c r="R258" s="93"/>
      <c r="S258" s="68" t="str">
        <f t="shared" si="1"/>
        <v/>
      </c>
      <c r="T258" s="38" t="str">
        <f>IFERROR(__xludf.DUMMYFUNCTION("IFERROR(
  TRIM(REGEXEXTRACT(H258,""\(Event\)\s*([^,]+)"")),
  IF(V258="""","""",IF(V258=""CASWJ"",""General / No Specific Project"",""General - ""&amp;V258))
)"),"")</f>
        <v/>
      </c>
      <c r="W258" s="38"/>
      <c r="X258" s="38" t="str">
        <f t="shared" si="2"/>
        <v/>
      </c>
      <c r="Y258" s="38" t="str">
        <f t="shared" si="3"/>
        <v/>
      </c>
      <c r="Z258" s="38" t="str">
        <f t="shared" si="4"/>
        <v/>
      </c>
      <c r="AA258" s="38" t="str">
        <f t="shared" si="5"/>
        <v/>
      </c>
      <c r="AB258" s="68" t="str">
        <f t="shared" si="6"/>
        <v/>
      </c>
      <c r="AC258" s="38" t="str">
        <f t="shared" si="7"/>
        <v/>
      </c>
      <c r="AP258" s="94"/>
    </row>
    <row r="259">
      <c r="R259" s="93"/>
      <c r="S259" s="68" t="str">
        <f t="shared" si="1"/>
        <v/>
      </c>
      <c r="T259" s="38" t="str">
        <f>IFERROR(__xludf.DUMMYFUNCTION("IFERROR(
  TRIM(REGEXEXTRACT(H259,""\(Event\)\s*([^,]+)"")),
  IF(V259="""","""",IF(V259=""CASWJ"",""General / No Specific Project"",""General - ""&amp;V259))
)"),"")</f>
        <v/>
      </c>
      <c r="W259" s="38"/>
      <c r="X259" s="38" t="str">
        <f t="shared" si="2"/>
        <v/>
      </c>
      <c r="Y259" s="38" t="str">
        <f t="shared" si="3"/>
        <v/>
      </c>
      <c r="Z259" s="38" t="str">
        <f t="shared" si="4"/>
        <v/>
      </c>
      <c r="AA259" s="38" t="str">
        <f t="shared" si="5"/>
        <v/>
      </c>
      <c r="AB259" s="68" t="str">
        <f t="shared" si="6"/>
        <v/>
      </c>
      <c r="AC259" s="38" t="str">
        <f t="shared" si="7"/>
        <v/>
      </c>
      <c r="AP259" s="94"/>
    </row>
    <row r="260">
      <c r="R260" s="93"/>
      <c r="S260" s="68" t="str">
        <f t="shared" si="1"/>
        <v/>
      </c>
      <c r="T260" s="38" t="str">
        <f>IFERROR(__xludf.DUMMYFUNCTION("IFERROR(
  TRIM(REGEXEXTRACT(H260,""\(Event\)\s*([^,]+)"")),
  IF(V260="""","""",IF(V260=""CASWJ"",""General / No Specific Project"",""General - ""&amp;V260))
)"),"")</f>
        <v/>
      </c>
      <c r="W260" s="38"/>
      <c r="X260" s="38" t="str">
        <f t="shared" si="2"/>
        <v/>
      </c>
      <c r="Y260" s="38" t="str">
        <f t="shared" si="3"/>
        <v/>
      </c>
      <c r="Z260" s="38" t="str">
        <f t="shared" si="4"/>
        <v/>
      </c>
      <c r="AA260" s="38" t="str">
        <f t="shared" si="5"/>
        <v/>
      </c>
      <c r="AB260" s="68" t="str">
        <f t="shared" si="6"/>
        <v/>
      </c>
      <c r="AC260" s="38" t="str">
        <f t="shared" si="7"/>
        <v/>
      </c>
      <c r="AP260" s="94"/>
    </row>
    <row r="261">
      <c r="R261" s="93"/>
      <c r="S261" s="68" t="str">
        <f t="shared" si="1"/>
        <v/>
      </c>
      <c r="T261" s="38" t="str">
        <f>IFERROR(__xludf.DUMMYFUNCTION("IFERROR(
  TRIM(REGEXEXTRACT(H261,""\(Event\)\s*([^,]+)"")),
  IF(V261="""","""",IF(V261=""CASWJ"",""General / No Specific Project"",""General - ""&amp;V261))
)"),"")</f>
        <v/>
      </c>
      <c r="W261" s="38"/>
      <c r="X261" s="38" t="str">
        <f t="shared" si="2"/>
        <v/>
      </c>
      <c r="Y261" s="38" t="str">
        <f t="shared" si="3"/>
        <v/>
      </c>
      <c r="Z261" s="38" t="str">
        <f t="shared" si="4"/>
        <v/>
      </c>
      <c r="AA261" s="38" t="str">
        <f t="shared" si="5"/>
        <v/>
      </c>
      <c r="AB261" s="68" t="str">
        <f t="shared" si="6"/>
        <v/>
      </c>
      <c r="AC261" s="38" t="str">
        <f t="shared" si="7"/>
        <v/>
      </c>
      <c r="AP261" s="94"/>
    </row>
    <row r="262">
      <c r="R262" s="93"/>
      <c r="S262" s="68" t="str">
        <f t="shared" si="1"/>
        <v/>
      </c>
      <c r="T262" s="38" t="str">
        <f>IFERROR(__xludf.DUMMYFUNCTION("IFERROR(
  TRIM(REGEXEXTRACT(H262,""\(Event\)\s*([^,]+)"")),
  IF(V262="""","""",IF(V262=""CASWJ"",""General / No Specific Project"",""General - ""&amp;V262))
)"),"")</f>
        <v/>
      </c>
      <c r="W262" s="38"/>
      <c r="X262" s="38" t="str">
        <f t="shared" si="2"/>
        <v/>
      </c>
      <c r="Y262" s="38" t="str">
        <f t="shared" si="3"/>
        <v/>
      </c>
      <c r="Z262" s="38" t="str">
        <f t="shared" si="4"/>
        <v/>
      </c>
      <c r="AA262" s="38" t="str">
        <f t="shared" si="5"/>
        <v/>
      </c>
      <c r="AB262" s="68" t="str">
        <f t="shared" si="6"/>
        <v/>
      </c>
      <c r="AC262" s="38" t="str">
        <f t="shared" si="7"/>
        <v/>
      </c>
      <c r="AP262" s="94"/>
    </row>
    <row r="263">
      <c r="R263" s="93"/>
      <c r="S263" s="68" t="str">
        <f t="shared" si="1"/>
        <v/>
      </c>
      <c r="T263" s="38" t="str">
        <f>IFERROR(__xludf.DUMMYFUNCTION("IFERROR(
  TRIM(REGEXEXTRACT(H263,""\(Event\)\s*([^,]+)"")),
  IF(V263="""","""",IF(V263=""CASWJ"",""General / No Specific Project"",""General - ""&amp;V263))
)"),"")</f>
        <v/>
      </c>
      <c r="W263" s="38"/>
      <c r="X263" s="38" t="str">
        <f t="shared" si="2"/>
        <v/>
      </c>
      <c r="Y263" s="38" t="str">
        <f t="shared" si="3"/>
        <v/>
      </c>
      <c r="Z263" s="38" t="str">
        <f t="shared" si="4"/>
        <v/>
      </c>
      <c r="AA263" s="38" t="str">
        <f t="shared" si="5"/>
        <v/>
      </c>
      <c r="AB263" s="68" t="str">
        <f t="shared" si="6"/>
        <v/>
      </c>
      <c r="AC263" s="38" t="str">
        <f t="shared" si="7"/>
        <v/>
      </c>
      <c r="AP263" s="94"/>
    </row>
    <row r="264">
      <c r="R264" s="93"/>
      <c r="S264" s="68" t="str">
        <f t="shared" si="1"/>
        <v/>
      </c>
      <c r="T264" s="38" t="str">
        <f>IFERROR(__xludf.DUMMYFUNCTION("IFERROR(
  TRIM(REGEXEXTRACT(H264,""\(Event\)\s*([^,]+)"")),
  IF(V264="""","""",IF(V264=""CASWJ"",""General / No Specific Project"",""General - ""&amp;V264))
)"),"")</f>
        <v/>
      </c>
      <c r="W264" s="38"/>
      <c r="X264" s="38" t="str">
        <f t="shared" si="2"/>
        <v/>
      </c>
      <c r="Y264" s="38" t="str">
        <f t="shared" si="3"/>
        <v/>
      </c>
      <c r="Z264" s="38" t="str">
        <f t="shared" si="4"/>
        <v/>
      </c>
      <c r="AA264" s="38" t="str">
        <f t="shared" si="5"/>
        <v/>
      </c>
      <c r="AB264" s="68" t="str">
        <f t="shared" si="6"/>
        <v/>
      </c>
      <c r="AC264" s="38" t="str">
        <f t="shared" si="7"/>
        <v/>
      </c>
      <c r="AP264" s="94"/>
    </row>
    <row r="265">
      <c r="R265" s="93"/>
      <c r="S265" s="68" t="str">
        <f t="shared" si="1"/>
        <v/>
      </c>
      <c r="T265" s="38" t="str">
        <f>IFERROR(__xludf.DUMMYFUNCTION("IFERROR(
  TRIM(REGEXEXTRACT(H265,""\(Event\)\s*([^,]+)"")),
  IF(V265="""","""",IF(V265=""CASWJ"",""General / No Specific Project"",""General - ""&amp;V265))
)"),"")</f>
        <v/>
      </c>
      <c r="W265" s="38"/>
      <c r="X265" s="38" t="str">
        <f t="shared" si="2"/>
        <v/>
      </c>
      <c r="Y265" s="38" t="str">
        <f t="shared" si="3"/>
        <v/>
      </c>
      <c r="Z265" s="38" t="str">
        <f t="shared" si="4"/>
        <v/>
      </c>
      <c r="AA265" s="38" t="str">
        <f t="shared" si="5"/>
        <v/>
      </c>
      <c r="AB265" s="68" t="str">
        <f t="shared" si="6"/>
        <v/>
      </c>
      <c r="AC265" s="38" t="str">
        <f t="shared" si="7"/>
        <v/>
      </c>
      <c r="AP265" s="94"/>
    </row>
    <row r="266">
      <c r="R266" s="93"/>
      <c r="S266" s="68" t="str">
        <f t="shared" si="1"/>
        <v/>
      </c>
      <c r="T266" s="38" t="str">
        <f>IFERROR(__xludf.DUMMYFUNCTION("IFERROR(
  TRIM(REGEXEXTRACT(H266,""\(Event\)\s*([^,]+)"")),
  IF(V266="""","""",IF(V266=""CASWJ"",""General / No Specific Project"",""General - ""&amp;V266))
)"),"")</f>
        <v/>
      </c>
      <c r="W266" s="38"/>
      <c r="X266" s="38" t="str">
        <f t="shared" si="2"/>
        <v/>
      </c>
      <c r="Y266" s="38" t="str">
        <f t="shared" si="3"/>
        <v/>
      </c>
      <c r="Z266" s="38" t="str">
        <f t="shared" si="4"/>
        <v/>
      </c>
      <c r="AA266" s="38" t="str">
        <f t="shared" si="5"/>
        <v/>
      </c>
      <c r="AB266" s="68" t="str">
        <f t="shared" si="6"/>
        <v/>
      </c>
      <c r="AC266" s="38" t="str">
        <f t="shared" si="7"/>
        <v/>
      </c>
      <c r="AP266" s="94"/>
    </row>
    <row r="267">
      <c r="R267" s="93"/>
      <c r="S267" s="68" t="str">
        <f t="shared" si="1"/>
        <v/>
      </c>
      <c r="T267" s="38" t="str">
        <f>IFERROR(__xludf.DUMMYFUNCTION("IFERROR(
  TRIM(REGEXEXTRACT(H267,""\(Event\)\s*([^,]+)"")),
  IF(V267="""","""",IF(V267=""CASWJ"",""General / No Specific Project"",""General - ""&amp;V267))
)"),"")</f>
        <v/>
      </c>
      <c r="W267" s="38"/>
      <c r="X267" s="38" t="str">
        <f t="shared" si="2"/>
        <v/>
      </c>
      <c r="Y267" s="38" t="str">
        <f t="shared" si="3"/>
        <v/>
      </c>
      <c r="Z267" s="38" t="str">
        <f t="shared" si="4"/>
        <v/>
      </c>
      <c r="AA267" s="38" t="str">
        <f t="shared" si="5"/>
        <v/>
      </c>
      <c r="AB267" s="68" t="str">
        <f t="shared" si="6"/>
        <v/>
      </c>
      <c r="AC267" s="38" t="str">
        <f t="shared" si="7"/>
        <v/>
      </c>
      <c r="AP267" s="94"/>
    </row>
    <row r="268">
      <c r="R268" s="93"/>
      <c r="S268" s="68" t="str">
        <f t="shared" si="1"/>
        <v/>
      </c>
      <c r="T268" s="38" t="str">
        <f>IFERROR(__xludf.DUMMYFUNCTION("IFERROR(
  TRIM(REGEXEXTRACT(H268,""\(Event\)\s*([^,]+)"")),
  IF(V268="""","""",IF(V268=""CASWJ"",""General / No Specific Project"",""General - ""&amp;V268))
)"),"")</f>
        <v/>
      </c>
      <c r="W268" s="38"/>
      <c r="X268" s="38" t="str">
        <f t="shared" si="2"/>
        <v/>
      </c>
      <c r="Y268" s="38" t="str">
        <f t="shared" si="3"/>
        <v/>
      </c>
      <c r="Z268" s="38" t="str">
        <f t="shared" si="4"/>
        <v/>
      </c>
      <c r="AA268" s="38" t="str">
        <f t="shared" si="5"/>
        <v/>
      </c>
      <c r="AB268" s="68" t="str">
        <f t="shared" si="6"/>
        <v/>
      </c>
      <c r="AC268" s="38" t="str">
        <f t="shared" si="7"/>
        <v/>
      </c>
      <c r="AP268" s="94"/>
    </row>
    <row r="269">
      <c r="R269" s="93"/>
      <c r="S269" s="68" t="str">
        <f t="shared" si="1"/>
        <v/>
      </c>
      <c r="T269" s="38" t="str">
        <f>IFERROR(__xludf.DUMMYFUNCTION("IFERROR(
  TRIM(REGEXEXTRACT(H269,""\(Event\)\s*([^,]+)"")),
  IF(V269="""","""",IF(V269=""CASWJ"",""General / No Specific Project"",""General - ""&amp;V269))
)"),"")</f>
        <v/>
      </c>
      <c r="W269" s="38"/>
      <c r="X269" s="38" t="str">
        <f t="shared" si="2"/>
        <v/>
      </c>
      <c r="Y269" s="38" t="str">
        <f t="shared" si="3"/>
        <v/>
      </c>
      <c r="Z269" s="38" t="str">
        <f t="shared" si="4"/>
        <v/>
      </c>
      <c r="AA269" s="38" t="str">
        <f t="shared" si="5"/>
        <v/>
      </c>
      <c r="AB269" s="68" t="str">
        <f t="shared" si="6"/>
        <v/>
      </c>
      <c r="AC269" s="38" t="str">
        <f t="shared" si="7"/>
        <v/>
      </c>
      <c r="AP269" s="94"/>
    </row>
    <row r="270">
      <c r="R270" s="93"/>
      <c r="S270" s="68" t="str">
        <f t="shared" si="1"/>
        <v/>
      </c>
      <c r="T270" s="38" t="str">
        <f>IFERROR(__xludf.DUMMYFUNCTION("IFERROR(
  TRIM(REGEXEXTRACT(H270,""\(Event\)\s*([^,]+)"")),
  IF(V270="""","""",IF(V270=""CASWJ"",""General / No Specific Project"",""General - ""&amp;V270))
)"),"")</f>
        <v/>
      </c>
      <c r="W270" s="38"/>
      <c r="X270" s="38" t="str">
        <f t="shared" si="2"/>
        <v/>
      </c>
      <c r="Y270" s="38" t="str">
        <f t="shared" si="3"/>
        <v/>
      </c>
      <c r="Z270" s="38" t="str">
        <f t="shared" si="4"/>
        <v/>
      </c>
      <c r="AA270" s="38" t="str">
        <f t="shared" si="5"/>
        <v/>
      </c>
      <c r="AB270" s="68" t="str">
        <f t="shared" si="6"/>
        <v/>
      </c>
      <c r="AC270" s="38" t="str">
        <f t="shared" si="7"/>
        <v/>
      </c>
      <c r="AP270" s="94"/>
    </row>
    <row r="271">
      <c r="R271" s="93"/>
      <c r="S271" s="68" t="str">
        <f t="shared" si="1"/>
        <v/>
      </c>
      <c r="T271" s="38" t="str">
        <f>IFERROR(__xludf.DUMMYFUNCTION("IFERROR(
  TRIM(REGEXEXTRACT(H271,""\(Event\)\s*([^,]+)"")),
  IF(V271="""","""",IF(V271=""CASWJ"",""General / No Specific Project"",""General - ""&amp;V271))
)"),"")</f>
        <v/>
      </c>
      <c r="W271" s="38"/>
      <c r="X271" s="38" t="str">
        <f t="shared" si="2"/>
        <v/>
      </c>
      <c r="Y271" s="38" t="str">
        <f t="shared" si="3"/>
        <v/>
      </c>
      <c r="Z271" s="38" t="str">
        <f t="shared" si="4"/>
        <v/>
      </c>
      <c r="AA271" s="38" t="str">
        <f t="shared" si="5"/>
        <v/>
      </c>
      <c r="AB271" s="68" t="str">
        <f t="shared" si="6"/>
        <v/>
      </c>
      <c r="AC271" s="38" t="str">
        <f t="shared" si="7"/>
        <v/>
      </c>
      <c r="AP271" s="94"/>
    </row>
    <row r="272">
      <c r="R272" s="93"/>
      <c r="S272" s="68" t="str">
        <f t="shared" si="1"/>
        <v/>
      </c>
      <c r="T272" s="38" t="str">
        <f>IFERROR(__xludf.DUMMYFUNCTION("IFERROR(
  TRIM(REGEXEXTRACT(H272,""\(Event\)\s*([^,]+)"")),
  IF(V272="""","""",IF(V272=""CASWJ"",""General / No Specific Project"",""General - ""&amp;V272))
)"),"")</f>
        <v/>
      </c>
      <c r="W272" s="38"/>
      <c r="X272" s="38" t="str">
        <f t="shared" si="2"/>
        <v/>
      </c>
      <c r="Y272" s="38" t="str">
        <f t="shared" si="3"/>
        <v/>
      </c>
      <c r="Z272" s="38" t="str">
        <f t="shared" si="4"/>
        <v/>
      </c>
      <c r="AA272" s="38" t="str">
        <f t="shared" si="5"/>
        <v/>
      </c>
      <c r="AB272" s="68" t="str">
        <f t="shared" si="6"/>
        <v/>
      </c>
      <c r="AC272" s="38" t="str">
        <f t="shared" si="7"/>
        <v/>
      </c>
      <c r="AP272" s="94"/>
    </row>
    <row r="273">
      <c r="R273" s="93"/>
      <c r="S273" s="68" t="str">
        <f t="shared" si="1"/>
        <v/>
      </c>
      <c r="T273" s="38" t="str">
        <f>IFERROR(__xludf.DUMMYFUNCTION("IFERROR(
  TRIM(REGEXEXTRACT(H273,""\(Event\)\s*([^,]+)"")),
  IF(V273="""","""",IF(V273=""CASWJ"",""General / No Specific Project"",""General - ""&amp;V273))
)"),"")</f>
        <v/>
      </c>
      <c r="W273" s="38"/>
      <c r="X273" s="38" t="str">
        <f t="shared" si="2"/>
        <v/>
      </c>
      <c r="Y273" s="38" t="str">
        <f t="shared" si="3"/>
        <v/>
      </c>
      <c r="Z273" s="38" t="str">
        <f t="shared" si="4"/>
        <v/>
      </c>
      <c r="AA273" s="38" t="str">
        <f t="shared" si="5"/>
        <v/>
      </c>
      <c r="AB273" s="68" t="str">
        <f t="shared" si="6"/>
        <v/>
      </c>
      <c r="AC273" s="38" t="str">
        <f t="shared" si="7"/>
        <v/>
      </c>
      <c r="AP273" s="94"/>
    </row>
    <row r="274">
      <c r="R274" s="93"/>
      <c r="S274" s="68" t="str">
        <f t="shared" si="1"/>
        <v/>
      </c>
      <c r="T274" s="38" t="str">
        <f>IFERROR(__xludf.DUMMYFUNCTION("IFERROR(
  TRIM(REGEXEXTRACT(H274,""\(Event\)\s*([^,]+)"")),
  IF(V274="""","""",IF(V274=""CASWJ"",""General / No Specific Project"",""General - ""&amp;V274))
)"),"")</f>
        <v/>
      </c>
      <c r="W274" s="38"/>
      <c r="X274" s="38" t="str">
        <f t="shared" si="2"/>
        <v/>
      </c>
      <c r="Y274" s="38" t="str">
        <f t="shared" si="3"/>
        <v/>
      </c>
      <c r="Z274" s="38" t="str">
        <f t="shared" si="4"/>
        <v/>
      </c>
      <c r="AA274" s="38" t="str">
        <f t="shared" si="5"/>
        <v/>
      </c>
      <c r="AB274" s="68" t="str">
        <f t="shared" si="6"/>
        <v/>
      </c>
      <c r="AC274" s="38" t="str">
        <f t="shared" si="7"/>
        <v/>
      </c>
      <c r="AP274" s="94"/>
    </row>
    <row r="275">
      <c r="R275" s="93"/>
      <c r="S275" s="68" t="str">
        <f t="shared" si="1"/>
        <v/>
      </c>
      <c r="T275" s="38" t="str">
        <f>IFERROR(__xludf.DUMMYFUNCTION("IFERROR(
  TRIM(REGEXEXTRACT(H275,""\(Event\)\s*([^,]+)"")),
  IF(V275="""","""",IF(V275=""CASWJ"",""General / No Specific Project"",""General - ""&amp;V275))
)"),"")</f>
        <v/>
      </c>
      <c r="W275" s="38"/>
      <c r="X275" s="38" t="str">
        <f t="shared" si="2"/>
        <v/>
      </c>
      <c r="Y275" s="38" t="str">
        <f t="shared" si="3"/>
        <v/>
      </c>
      <c r="Z275" s="38" t="str">
        <f t="shared" si="4"/>
        <v/>
      </c>
      <c r="AA275" s="38" t="str">
        <f t="shared" si="5"/>
        <v/>
      </c>
      <c r="AB275" s="68" t="str">
        <f t="shared" si="6"/>
        <v/>
      </c>
      <c r="AC275" s="38" t="str">
        <f t="shared" si="7"/>
        <v/>
      </c>
      <c r="AP275" s="94"/>
    </row>
    <row r="276">
      <c r="R276" s="93"/>
      <c r="S276" s="68" t="str">
        <f t="shared" si="1"/>
        <v/>
      </c>
      <c r="T276" s="38" t="str">
        <f>IFERROR(__xludf.DUMMYFUNCTION("IFERROR(
  TRIM(REGEXEXTRACT(H276,""\(Event\)\s*([^,]+)"")),
  IF(V276="""","""",IF(V276=""CASWJ"",""General / No Specific Project"",""General - ""&amp;V276))
)"),"")</f>
        <v/>
      </c>
      <c r="W276" s="38"/>
      <c r="X276" s="38" t="str">
        <f t="shared" si="2"/>
        <v/>
      </c>
      <c r="Y276" s="38" t="str">
        <f t="shared" si="3"/>
        <v/>
      </c>
      <c r="Z276" s="38" t="str">
        <f t="shared" si="4"/>
        <v/>
      </c>
      <c r="AA276" s="38" t="str">
        <f t="shared" si="5"/>
        <v/>
      </c>
      <c r="AB276" s="68" t="str">
        <f t="shared" si="6"/>
        <v/>
      </c>
      <c r="AC276" s="38" t="str">
        <f t="shared" si="7"/>
        <v/>
      </c>
      <c r="AP276" s="94"/>
    </row>
    <row r="277">
      <c r="R277" s="93"/>
      <c r="S277" s="68" t="str">
        <f t="shared" si="1"/>
        <v/>
      </c>
      <c r="T277" s="38" t="str">
        <f>IFERROR(__xludf.DUMMYFUNCTION("IFERROR(
  TRIM(REGEXEXTRACT(H277,""\(Event\)\s*([^,]+)"")),
  IF(V277="""","""",IF(V277=""CASWJ"",""General / No Specific Project"",""General - ""&amp;V277))
)"),"")</f>
        <v/>
      </c>
      <c r="W277" s="38"/>
      <c r="X277" s="38" t="str">
        <f t="shared" si="2"/>
        <v/>
      </c>
      <c r="Y277" s="38" t="str">
        <f t="shared" si="3"/>
        <v/>
      </c>
      <c r="Z277" s="38" t="str">
        <f t="shared" si="4"/>
        <v/>
      </c>
      <c r="AA277" s="38" t="str">
        <f t="shared" si="5"/>
        <v/>
      </c>
      <c r="AB277" s="68" t="str">
        <f t="shared" si="6"/>
        <v/>
      </c>
      <c r="AC277" s="38" t="str">
        <f t="shared" si="7"/>
        <v/>
      </c>
      <c r="AP277" s="94"/>
    </row>
    <row r="278">
      <c r="R278" s="93"/>
      <c r="S278" s="68" t="str">
        <f t="shared" si="1"/>
        <v/>
      </c>
      <c r="T278" s="38" t="str">
        <f>IFERROR(__xludf.DUMMYFUNCTION("IFERROR(
  TRIM(REGEXEXTRACT(H278,""\(Event\)\s*([^,]+)"")),
  IF(V278="""","""",IF(V278=""CASWJ"",""General / No Specific Project"",""General - ""&amp;V278))
)"),"")</f>
        <v/>
      </c>
      <c r="W278" s="38"/>
      <c r="X278" s="38" t="str">
        <f t="shared" si="2"/>
        <v/>
      </c>
      <c r="Y278" s="38" t="str">
        <f t="shared" si="3"/>
        <v/>
      </c>
      <c r="Z278" s="38" t="str">
        <f t="shared" si="4"/>
        <v/>
      </c>
      <c r="AA278" s="38" t="str">
        <f t="shared" si="5"/>
        <v/>
      </c>
      <c r="AB278" s="68" t="str">
        <f t="shared" si="6"/>
        <v/>
      </c>
      <c r="AC278" s="38" t="str">
        <f t="shared" si="7"/>
        <v/>
      </c>
      <c r="AP278" s="94"/>
    </row>
    <row r="279">
      <c r="R279" s="93"/>
      <c r="S279" s="68" t="str">
        <f t="shared" si="1"/>
        <v/>
      </c>
      <c r="T279" s="38" t="str">
        <f>IFERROR(__xludf.DUMMYFUNCTION("IFERROR(
  TRIM(REGEXEXTRACT(H279,""\(Event\)\s*([^,]+)"")),
  IF(V279="""","""",IF(V279=""CASWJ"",""General / No Specific Project"",""General - ""&amp;V279))
)"),"")</f>
        <v/>
      </c>
      <c r="W279" s="38"/>
      <c r="X279" s="38" t="str">
        <f t="shared" si="2"/>
        <v/>
      </c>
      <c r="Y279" s="38" t="str">
        <f t="shared" si="3"/>
        <v/>
      </c>
      <c r="Z279" s="38" t="str">
        <f t="shared" si="4"/>
        <v/>
      </c>
      <c r="AA279" s="38" t="str">
        <f t="shared" si="5"/>
        <v/>
      </c>
      <c r="AB279" s="68" t="str">
        <f t="shared" si="6"/>
        <v/>
      </c>
      <c r="AC279" s="38" t="str">
        <f t="shared" si="7"/>
        <v/>
      </c>
      <c r="AP279" s="94"/>
    </row>
    <row r="280">
      <c r="R280" s="93"/>
      <c r="S280" s="68" t="str">
        <f t="shared" si="1"/>
        <v/>
      </c>
      <c r="T280" s="38" t="str">
        <f>IFERROR(__xludf.DUMMYFUNCTION("IFERROR(
  TRIM(REGEXEXTRACT(H280,""\(Event\)\s*([^,]+)"")),
  IF(V280="""","""",IF(V280=""CASWJ"",""General / No Specific Project"",""General - ""&amp;V280))
)"),"")</f>
        <v/>
      </c>
      <c r="W280" s="38"/>
      <c r="X280" s="38" t="str">
        <f t="shared" si="2"/>
        <v/>
      </c>
      <c r="Y280" s="38" t="str">
        <f t="shared" si="3"/>
        <v/>
      </c>
      <c r="Z280" s="38" t="str">
        <f t="shared" si="4"/>
        <v/>
      </c>
      <c r="AA280" s="38" t="str">
        <f t="shared" si="5"/>
        <v/>
      </c>
      <c r="AB280" s="68" t="str">
        <f t="shared" si="6"/>
        <v/>
      </c>
      <c r="AC280" s="38" t="str">
        <f t="shared" si="7"/>
        <v/>
      </c>
      <c r="AP280" s="94"/>
    </row>
    <row r="281">
      <c r="R281" s="93"/>
      <c r="S281" s="68" t="str">
        <f t="shared" si="1"/>
        <v/>
      </c>
      <c r="T281" s="38" t="str">
        <f>IFERROR(__xludf.DUMMYFUNCTION("IFERROR(
  TRIM(REGEXEXTRACT(H281,""\(Event\)\s*([^,]+)"")),
  IF(V281="""","""",IF(V281=""CASWJ"",""General / No Specific Project"",""General - ""&amp;V281))
)"),"")</f>
        <v/>
      </c>
      <c r="W281" s="38"/>
      <c r="X281" s="38" t="str">
        <f t="shared" si="2"/>
        <v/>
      </c>
      <c r="Y281" s="38" t="str">
        <f t="shared" si="3"/>
        <v/>
      </c>
      <c r="Z281" s="38" t="str">
        <f t="shared" si="4"/>
        <v/>
      </c>
      <c r="AA281" s="38" t="str">
        <f t="shared" si="5"/>
        <v/>
      </c>
      <c r="AB281" s="68" t="str">
        <f t="shared" si="6"/>
        <v/>
      </c>
      <c r="AC281" s="38" t="str">
        <f t="shared" si="7"/>
        <v/>
      </c>
      <c r="AP281" s="94"/>
    </row>
    <row r="282">
      <c r="R282" s="93"/>
      <c r="S282" s="68" t="str">
        <f t="shared" si="1"/>
        <v/>
      </c>
      <c r="T282" s="38" t="str">
        <f>IFERROR(__xludf.DUMMYFUNCTION("IFERROR(
  TRIM(REGEXEXTRACT(H282,""\(Event\)\s*([^,]+)"")),
  IF(V282="""","""",IF(V282=""CASWJ"",""General / No Specific Project"",""General - ""&amp;V282))
)"),"")</f>
        <v/>
      </c>
      <c r="W282" s="38"/>
      <c r="X282" s="38" t="str">
        <f t="shared" si="2"/>
        <v/>
      </c>
      <c r="Y282" s="38" t="str">
        <f t="shared" si="3"/>
        <v/>
      </c>
      <c r="Z282" s="38" t="str">
        <f t="shared" si="4"/>
        <v/>
      </c>
      <c r="AA282" s="38" t="str">
        <f t="shared" si="5"/>
        <v/>
      </c>
      <c r="AB282" s="68" t="str">
        <f t="shared" si="6"/>
        <v/>
      </c>
      <c r="AC282" s="38" t="str">
        <f t="shared" si="7"/>
        <v/>
      </c>
      <c r="AP282" s="94"/>
    </row>
    <row r="283">
      <c r="R283" s="93"/>
      <c r="S283" s="68" t="str">
        <f t="shared" si="1"/>
        <v/>
      </c>
      <c r="T283" s="38" t="str">
        <f>IFERROR(__xludf.DUMMYFUNCTION("IFERROR(
  TRIM(REGEXEXTRACT(H283,""\(Event\)\s*([^,]+)"")),
  IF(V283="""","""",IF(V283=""CASWJ"",""General / No Specific Project"",""General - ""&amp;V283))
)"),"")</f>
        <v/>
      </c>
      <c r="W283" s="38"/>
      <c r="X283" s="38" t="str">
        <f t="shared" si="2"/>
        <v/>
      </c>
      <c r="Y283" s="38" t="str">
        <f t="shared" si="3"/>
        <v/>
      </c>
      <c r="Z283" s="38" t="str">
        <f t="shared" si="4"/>
        <v/>
      </c>
      <c r="AA283" s="38" t="str">
        <f t="shared" si="5"/>
        <v/>
      </c>
      <c r="AB283" s="68" t="str">
        <f t="shared" si="6"/>
        <v/>
      </c>
      <c r="AC283" s="38" t="str">
        <f t="shared" si="7"/>
        <v/>
      </c>
      <c r="AP283" s="94"/>
    </row>
    <row r="284">
      <c r="R284" s="93"/>
      <c r="S284" s="68" t="str">
        <f t="shared" si="1"/>
        <v/>
      </c>
      <c r="T284" s="38" t="str">
        <f>IFERROR(__xludf.DUMMYFUNCTION("IFERROR(
  TRIM(REGEXEXTRACT(H284,""\(Event\)\s*([^,]+)"")),
  IF(V284="""","""",IF(V284=""CASWJ"",""General / No Specific Project"",""General - ""&amp;V284))
)"),"")</f>
        <v/>
      </c>
      <c r="W284" s="38"/>
      <c r="X284" s="38" t="str">
        <f t="shared" si="2"/>
        <v/>
      </c>
      <c r="Y284" s="38" t="str">
        <f t="shared" si="3"/>
        <v/>
      </c>
      <c r="Z284" s="38" t="str">
        <f t="shared" si="4"/>
        <v/>
      </c>
      <c r="AA284" s="38" t="str">
        <f t="shared" si="5"/>
        <v/>
      </c>
      <c r="AB284" s="68" t="str">
        <f t="shared" si="6"/>
        <v/>
      </c>
      <c r="AC284" s="38" t="str">
        <f t="shared" si="7"/>
        <v/>
      </c>
      <c r="AP284" s="94"/>
    </row>
    <row r="285">
      <c r="R285" s="93"/>
      <c r="S285" s="68" t="str">
        <f t="shared" si="1"/>
        <v/>
      </c>
      <c r="T285" s="38" t="str">
        <f>IFERROR(__xludf.DUMMYFUNCTION("IFERROR(
  TRIM(REGEXEXTRACT(H285,""\(Event\)\s*([^,]+)"")),
  IF(V285="""","""",IF(V285=""CASWJ"",""General / No Specific Project"",""General - ""&amp;V285))
)"),"")</f>
        <v/>
      </c>
      <c r="W285" s="38"/>
      <c r="X285" s="38" t="str">
        <f t="shared" si="2"/>
        <v/>
      </c>
      <c r="Y285" s="38" t="str">
        <f t="shared" si="3"/>
        <v/>
      </c>
      <c r="Z285" s="38" t="str">
        <f t="shared" si="4"/>
        <v/>
      </c>
      <c r="AA285" s="38" t="str">
        <f t="shared" si="5"/>
        <v/>
      </c>
      <c r="AB285" s="68" t="str">
        <f t="shared" si="6"/>
        <v/>
      </c>
      <c r="AC285" s="38" t="str">
        <f t="shared" si="7"/>
        <v/>
      </c>
      <c r="AP285" s="94"/>
    </row>
    <row r="286">
      <c r="R286" s="93"/>
      <c r="S286" s="68" t="str">
        <f t="shared" si="1"/>
        <v/>
      </c>
      <c r="T286" s="38" t="str">
        <f>IFERROR(__xludf.DUMMYFUNCTION("IFERROR(
  TRIM(REGEXEXTRACT(H286,""\(Event\)\s*([^,]+)"")),
  IF(V286="""","""",IF(V286=""CASWJ"",""General / No Specific Project"",""General - ""&amp;V286))
)"),"")</f>
        <v/>
      </c>
      <c r="W286" s="38"/>
      <c r="X286" s="38" t="str">
        <f t="shared" si="2"/>
        <v/>
      </c>
      <c r="Y286" s="38" t="str">
        <f t="shared" si="3"/>
        <v/>
      </c>
      <c r="Z286" s="38" t="str">
        <f t="shared" si="4"/>
        <v/>
      </c>
      <c r="AA286" s="38" t="str">
        <f t="shared" si="5"/>
        <v/>
      </c>
      <c r="AB286" s="68" t="str">
        <f t="shared" si="6"/>
        <v/>
      </c>
      <c r="AC286" s="38" t="str">
        <f t="shared" si="7"/>
        <v/>
      </c>
      <c r="AP286" s="94"/>
    </row>
    <row r="287">
      <c r="R287" s="93"/>
      <c r="S287" s="68" t="str">
        <f t="shared" si="1"/>
        <v/>
      </c>
      <c r="T287" s="38" t="str">
        <f>IFERROR(__xludf.DUMMYFUNCTION("IFERROR(
  TRIM(REGEXEXTRACT(H287,""\(Event\)\s*([^,]+)"")),
  IF(V287="""","""",IF(V287=""CASWJ"",""General / No Specific Project"",""General - ""&amp;V287))
)"),"")</f>
        <v/>
      </c>
      <c r="W287" s="38"/>
      <c r="X287" s="38" t="str">
        <f t="shared" si="2"/>
        <v/>
      </c>
      <c r="Y287" s="38" t="str">
        <f t="shared" si="3"/>
        <v/>
      </c>
      <c r="Z287" s="38" t="str">
        <f t="shared" si="4"/>
        <v/>
      </c>
      <c r="AA287" s="38" t="str">
        <f t="shared" si="5"/>
        <v/>
      </c>
      <c r="AB287" s="68" t="str">
        <f t="shared" si="6"/>
        <v/>
      </c>
      <c r="AC287" s="38" t="str">
        <f t="shared" si="7"/>
        <v/>
      </c>
      <c r="AP287" s="94"/>
    </row>
    <row r="288">
      <c r="R288" s="93"/>
      <c r="S288" s="68" t="str">
        <f t="shared" si="1"/>
        <v/>
      </c>
      <c r="T288" s="38" t="str">
        <f>IFERROR(__xludf.DUMMYFUNCTION("IFERROR(
  TRIM(REGEXEXTRACT(H288,""\(Event\)\s*([^,]+)"")),
  IF(V288="""","""",IF(V288=""CASWJ"",""General / No Specific Project"",""General - ""&amp;V288))
)"),"")</f>
        <v/>
      </c>
      <c r="U288" s="38" t="str">
        <f t="shared" ref="U288:U290" si="8">IF(E288="","",IFERROR(_xlfn.XLOOKUP(E288,$AD$2:$AD1000,$AF$2:$AF1000),""))</f>
        <v/>
      </c>
      <c r="W288" s="38"/>
      <c r="X288" s="38" t="str">
        <f t="shared" si="2"/>
        <v/>
      </c>
      <c r="Y288" s="38" t="str">
        <f t="shared" si="3"/>
        <v/>
      </c>
      <c r="Z288" s="38" t="str">
        <f t="shared" si="4"/>
        <v/>
      </c>
      <c r="AA288" s="38" t="str">
        <f t="shared" si="5"/>
        <v/>
      </c>
      <c r="AB288" s="68" t="str">
        <f t="shared" si="6"/>
        <v/>
      </c>
      <c r="AC288" s="38" t="str">
        <f t="shared" si="7"/>
        <v/>
      </c>
      <c r="AP288" s="94"/>
    </row>
    <row r="289">
      <c r="R289" s="93"/>
      <c r="S289" s="68" t="str">
        <f t="shared" si="1"/>
        <v/>
      </c>
      <c r="T289" s="38" t="str">
        <f>IFERROR(__xludf.DUMMYFUNCTION("IFERROR(
  TRIM(REGEXEXTRACT(H289,""\(Event\)\s*([^,]+)"")),
  IF(V289="""","""",IF(V289=""CASWJ"",""General / No Specific Project"",""General - ""&amp;V289))
)"),"")</f>
        <v/>
      </c>
      <c r="U289" s="38" t="str">
        <f t="shared" si="8"/>
        <v/>
      </c>
      <c r="W289" s="38"/>
      <c r="X289" s="38" t="str">
        <f t="shared" si="2"/>
        <v/>
      </c>
      <c r="Y289" s="38" t="str">
        <f t="shared" si="3"/>
        <v/>
      </c>
      <c r="Z289" s="38" t="str">
        <f t="shared" si="4"/>
        <v/>
      </c>
      <c r="AA289" s="38" t="str">
        <f t="shared" si="5"/>
        <v/>
      </c>
      <c r="AB289" s="68" t="str">
        <f t="shared" si="6"/>
        <v/>
      </c>
      <c r="AC289" s="38" t="str">
        <f t="shared" si="7"/>
        <v/>
      </c>
      <c r="AP289" s="94"/>
    </row>
    <row r="290">
      <c r="R290" s="93"/>
      <c r="S290" s="68" t="str">
        <f t="shared" si="1"/>
        <v/>
      </c>
      <c r="T290" s="38" t="str">
        <f>IFERROR(__xludf.DUMMYFUNCTION("IFERROR(
  TRIM(REGEXEXTRACT(H290,""\(Event\)\s*([^,]+)"")),
  IF(V290="""","""",IF(V290=""CASWJ"",""General / No Specific Project"",""General - ""&amp;V290))
)"),"")</f>
        <v/>
      </c>
      <c r="U290" s="38" t="str">
        <f t="shared" si="8"/>
        <v/>
      </c>
      <c r="W290" s="38"/>
      <c r="X290" s="38" t="str">
        <f t="shared" si="2"/>
        <v/>
      </c>
      <c r="Y290" s="38" t="str">
        <f t="shared" si="3"/>
        <v/>
      </c>
      <c r="Z290" s="38" t="str">
        <f t="shared" si="4"/>
        <v/>
      </c>
      <c r="AA290" s="38" t="str">
        <f t="shared" si="5"/>
        <v/>
      </c>
      <c r="AB290" s="68" t="str">
        <f t="shared" si="6"/>
        <v/>
      </c>
      <c r="AC290" s="38" t="str">
        <f t="shared" si="7"/>
        <v/>
      </c>
      <c r="AP290" s="94"/>
    </row>
    <row r="291">
      <c r="R291" s="93"/>
      <c r="S291" s="68"/>
      <c r="T291" s="38" t="str">
        <f>IFERROR(__xludf.DUMMYFUNCTION("IFERROR(
  TRIM(REGEXEXTRACT(H291,""\(Event\)\s*([^,]+)"")),
  IF(V291="""","""",IF(V291=""CASWJ"",""General / No Specific Project"",""General - ""&amp;V291))
)"),"")</f>
        <v/>
      </c>
      <c r="W291" s="38"/>
      <c r="AB291" s="68" t="str">
        <f t="shared" si="6"/>
        <v/>
      </c>
      <c r="AP291" s="94"/>
    </row>
    <row r="292">
      <c r="R292" s="93"/>
      <c r="S292" s="68"/>
      <c r="T292" s="38" t="str">
        <f>IFERROR(__xludf.DUMMYFUNCTION("IFERROR(
  TRIM(REGEXEXTRACT(H292,""\(Event\)\s*([^,]+)"")),
  IF(V292="""","""",IF(V292=""CASWJ"",""General / No Specific Project"",""General - ""&amp;V292))
)"),"")</f>
        <v/>
      </c>
      <c r="W292" s="38"/>
      <c r="AB292" s="68" t="str">
        <f t="shared" si="6"/>
        <v/>
      </c>
      <c r="AP292" s="94"/>
    </row>
    <row r="293">
      <c r="R293" s="93"/>
      <c r="S293" s="68"/>
      <c r="T293" s="38" t="str">
        <f>IFERROR(__xludf.DUMMYFUNCTION("IFERROR(
  TRIM(REGEXEXTRACT(H293,""\(Event\)\s*([^,]+)"")),
  IF(V293="""","""",IF(V293=""CASWJ"",""General / No Specific Project"",""General - ""&amp;V293))
)"),"")</f>
        <v/>
      </c>
      <c r="W293" s="38"/>
      <c r="AB293" s="68" t="str">
        <f t="shared" si="6"/>
        <v/>
      </c>
      <c r="AP293" s="94"/>
    </row>
    <row r="294">
      <c r="R294" s="93"/>
      <c r="S294" s="68"/>
      <c r="T294" s="38" t="str">
        <f>IFERROR(__xludf.DUMMYFUNCTION("IFERROR(
  TRIM(REGEXEXTRACT(H294,""\(Event\)\s*([^,]+)"")),
  IF(V294="""","""",IF(V294=""CASWJ"",""General / No Specific Project"",""General - ""&amp;V294))
)"),"")</f>
        <v/>
      </c>
      <c r="W294" s="38"/>
      <c r="AB294" s="68" t="str">
        <f t="shared" si="6"/>
        <v/>
      </c>
      <c r="AP294" s="94"/>
    </row>
    <row r="295">
      <c r="R295" s="93"/>
      <c r="S295" s="68"/>
      <c r="T295" s="38" t="str">
        <f>IFERROR(__xludf.DUMMYFUNCTION("IFERROR(
  TRIM(REGEXEXTRACT(H295,""\(Event\)\s*([^,]+)"")),
  IF(V295="""","""",IF(V295=""CASWJ"",""General / No Specific Project"",""General - ""&amp;V295))
)"),"")</f>
        <v/>
      </c>
      <c r="W295" s="38"/>
      <c r="AB295" s="68" t="str">
        <f t="shared" si="6"/>
        <v/>
      </c>
      <c r="AP295" s="94"/>
    </row>
    <row r="296">
      <c r="R296" s="93"/>
      <c r="S296" s="68"/>
      <c r="T296" s="38" t="str">
        <f>IFERROR(__xludf.DUMMYFUNCTION("IFERROR(
  TRIM(REGEXEXTRACT(H296,""\(Event\)\s*([^,]+)"")),
  IF(V296="""","""",IF(V296=""CASWJ"",""General / No Specific Project"",""General - ""&amp;V296))
)"),"")</f>
        <v/>
      </c>
      <c r="W296" s="38"/>
      <c r="AB296" s="68" t="str">
        <f t="shared" si="6"/>
        <v/>
      </c>
      <c r="AP296" s="94"/>
    </row>
    <row r="297">
      <c r="R297" s="93"/>
      <c r="S297" s="68"/>
      <c r="T297" s="38" t="str">
        <f>IFERROR(__xludf.DUMMYFUNCTION("IFERROR(
  TRIM(REGEXEXTRACT(H297,""\(Event\)\s*([^,]+)"")),
  IF(V297="""","""",IF(V297=""CASWJ"",""General / No Specific Project"",""General - ""&amp;V297))
)"),"")</f>
        <v/>
      </c>
      <c r="W297" s="38"/>
      <c r="AB297" s="68" t="str">
        <f t="shared" si="6"/>
        <v/>
      </c>
      <c r="AP297" s="94"/>
    </row>
    <row r="298">
      <c r="R298" s="93"/>
      <c r="S298" s="68"/>
      <c r="T298" s="38" t="str">
        <f>IFERROR(__xludf.DUMMYFUNCTION("IFERROR(
  TRIM(REGEXEXTRACT(H298,""\(Event\)\s*([^,]+)"")),
  IF(V298="""","""",IF(V298=""CASWJ"",""General / No Specific Project"",""General - ""&amp;V298))
)"),"")</f>
        <v/>
      </c>
      <c r="W298" s="38"/>
      <c r="AB298" s="68" t="str">
        <f t="shared" si="6"/>
        <v/>
      </c>
      <c r="AP298" s="94"/>
    </row>
    <row r="299">
      <c r="R299" s="93"/>
      <c r="S299" s="68"/>
      <c r="T299" s="38" t="str">
        <f>IFERROR(__xludf.DUMMYFUNCTION("IFERROR(
  TRIM(REGEXEXTRACT(H299,""\(Event\)\s*([^,]+)"")),
  IF(V299="""","""",IF(V299=""CASWJ"",""General / No Specific Project"",""General - ""&amp;V299))
)"),"")</f>
        <v/>
      </c>
      <c r="W299" s="38"/>
      <c r="AB299" s="68" t="str">
        <f t="shared" si="6"/>
        <v/>
      </c>
      <c r="AP299" s="94"/>
    </row>
    <row r="300">
      <c r="R300" s="93"/>
      <c r="S300" s="68"/>
      <c r="T300" s="38" t="str">
        <f>IFERROR(__xludf.DUMMYFUNCTION("IFERROR(
  TRIM(REGEXEXTRACT(H300,""\(Event\)\s*([^,]+)"")),
  IF(V300="""","""",IF(V300=""CASWJ"",""General / No Specific Project"",""General - ""&amp;V300))
)"),"")</f>
        <v/>
      </c>
      <c r="W300" s="38"/>
      <c r="AB300" s="68" t="str">
        <f t="shared" si="6"/>
        <v/>
      </c>
      <c r="AP300" s="94"/>
    </row>
    <row r="301">
      <c r="R301" s="93"/>
      <c r="S301" s="68"/>
      <c r="T301" s="38" t="str">
        <f>IFERROR(__xludf.DUMMYFUNCTION("IFERROR(
  TRIM(REGEXEXTRACT(H301,""\(Event\)\s*([^,]+)"")),
  IF(V301="""","""",IF(V301=""CASWJ"",""General / No Specific Project"",""General - ""&amp;V301))
)"),"")</f>
        <v/>
      </c>
      <c r="W301" s="38"/>
      <c r="AB301" s="68" t="str">
        <f t="shared" si="6"/>
        <v/>
      </c>
      <c r="AP301" s="94"/>
    </row>
    <row r="302">
      <c r="R302" s="93"/>
      <c r="S302" s="68"/>
      <c r="T302" s="38" t="str">
        <f>IFERROR(__xludf.DUMMYFUNCTION("IFERROR(
  TRIM(REGEXEXTRACT(H302,""\(Event\)\s*([^,]+)"")),
  IF(V302="""","""",IF(V302=""CASWJ"",""General / No Specific Project"",""General - ""&amp;V302))
)"),"")</f>
        <v/>
      </c>
      <c r="W302" s="38"/>
      <c r="AB302" s="68" t="str">
        <f t="shared" si="6"/>
        <v/>
      </c>
      <c r="AP302" s="94"/>
    </row>
    <row r="303">
      <c r="R303" s="93"/>
      <c r="S303" s="68"/>
      <c r="T303" s="38" t="str">
        <f>IFERROR(__xludf.DUMMYFUNCTION("IFERROR(
  TRIM(REGEXEXTRACT(H303,""\(Event\)\s*([^,]+)"")),
  IF(V303="""","""",IF(V303=""CASWJ"",""General / No Specific Project"",""General - ""&amp;V303))
)"),"")</f>
        <v/>
      </c>
      <c r="W303" s="38"/>
      <c r="AB303" s="68" t="str">
        <f t="shared" si="6"/>
        <v/>
      </c>
      <c r="AP303" s="94"/>
    </row>
    <row r="304">
      <c r="R304" s="93"/>
      <c r="S304" s="68"/>
      <c r="T304" s="38" t="str">
        <f>IFERROR(__xludf.DUMMYFUNCTION("IFERROR(
  TRIM(REGEXEXTRACT(H304,""\(Event\)\s*([^,]+)"")),
  IF(V304="""","""",IF(V304=""CASWJ"",""General / No Specific Project"",""General - ""&amp;V304))
)"),"")</f>
        <v/>
      </c>
      <c r="W304" s="38"/>
      <c r="AB304" s="68" t="str">
        <f t="shared" si="6"/>
        <v/>
      </c>
      <c r="AP304" s="94"/>
    </row>
    <row r="305">
      <c r="R305" s="93"/>
      <c r="S305" s="68"/>
      <c r="T305" s="38" t="str">
        <f>IFERROR(__xludf.DUMMYFUNCTION("IFERROR(
  TRIM(REGEXEXTRACT(H305,""\(Event\)\s*([^,]+)"")),
  IF(V305="""","""",IF(V305=""CASWJ"",""General / No Specific Project"",""General - ""&amp;V305))
)"),"")</f>
        <v/>
      </c>
      <c r="W305" s="38"/>
      <c r="AB305" s="68" t="str">
        <f t="shared" si="6"/>
        <v/>
      </c>
      <c r="AP305" s="94"/>
    </row>
    <row r="306">
      <c r="R306" s="93"/>
      <c r="S306" s="68"/>
      <c r="T306" s="38" t="str">
        <f>IFERROR(__xludf.DUMMYFUNCTION("IFERROR(
  TRIM(REGEXEXTRACT(H306,""\(Event\)\s*([^,]+)"")),
  IF(V306="""","""",IF(V306=""CASWJ"",""General / No Specific Project"",""General - ""&amp;V306))
)"),"")</f>
        <v/>
      </c>
      <c r="W306" s="38"/>
      <c r="AB306" s="68" t="str">
        <f t="shared" si="6"/>
        <v/>
      </c>
      <c r="AP306" s="94"/>
    </row>
    <row r="307">
      <c r="R307" s="93"/>
      <c r="S307" s="68"/>
      <c r="T307" s="38" t="str">
        <f>IFERROR(__xludf.DUMMYFUNCTION("IFERROR(
  TRIM(REGEXEXTRACT(H307,""\(Event\)\s*([^,]+)"")),
  IF(V307="""","""",IF(V307=""CASWJ"",""General / No Specific Project"",""General - ""&amp;V307))
)"),"")</f>
        <v/>
      </c>
      <c r="W307" s="38"/>
      <c r="AB307" s="68" t="str">
        <f t="shared" si="6"/>
        <v/>
      </c>
      <c r="AP307" s="94"/>
    </row>
    <row r="308">
      <c r="R308" s="93"/>
      <c r="S308" s="68"/>
      <c r="T308" s="38" t="str">
        <f>IFERROR(__xludf.DUMMYFUNCTION("IFERROR(
  TRIM(REGEXEXTRACT(H308,""\(Event\)\s*([^,]+)"")),
  IF(V308="""","""",IF(V308=""CASWJ"",""General / No Specific Project"",""General - ""&amp;V308))
)"),"")</f>
        <v/>
      </c>
      <c r="W308" s="38"/>
      <c r="AB308" s="68" t="str">
        <f t="shared" si="6"/>
        <v/>
      </c>
      <c r="AP308" s="94"/>
    </row>
    <row r="309">
      <c r="R309" s="93"/>
      <c r="S309" s="68"/>
      <c r="T309" s="38" t="str">
        <f>IFERROR(__xludf.DUMMYFUNCTION("IFERROR(
  TRIM(REGEXEXTRACT(H309,""\(Event\)\s*([^,]+)"")),
  IF(V309="""","""",IF(V309=""CASWJ"",""General / No Specific Project"",""General - ""&amp;V309))
)"),"")</f>
        <v/>
      </c>
      <c r="W309" s="38"/>
      <c r="AB309" s="68" t="str">
        <f t="shared" si="6"/>
        <v/>
      </c>
      <c r="AP309" s="94"/>
    </row>
    <row r="310">
      <c r="R310" s="93"/>
      <c r="S310" s="68"/>
      <c r="T310" s="38" t="str">
        <f>IFERROR(__xludf.DUMMYFUNCTION("IFERROR(
  TRIM(REGEXEXTRACT(H310,""\(Event\)\s*([^,]+)"")),
  IF(V310="""","""",IF(V310=""CASWJ"",""General / No Specific Project"",""General - ""&amp;V310))
)"),"")</f>
        <v/>
      </c>
      <c r="W310" s="38"/>
      <c r="AB310" s="68" t="str">
        <f t="shared" si="6"/>
        <v/>
      </c>
      <c r="AP310" s="94"/>
    </row>
    <row r="311">
      <c r="R311" s="93"/>
      <c r="S311" s="68"/>
      <c r="T311" s="38" t="str">
        <f>IFERROR(__xludf.DUMMYFUNCTION("IFERROR(
  TRIM(REGEXEXTRACT(H311,""\(Event\)\s*([^,]+)"")),
  IF(V311="""","""",IF(V311=""CASWJ"",""General / No Specific Project"",""General - ""&amp;V311))
)"),"")</f>
        <v/>
      </c>
      <c r="W311" s="38"/>
      <c r="AB311" s="68" t="str">
        <f t="shared" si="6"/>
        <v/>
      </c>
      <c r="AP311" s="94"/>
    </row>
    <row r="312">
      <c r="R312" s="93"/>
      <c r="S312" s="68"/>
      <c r="T312" s="38" t="str">
        <f>IFERROR(__xludf.DUMMYFUNCTION("IFERROR(
  TRIM(REGEXEXTRACT(H312,""\(Event\)\s*([^,]+)"")),
  IF(V312="""","""",IF(V312=""CASWJ"",""General / No Specific Project"",""General - ""&amp;V312))
)"),"")</f>
        <v/>
      </c>
      <c r="W312" s="38"/>
      <c r="AB312" s="68" t="str">
        <f t="shared" si="6"/>
        <v/>
      </c>
      <c r="AP312" s="94"/>
    </row>
    <row r="313">
      <c r="R313" s="93"/>
      <c r="S313" s="68"/>
      <c r="T313" s="38" t="str">
        <f>IFERROR(__xludf.DUMMYFUNCTION("IFERROR(
  TRIM(REGEXEXTRACT(H313,""\(Event\)\s*([^,]+)"")),
  IF(V313="""","""",IF(V313=""CASWJ"",""General / No Specific Project"",""General - ""&amp;V313))
)"),"")</f>
        <v/>
      </c>
      <c r="W313" s="38"/>
      <c r="AB313" s="68" t="str">
        <f t="shared" si="6"/>
        <v/>
      </c>
      <c r="AP313" s="94"/>
    </row>
    <row r="314">
      <c r="R314" s="93"/>
      <c r="S314" s="68"/>
      <c r="T314" s="38" t="str">
        <f>IFERROR(__xludf.DUMMYFUNCTION("IFERROR(
  TRIM(REGEXEXTRACT(H314,""\(Event\)\s*([^,]+)"")),
  IF(V314="""","""",IF(V314=""CASWJ"",""General / No Specific Project"",""General - ""&amp;V314))
)"),"")</f>
        <v/>
      </c>
      <c r="W314" s="38"/>
      <c r="AB314" s="68" t="str">
        <f t="shared" si="6"/>
        <v/>
      </c>
      <c r="AP314" s="94"/>
    </row>
    <row r="315">
      <c r="R315" s="93"/>
      <c r="S315" s="68"/>
      <c r="T315" s="38" t="str">
        <f>IFERROR(__xludf.DUMMYFUNCTION("IFERROR(
  TRIM(REGEXEXTRACT(H315,""\(Event\)\s*([^,]+)"")),
  IF(V315="""","""",IF(V315=""CASWJ"",""General / No Specific Project"",""General - ""&amp;V315))
)"),"")</f>
        <v/>
      </c>
      <c r="W315" s="38"/>
      <c r="AB315" s="68" t="str">
        <f t="shared" si="6"/>
        <v/>
      </c>
      <c r="AP315" s="94"/>
    </row>
    <row r="316">
      <c r="R316" s="93"/>
      <c r="S316" s="68"/>
      <c r="T316" s="38" t="str">
        <f>IFERROR(__xludf.DUMMYFUNCTION("IFERROR(
  TRIM(REGEXEXTRACT(H316,""\(Event\)\s*([^,]+)"")),
  IF(V316="""","""",IF(V316=""CASWJ"",""General / No Specific Project"",""General - ""&amp;V316))
)"),"")</f>
        <v/>
      </c>
      <c r="W316" s="38"/>
      <c r="AB316" s="68" t="str">
        <f t="shared" si="6"/>
        <v/>
      </c>
      <c r="AP316" s="94"/>
    </row>
    <row r="317">
      <c r="R317" s="93"/>
      <c r="S317" s="68"/>
      <c r="T317" s="38" t="str">
        <f>IFERROR(__xludf.DUMMYFUNCTION("IFERROR(
  TRIM(REGEXEXTRACT(H317,""\(Event\)\s*([^,]+)"")),
  IF(V317="""","""",IF(V317=""CASWJ"",""General / No Specific Project"",""General - ""&amp;V317))
)"),"")</f>
        <v/>
      </c>
      <c r="W317" s="38"/>
      <c r="AB317" s="68" t="str">
        <f t="shared" si="6"/>
        <v/>
      </c>
      <c r="AP317" s="94"/>
    </row>
    <row r="318">
      <c r="R318" s="93"/>
      <c r="S318" s="68"/>
      <c r="T318" s="38" t="str">
        <f>IFERROR(__xludf.DUMMYFUNCTION("IFERROR(
  TRIM(REGEXEXTRACT(H318,""\(Event\)\s*([^,]+)"")),
  IF(V318="""","""",IF(V318=""CASWJ"",""General / No Specific Project"",""General - ""&amp;V318))
)"),"")</f>
        <v/>
      </c>
      <c r="W318" s="38"/>
      <c r="AB318" s="68" t="str">
        <f t="shared" si="6"/>
        <v/>
      </c>
      <c r="AP318" s="94"/>
    </row>
    <row r="319">
      <c r="R319" s="93"/>
      <c r="S319" s="68"/>
      <c r="T319" s="38" t="str">
        <f>IFERROR(__xludf.DUMMYFUNCTION("IFERROR(
  TRIM(REGEXEXTRACT(H319,""\(Event\)\s*([^,]+)"")),
  IF(V319="""","""",IF(V319=""CASWJ"",""General / No Specific Project"",""General - ""&amp;V319))
)"),"")</f>
        <v/>
      </c>
      <c r="W319" s="38"/>
      <c r="AB319" s="68" t="str">
        <f t="shared" si="6"/>
        <v/>
      </c>
      <c r="AP319" s="94"/>
    </row>
    <row r="320">
      <c r="R320" s="93"/>
      <c r="S320" s="68"/>
      <c r="T320" s="38" t="str">
        <f>IFERROR(__xludf.DUMMYFUNCTION("IFERROR(
  TRIM(REGEXEXTRACT(H320,""\(Event\)\s*([^,]+)"")),
  IF(V320="""","""",IF(V320=""CASWJ"",""General / No Specific Project"",""General - ""&amp;V320))
)"),"")</f>
        <v/>
      </c>
      <c r="W320" s="38"/>
      <c r="AB320" s="68" t="str">
        <f t="shared" si="6"/>
        <v/>
      </c>
      <c r="AP320" s="94"/>
    </row>
    <row r="321">
      <c r="R321" s="93"/>
      <c r="S321" s="68"/>
      <c r="T321" s="38" t="str">
        <f>IFERROR(__xludf.DUMMYFUNCTION("IFERROR(
  TRIM(REGEXEXTRACT(H321,""\(Event\)\s*([^,]+)"")),
  IF(V321="""","""",IF(V321=""CASWJ"",""General / No Specific Project"",""General - ""&amp;V321))
)"),"")</f>
        <v/>
      </c>
      <c r="W321" s="38"/>
      <c r="AB321" s="68" t="str">
        <f t="shared" si="6"/>
        <v/>
      </c>
      <c r="AP321" s="94"/>
    </row>
    <row r="322">
      <c r="R322" s="93"/>
      <c r="S322" s="68"/>
      <c r="T322" s="38" t="str">
        <f>IFERROR(__xludf.DUMMYFUNCTION("IFERROR(
  TRIM(REGEXEXTRACT(H322,""\(Event\)\s*([^,]+)"")),
  IF(V322="""","""",IF(V322=""CASWJ"",""General / No Specific Project"",""General - ""&amp;V322))
)"),"")</f>
        <v/>
      </c>
      <c r="W322" s="38"/>
      <c r="AB322" s="68" t="str">
        <f t="shared" si="6"/>
        <v/>
      </c>
      <c r="AP322" s="94"/>
    </row>
    <row r="323">
      <c r="R323" s="93"/>
      <c r="S323" s="68"/>
      <c r="T323" s="38" t="str">
        <f>IFERROR(__xludf.DUMMYFUNCTION("IFERROR(
  TRIM(REGEXEXTRACT(H323,""\(Event\)\s*([^,]+)"")),
  IF(V323="""","""",IF(V323=""CASWJ"",""General / No Specific Project"",""General - ""&amp;V323))
)"),"")</f>
        <v/>
      </c>
      <c r="W323" s="38"/>
      <c r="AB323" s="68" t="str">
        <f t="shared" si="6"/>
        <v/>
      </c>
      <c r="AP323" s="94"/>
    </row>
    <row r="324">
      <c r="R324" s="93"/>
      <c r="S324" s="68"/>
      <c r="T324" s="38" t="str">
        <f>IFERROR(__xludf.DUMMYFUNCTION("IFERROR(
  TRIM(REGEXEXTRACT(H324,""\(Event\)\s*([^,]+)"")),
  IF(V324="""","""",IF(V324=""CASWJ"",""General / No Specific Project"",""General - ""&amp;V324))
)"),"")</f>
        <v/>
      </c>
      <c r="W324" s="38"/>
      <c r="AB324" s="68" t="str">
        <f t="shared" si="6"/>
        <v/>
      </c>
      <c r="AP324" s="94"/>
    </row>
    <row r="325">
      <c r="R325" s="93"/>
      <c r="S325" s="68"/>
      <c r="T325" s="38" t="str">
        <f>IFERROR(__xludf.DUMMYFUNCTION("IFERROR(
  TRIM(REGEXEXTRACT(H325,""\(Event\)\s*([^,]+)"")),
  IF(V325="""","""",IF(V325=""CASWJ"",""General / No Specific Project"",""General - ""&amp;V325))
)"),"")</f>
        <v/>
      </c>
      <c r="W325" s="38"/>
      <c r="AB325" s="68" t="str">
        <f t="shared" si="6"/>
        <v/>
      </c>
      <c r="AP325" s="94"/>
    </row>
    <row r="326">
      <c r="R326" s="93"/>
      <c r="S326" s="68"/>
      <c r="T326" s="38" t="str">
        <f>IFERROR(__xludf.DUMMYFUNCTION("IFERROR(
  TRIM(REGEXEXTRACT(H326,""\(Event\)\s*([^,]+)"")),
  IF(V326="""","""",IF(V326=""CASWJ"",""General / No Specific Project"",""General - ""&amp;V326))
)"),"")</f>
        <v/>
      </c>
      <c r="W326" s="38"/>
      <c r="AB326" s="68" t="str">
        <f t="shared" si="6"/>
        <v/>
      </c>
      <c r="AP326" s="94"/>
    </row>
    <row r="327">
      <c r="R327" s="93"/>
      <c r="S327" s="68"/>
      <c r="T327" s="38" t="str">
        <f>IFERROR(__xludf.DUMMYFUNCTION("IFERROR(
  TRIM(REGEXEXTRACT(H327,""\(Event\)\s*([^,]+)"")),
  IF(V327="""","""",IF(V327=""CASWJ"",""General / No Specific Project"",""General - ""&amp;V327))
)"),"")</f>
        <v/>
      </c>
      <c r="W327" s="38"/>
      <c r="AB327" s="68" t="str">
        <f t="shared" si="6"/>
        <v/>
      </c>
      <c r="AP327" s="94"/>
    </row>
    <row r="328">
      <c r="R328" s="93"/>
      <c r="S328" s="68"/>
      <c r="T328" s="38" t="str">
        <f>IFERROR(__xludf.DUMMYFUNCTION("IFERROR(
  TRIM(REGEXEXTRACT(H328,""\(Event\)\s*([^,]+)"")),
  IF(V328="""","""",IF(V328=""CASWJ"",""General / No Specific Project"",""General - ""&amp;V328))
)"),"")</f>
        <v/>
      </c>
      <c r="W328" s="38"/>
      <c r="AB328" s="68" t="str">
        <f t="shared" si="6"/>
        <v/>
      </c>
      <c r="AP328" s="94"/>
    </row>
    <row r="329">
      <c r="R329" s="93"/>
      <c r="S329" s="68"/>
      <c r="T329" s="38" t="str">
        <f>IFERROR(__xludf.DUMMYFUNCTION("IFERROR(
  TRIM(REGEXEXTRACT(H329,""\(Event\)\s*([^,]+)"")),
  IF(V329="""","""",IF(V329=""CASWJ"",""General / No Specific Project"",""General - ""&amp;V329))
)"),"")</f>
        <v/>
      </c>
      <c r="W329" s="38"/>
      <c r="AB329" s="68" t="str">
        <f t="shared" si="6"/>
        <v/>
      </c>
      <c r="AP329" s="94"/>
    </row>
    <row r="330">
      <c r="R330" s="93"/>
      <c r="S330" s="68"/>
      <c r="T330" s="38" t="str">
        <f>IFERROR(__xludf.DUMMYFUNCTION("IFERROR(
  TRIM(REGEXEXTRACT(H330,""\(Event\)\s*([^,]+)"")),
  IF(V330="""","""",IF(V330=""CASWJ"",""General / No Specific Project"",""General - ""&amp;V330))
)"),"")</f>
        <v/>
      </c>
      <c r="W330" s="38"/>
      <c r="AB330" s="68" t="str">
        <f t="shared" si="6"/>
        <v/>
      </c>
      <c r="AP330" s="94"/>
    </row>
    <row r="331">
      <c r="R331" s="93"/>
      <c r="S331" s="68"/>
      <c r="T331" s="38" t="str">
        <f>IFERROR(__xludf.DUMMYFUNCTION("IFERROR(
  TRIM(REGEXEXTRACT(H331,""\(Event\)\s*([^,]+)"")),
  IF(V331="""","""",IF(V331=""CASWJ"",""General / No Specific Project"",""General - ""&amp;V331))
)"),"")</f>
        <v/>
      </c>
      <c r="W331" s="38"/>
      <c r="AB331" s="68" t="str">
        <f t="shared" si="6"/>
        <v/>
      </c>
      <c r="AP331" s="94"/>
    </row>
    <row r="332">
      <c r="R332" s="93"/>
      <c r="S332" s="68"/>
      <c r="T332" s="38" t="str">
        <f>IFERROR(__xludf.DUMMYFUNCTION("IFERROR(
  TRIM(REGEXEXTRACT(H332,""\(Event\)\s*([^,]+)"")),
  IF(V332="""","""",IF(V332=""CASWJ"",""General / No Specific Project"",""General - ""&amp;V332))
)"),"")</f>
        <v/>
      </c>
      <c r="W332" s="38"/>
      <c r="AB332" s="68" t="str">
        <f t="shared" si="6"/>
        <v/>
      </c>
      <c r="AP332" s="94"/>
    </row>
    <row r="333">
      <c r="R333" s="93"/>
      <c r="S333" s="68"/>
      <c r="T333" s="38" t="str">
        <f>IFERROR(__xludf.DUMMYFUNCTION("IFERROR(
  TRIM(REGEXEXTRACT(H333,""\(Event\)\s*([^,]+)"")),
  IF(V333="""","""",IF(V333=""CASWJ"",""General / No Specific Project"",""General - ""&amp;V333))
)"),"")</f>
        <v/>
      </c>
      <c r="W333" s="38"/>
      <c r="AB333" s="68" t="str">
        <f t="shared" si="6"/>
        <v/>
      </c>
      <c r="AP333" s="94"/>
    </row>
    <row r="334">
      <c r="R334" s="93"/>
      <c r="S334" s="68"/>
      <c r="T334" s="38" t="str">
        <f>IFERROR(__xludf.DUMMYFUNCTION("IFERROR(
  TRIM(REGEXEXTRACT(H334,""\(Event\)\s*([^,]+)"")),
  IF(V334="""","""",IF(V334=""CASWJ"",""General / No Specific Project"",""General - ""&amp;V334))
)"),"")</f>
        <v/>
      </c>
      <c r="W334" s="38"/>
      <c r="AB334" s="68" t="str">
        <f t="shared" si="6"/>
        <v/>
      </c>
      <c r="AP334" s="94"/>
    </row>
    <row r="335">
      <c r="R335" s="93"/>
      <c r="S335" s="68"/>
      <c r="T335" s="38" t="str">
        <f>IFERROR(__xludf.DUMMYFUNCTION("IFERROR(
  TRIM(REGEXEXTRACT(H335,""\(Event\)\s*([^,]+)"")),
  IF(V335="""","""",IF(V335=""CASWJ"",""General / No Specific Project"",""General - ""&amp;V335))
)"),"")</f>
        <v/>
      </c>
      <c r="W335" s="38"/>
      <c r="AB335" s="68" t="str">
        <f t="shared" si="6"/>
        <v/>
      </c>
      <c r="AP335" s="94"/>
    </row>
    <row r="336">
      <c r="R336" s="93"/>
      <c r="S336" s="68"/>
      <c r="T336" s="38" t="str">
        <f>IFERROR(__xludf.DUMMYFUNCTION("IFERROR(
  TRIM(REGEXEXTRACT(H336,""\(Event\)\s*([^,]+)"")),
  IF(V336="""","""",IF(V336=""CASWJ"",""General / No Specific Project"",""General - ""&amp;V336))
)"),"")</f>
        <v/>
      </c>
      <c r="W336" s="38"/>
      <c r="AB336" s="68" t="str">
        <f t="shared" si="6"/>
        <v/>
      </c>
      <c r="AP336" s="94"/>
    </row>
    <row r="337">
      <c r="R337" s="93"/>
      <c r="S337" s="68"/>
      <c r="T337" s="38" t="str">
        <f>IFERROR(__xludf.DUMMYFUNCTION("IFERROR(
  TRIM(REGEXEXTRACT(H337,""\(Event\)\s*([^,]+)"")),
  IF(V337="""","""",IF(V337=""CASWJ"",""General / No Specific Project"",""General - ""&amp;V337))
)"),"")</f>
        <v/>
      </c>
      <c r="W337" s="38"/>
      <c r="AB337" s="68" t="str">
        <f t="shared" si="6"/>
        <v/>
      </c>
      <c r="AP337" s="94"/>
    </row>
    <row r="338">
      <c r="R338" s="93"/>
      <c r="S338" s="68"/>
      <c r="T338" s="38" t="str">
        <f>IFERROR(__xludf.DUMMYFUNCTION("IFERROR(
  TRIM(REGEXEXTRACT(H338,""\(Event\)\s*([^,]+)"")),
  IF(V338="""","""",IF(V338=""CASWJ"",""General / No Specific Project"",""General - ""&amp;V338))
)"),"")</f>
        <v/>
      </c>
      <c r="W338" s="38"/>
      <c r="AB338" s="68" t="str">
        <f t="shared" si="6"/>
        <v/>
      </c>
      <c r="AP338" s="94"/>
    </row>
    <row r="339">
      <c r="R339" s="93"/>
      <c r="S339" s="68"/>
      <c r="T339" s="38" t="str">
        <f>IFERROR(__xludf.DUMMYFUNCTION("IFERROR(
  TRIM(REGEXEXTRACT(H339,""\(Event\)\s*([^,]+)"")),
  IF(V339="""","""",IF(V339=""CASWJ"",""General / No Specific Project"",""General - ""&amp;V339))
)"),"")</f>
        <v/>
      </c>
      <c r="W339" s="38"/>
      <c r="AB339" s="68" t="str">
        <f t="shared" si="6"/>
        <v/>
      </c>
      <c r="AP339" s="94"/>
    </row>
    <row r="340">
      <c r="R340" s="93"/>
      <c r="S340" s="68"/>
      <c r="T340" s="38" t="str">
        <f>IFERROR(__xludf.DUMMYFUNCTION("IFERROR(
  TRIM(REGEXEXTRACT(H340,""\(Event\)\s*([^,]+)"")),
  IF(V340="""","""",IF(V340=""CASWJ"",""General / No Specific Project"",""General - ""&amp;V340))
)"),"")</f>
        <v/>
      </c>
      <c r="W340" s="38"/>
      <c r="AB340" s="68" t="str">
        <f t="shared" si="6"/>
        <v/>
      </c>
      <c r="AP340" s="94"/>
    </row>
    <row r="341">
      <c r="R341" s="93"/>
      <c r="S341" s="68"/>
      <c r="T341" s="38" t="str">
        <f>IFERROR(__xludf.DUMMYFUNCTION("IFERROR(
  TRIM(REGEXEXTRACT(H341,""\(Event\)\s*([^,]+)"")),
  IF(V341="""","""",IF(V341=""CASWJ"",""General / No Specific Project"",""General - ""&amp;V341))
)"),"")</f>
        <v/>
      </c>
      <c r="W341" s="38"/>
      <c r="AB341" s="68" t="str">
        <f t="shared" si="6"/>
        <v/>
      </c>
      <c r="AP341" s="94"/>
    </row>
    <row r="342">
      <c r="R342" s="93"/>
      <c r="S342" s="68"/>
      <c r="T342" s="38" t="str">
        <f>IFERROR(__xludf.DUMMYFUNCTION("IFERROR(
  TRIM(REGEXEXTRACT(H342,""\(Event\)\s*([^,]+)"")),
  IF(V342="""","""",IF(V342=""CASWJ"",""General / No Specific Project"",""General - ""&amp;V342))
)"),"")</f>
        <v/>
      </c>
      <c r="W342" s="38"/>
      <c r="AB342" s="68" t="str">
        <f t="shared" si="6"/>
        <v/>
      </c>
      <c r="AP342" s="94"/>
    </row>
    <row r="343">
      <c r="R343" s="93"/>
      <c r="S343" s="68"/>
      <c r="T343" s="38" t="str">
        <f>IFERROR(__xludf.DUMMYFUNCTION("IFERROR(
  TRIM(REGEXEXTRACT(H343,""\(Event\)\s*([^,]+)"")),
  IF(V343="""","""",IF(V343=""CASWJ"",""General / No Specific Project"",""General - ""&amp;V343))
)"),"")</f>
        <v/>
      </c>
      <c r="W343" s="38"/>
      <c r="AB343" s="68" t="str">
        <f t="shared" si="6"/>
        <v/>
      </c>
      <c r="AP343" s="94"/>
    </row>
    <row r="344">
      <c r="R344" s="93"/>
      <c r="S344" s="68"/>
      <c r="T344" s="38" t="str">
        <f>IFERROR(__xludf.DUMMYFUNCTION("IFERROR(
  TRIM(REGEXEXTRACT(H344,""\(Event\)\s*([^,]+)"")),
  IF(V344="""","""",IF(V344=""CASWJ"",""General / No Specific Project"",""General - ""&amp;V344))
)"),"")</f>
        <v/>
      </c>
      <c r="W344" s="38"/>
      <c r="AB344" s="68" t="str">
        <f t="shared" si="6"/>
        <v/>
      </c>
      <c r="AP344" s="94"/>
    </row>
    <row r="345">
      <c r="R345" s="93"/>
      <c r="S345" s="68"/>
      <c r="T345" s="38" t="str">
        <f>IFERROR(__xludf.DUMMYFUNCTION("IFERROR(
  TRIM(REGEXEXTRACT(H345,""\(Event\)\s*([^,]+)"")),
  IF(V345="""","""",IF(V345=""CASWJ"",""General / No Specific Project"",""General - ""&amp;V345))
)"),"")</f>
        <v/>
      </c>
      <c r="W345" s="38"/>
      <c r="AB345" s="68" t="str">
        <f t="shared" si="6"/>
        <v/>
      </c>
      <c r="AP345" s="94"/>
    </row>
    <row r="346">
      <c r="R346" s="93"/>
      <c r="S346" s="68"/>
      <c r="T346" s="38" t="str">
        <f>IFERROR(__xludf.DUMMYFUNCTION("IFERROR(
  TRIM(REGEXEXTRACT(H346,""\(Event\)\s*([^,]+)"")),
  IF(V346="""","""",IF(V346=""CASWJ"",""General / No Specific Project"",""General - ""&amp;V346))
)"),"")</f>
        <v/>
      </c>
      <c r="W346" s="38"/>
      <c r="AB346" s="68" t="str">
        <f t="shared" si="6"/>
        <v/>
      </c>
      <c r="AP346" s="94"/>
    </row>
    <row r="347">
      <c r="R347" s="93"/>
      <c r="S347" s="68"/>
      <c r="T347" s="38" t="str">
        <f>IFERROR(__xludf.DUMMYFUNCTION("IFERROR(
  TRIM(REGEXEXTRACT(H347,""\(Event\)\s*([^,]+)"")),
  IF(V347="""","""",IF(V347=""CASWJ"",""General / No Specific Project"",""General - ""&amp;V347))
)"),"")</f>
        <v/>
      </c>
      <c r="W347" s="38"/>
      <c r="AB347" s="68" t="str">
        <f t="shared" si="6"/>
        <v/>
      </c>
      <c r="AP347" s="94"/>
    </row>
    <row r="348">
      <c r="R348" s="93"/>
      <c r="S348" s="68"/>
      <c r="T348" s="38" t="str">
        <f>IFERROR(__xludf.DUMMYFUNCTION("IFERROR(
  TRIM(REGEXEXTRACT(H348,""\(Event\)\s*([^,]+)"")),
  IF(V348="""","""",IF(V348=""CASWJ"",""General / No Specific Project"",""General - ""&amp;V348))
)"),"")</f>
        <v/>
      </c>
      <c r="W348" s="38"/>
      <c r="AB348" s="68" t="str">
        <f t="shared" si="6"/>
        <v/>
      </c>
      <c r="AP348" s="94"/>
    </row>
    <row r="349">
      <c r="R349" s="93"/>
      <c r="S349" s="68"/>
      <c r="T349" s="38" t="str">
        <f>IFERROR(__xludf.DUMMYFUNCTION("IFERROR(
  TRIM(REGEXEXTRACT(H349,""\(Event\)\s*([^,]+)"")),
  IF(V349="""","""",IF(V349=""CASWJ"",""General / No Specific Project"",""General - ""&amp;V349))
)"),"")</f>
        <v/>
      </c>
      <c r="W349" s="38"/>
      <c r="AB349" s="68" t="str">
        <f t="shared" si="6"/>
        <v/>
      </c>
      <c r="AP349" s="94"/>
    </row>
    <row r="350">
      <c r="R350" s="93"/>
      <c r="S350" s="68"/>
      <c r="T350" s="38" t="str">
        <f>IFERROR(__xludf.DUMMYFUNCTION("IFERROR(
  TRIM(REGEXEXTRACT(H350,""\(Event\)\s*([^,]+)"")),
  IF(V350="""","""",IF(V350=""CASWJ"",""General / No Specific Project"",""General - ""&amp;V350))
)"),"")</f>
        <v/>
      </c>
      <c r="W350" s="38"/>
      <c r="AB350" s="68" t="str">
        <f t="shared" si="6"/>
        <v/>
      </c>
      <c r="AP350" s="94"/>
    </row>
    <row r="351">
      <c r="R351" s="93"/>
      <c r="S351" s="68"/>
      <c r="T351" s="38" t="str">
        <f>IFERROR(__xludf.DUMMYFUNCTION("IFERROR(
  TRIM(REGEXEXTRACT(H351,""\(Event\)\s*([^,]+)"")),
  IF(V351="""","""",IF(V351=""CASWJ"",""General / No Specific Project"",""General - ""&amp;V351))
)"),"")</f>
        <v/>
      </c>
      <c r="W351" s="38"/>
      <c r="AB351" s="68" t="str">
        <f t="shared" si="6"/>
        <v/>
      </c>
      <c r="AP351" s="94"/>
    </row>
    <row r="352">
      <c r="R352" s="93"/>
      <c r="S352" s="68"/>
      <c r="T352" s="38" t="str">
        <f>IFERROR(__xludf.DUMMYFUNCTION("IFERROR(
  TRIM(REGEXEXTRACT(H352,""\(Event\)\s*([^,]+)"")),
  IF(V352="""","""",IF(V352=""CASWJ"",""General / No Specific Project"",""General - ""&amp;V352))
)"),"")</f>
        <v/>
      </c>
      <c r="W352" s="38"/>
      <c r="AB352" s="68" t="str">
        <f t="shared" si="6"/>
        <v/>
      </c>
      <c r="AP352" s="94"/>
    </row>
    <row r="353">
      <c r="R353" s="93"/>
      <c r="S353" s="68"/>
      <c r="T353" s="38" t="str">
        <f>IFERROR(__xludf.DUMMYFUNCTION("IFERROR(
  TRIM(REGEXEXTRACT(H353,""\(Event\)\s*([^,]+)"")),
  IF(V353="""","""",IF(V353=""CASWJ"",""General / No Specific Project"",""General - ""&amp;V353))
)"),"")</f>
        <v/>
      </c>
      <c r="W353" s="38"/>
      <c r="AB353" s="68" t="str">
        <f t="shared" si="6"/>
        <v/>
      </c>
      <c r="AP353" s="94"/>
    </row>
    <row r="354">
      <c r="R354" s="93"/>
      <c r="S354" s="68"/>
      <c r="T354" s="38" t="str">
        <f>IFERROR(__xludf.DUMMYFUNCTION("IFERROR(
  TRIM(REGEXEXTRACT(H354,""\(Event\)\s*([^,]+)"")),
  IF(V354="""","""",IF(V354=""CASWJ"",""General / No Specific Project"",""General - ""&amp;V354))
)"),"")</f>
        <v/>
      </c>
      <c r="W354" s="38"/>
      <c r="AB354" s="68" t="str">
        <f t="shared" si="6"/>
        <v/>
      </c>
      <c r="AP354" s="94"/>
    </row>
    <row r="355">
      <c r="R355" s="93"/>
      <c r="S355" s="68"/>
      <c r="T355" s="38" t="str">
        <f>IFERROR(__xludf.DUMMYFUNCTION("IFERROR(
  TRIM(REGEXEXTRACT(H355,""\(Event\)\s*([^,]+)"")),
  IF(V355="""","""",IF(V355=""CASWJ"",""General / No Specific Project"",""General - ""&amp;V355))
)"),"")</f>
        <v/>
      </c>
      <c r="W355" s="38"/>
      <c r="AB355" s="68" t="str">
        <f t="shared" si="6"/>
        <v/>
      </c>
      <c r="AP355" s="94"/>
    </row>
    <row r="356">
      <c r="R356" s="93"/>
      <c r="S356" s="68"/>
      <c r="T356" s="38" t="str">
        <f>IFERROR(__xludf.DUMMYFUNCTION("IFERROR(
  TRIM(REGEXEXTRACT(H356,""\(Event\)\s*([^,]+)"")),
  IF(V356="""","""",IF(V356=""CASWJ"",""General / No Specific Project"",""General - ""&amp;V356))
)"),"")</f>
        <v/>
      </c>
      <c r="W356" s="38"/>
      <c r="AB356" s="68" t="str">
        <f t="shared" si="6"/>
        <v/>
      </c>
      <c r="AP356" s="94"/>
    </row>
    <row r="357">
      <c r="R357" s="93"/>
      <c r="S357" s="68"/>
      <c r="T357" s="38" t="str">
        <f>IFERROR(__xludf.DUMMYFUNCTION("IFERROR(
  TRIM(REGEXEXTRACT(H357,""\(Event\)\s*([^,]+)"")),
  IF(V357="""","""",IF(V357=""CASWJ"",""General / No Specific Project"",""General - ""&amp;V357))
)"),"")</f>
        <v/>
      </c>
      <c r="W357" s="38"/>
      <c r="AB357" s="68" t="str">
        <f t="shared" si="6"/>
        <v/>
      </c>
      <c r="AP357" s="94"/>
    </row>
    <row r="358">
      <c r="R358" s="93"/>
      <c r="S358" s="68"/>
      <c r="T358" s="38" t="str">
        <f>IFERROR(__xludf.DUMMYFUNCTION("IFERROR(
  TRIM(REGEXEXTRACT(H358,""\(Event\)\s*([^,]+)"")),
  IF(V358="""","""",IF(V358=""CASWJ"",""General / No Specific Project"",""General - ""&amp;V358))
)"),"")</f>
        <v/>
      </c>
      <c r="W358" s="38"/>
      <c r="AB358" s="68" t="str">
        <f t="shared" si="6"/>
        <v/>
      </c>
      <c r="AP358" s="94"/>
    </row>
    <row r="359">
      <c r="R359" s="93"/>
      <c r="S359" s="68"/>
      <c r="T359" s="38" t="str">
        <f>IFERROR(__xludf.DUMMYFUNCTION("IFERROR(
  TRIM(REGEXEXTRACT(H359,""\(Event\)\s*([^,]+)"")),
  IF(V359="""","""",IF(V359=""CASWJ"",""General / No Specific Project"",""General - ""&amp;V359))
)"),"")</f>
        <v/>
      </c>
      <c r="W359" s="38"/>
      <c r="AB359" s="68" t="str">
        <f t="shared" si="6"/>
        <v/>
      </c>
      <c r="AP359" s="94"/>
    </row>
    <row r="360">
      <c r="R360" s="93"/>
      <c r="S360" s="68"/>
      <c r="T360" s="38" t="str">
        <f>IFERROR(__xludf.DUMMYFUNCTION("IFERROR(
  TRIM(REGEXEXTRACT(H360,""\(Event\)\s*([^,]+)"")),
  IF(V360="""","""",IF(V360=""CASWJ"",""General / No Specific Project"",""General - ""&amp;V360))
)"),"")</f>
        <v/>
      </c>
      <c r="W360" s="38"/>
      <c r="AB360" s="68" t="str">
        <f t="shared" si="6"/>
        <v/>
      </c>
      <c r="AP360" s="94"/>
    </row>
    <row r="361">
      <c r="R361" s="93"/>
      <c r="S361" s="68"/>
      <c r="T361" s="38" t="str">
        <f>IFERROR(__xludf.DUMMYFUNCTION("IFERROR(
  TRIM(REGEXEXTRACT(H361,""\(Event\)\s*([^,]+)"")),
  IF(V361="""","""",IF(V361=""CASWJ"",""General / No Specific Project"",""General - ""&amp;V361))
)"),"")</f>
        <v/>
      </c>
      <c r="W361" s="38"/>
      <c r="AB361" s="68" t="str">
        <f t="shared" si="6"/>
        <v/>
      </c>
      <c r="AP361" s="94"/>
    </row>
    <row r="362">
      <c r="R362" s="93"/>
      <c r="S362" s="68"/>
      <c r="T362" s="38" t="str">
        <f>IFERROR(__xludf.DUMMYFUNCTION("IFERROR(
  TRIM(REGEXEXTRACT(H362,""\(Event\)\s*([^,]+)"")),
  IF(V362="""","""",IF(V362=""CASWJ"",""General / No Specific Project"",""General - ""&amp;V362))
)"),"")</f>
        <v/>
      </c>
      <c r="W362" s="38"/>
      <c r="AB362" s="68" t="str">
        <f t="shared" si="6"/>
        <v/>
      </c>
      <c r="AP362" s="94"/>
    </row>
    <row r="363">
      <c r="R363" s="93"/>
      <c r="S363" s="68"/>
      <c r="T363" s="38" t="str">
        <f>IFERROR(__xludf.DUMMYFUNCTION("IFERROR(
  TRIM(REGEXEXTRACT(H363,""\(Event\)\s*([^,]+)"")),
  IF(V363="""","""",IF(V363=""CASWJ"",""General / No Specific Project"",""General - ""&amp;V363))
)"),"")</f>
        <v/>
      </c>
      <c r="W363" s="38"/>
      <c r="AB363" s="68" t="str">
        <f t="shared" si="6"/>
        <v/>
      </c>
      <c r="AP363" s="94"/>
    </row>
    <row r="364">
      <c r="R364" s="93"/>
      <c r="S364" s="68"/>
      <c r="T364" s="38" t="str">
        <f>IFERROR(__xludf.DUMMYFUNCTION("IFERROR(
  TRIM(REGEXEXTRACT(H364,""\(Event\)\s*([^,]+)"")),
  IF(V364="""","""",IF(V364=""CASWJ"",""General / No Specific Project"",""General - ""&amp;V364))
)"),"")</f>
        <v/>
      </c>
      <c r="W364" s="38"/>
      <c r="AB364" s="68" t="str">
        <f t="shared" si="6"/>
        <v/>
      </c>
      <c r="AP364" s="94"/>
    </row>
    <row r="365">
      <c r="R365" s="93"/>
      <c r="S365" s="68"/>
      <c r="T365" s="38" t="str">
        <f>IFERROR(__xludf.DUMMYFUNCTION("IFERROR(
  TRIM(REGEXEXTRACT(H365,""\(Event\)\s*([^,]+)"")),
  IF(V365="""","""",IF(V365=""CASWJ"",""General / No Specific Project"",""General - ""&amp;V365))
)"),"")</f>
        <v/>
      </c>
      <c r="W365" s="38"/>
      <c r="AB365" s="68" t="str">
        <f t="shared" si="6"/>
        <v/>
      </c>
      <c r="AP365" s="94"/>
    </row>
    <row r="366">
      <c r="R366" s="93"/>
      <c r="S366" s="68"/>
      <c r="T366" s="38" t="str">
        <f>IFERROR(__xludf.DUMMYFUNCTION("IFERROR(
  TRIM(REGEXEXTRACT(H366,""\(Event\)\s*([^,]+)"")),
  IF(V366="""","""",IF(V366=""CASWJ"",""General / No Specific Project"",""General - ""&amp;V366))
)"),"")</f>
        <v/>
      </c>
      <c r="W366" s="38"/>
      <c r="AB366" s="68" t="str">
        <f t="shared" si="6"/>
        <v/>
      </c>
      <c r="AP366" s="94"/>
    </row>
    <row r="367">
      <c r="R367" s="93"/>
      <c r="S367" s="68"/>
      <c r="T367" s="38" t="str">
        <f>IFERROR(__xludf.DUMMYFUNCTION("IFERROR(
  TRIM(REGEXEXTRACT(H367,""\(Event\)\s*([^,]+)"")),
  IF(V367="""","""",IF(V367=""CASWJ"",""General / No Specific Project"",""General - ""&amp;V367))
)"),"")</f>
        <v/>
      </c>
      <c r="W367" s="38"/>
      <c r="AB367" s="68" t="str">
        <f t="shared" si="6"/>
        <v/>
      </c>
      <c r="AP367" s="94"/>
    </row>
    <row r="368">
      <c r="R368" s="93"/>
      <c r="S368" s="68"/>
      <c r="T368" s="38" t="str">
        <f>IFERROR(__xludf.DUMMYFUNCTION("IFERROR(
  TRIM(REGEXEXTRACT(H368,""\(Event\)\s*([^,]+)"")),
  IF(V368="""","""",IF(V368=""CASWJ"",""General / No Specific Project"",""General - ""&amp;V368))
)"),"")</f>
        <v/>
      </c>
      <c r="W368" s="38"/>
      <c r="AB368" s="68" t="str">
        <f t="shared" si="6"/>
        <v/>
      </c>
      <c r="AP368" s="94"/>
    </row>
    <row r="369">
      <c r="R369" s="93"/>
      <c r="S369" s="68"/>
      <c r="T369" s="38" t="str">
        <f>IFERROR(__xludf.DUMMYFUNCTION("IFERROR(
  TRIM(REGEXEXTRACT(H369,""\(Event\)\s*([^,]+)"")),
  IF(V369="""","""",IF(V369=""CASWJ"",""General / No Specific Project"",""General - ""&amp;V369))
)"),"")</f>
        <v/>
      </c>
      <c r="W369" s="38"/>
      <c r="AB369" s="68" t="str">
        <f t="shared" si="6"/>
        <v/>
      </c>
      <c r="AP369" s="94"/>
    </row>
    <row r="370">
      <c r="R370" s="93"/>
      <c r="S370" s="68"/>
      <c r="T370" s="38" t="str">
        <f>IFERROR(__xludf.DUMMYFUNCTION("IFERROR(
  TRIM(REGEXEXTRACT(H370,""\(Event\)\s*([^,]+)"")),
  IF(V370="""","""",IF(V370=""CASWJ"",""General / No Specific Project"",""General - ""&amp;V370))
)"),"")</f>
        <v/>
      </c>
      <c r="W370" s="38"/>
      <c r="AB370" s="68" t="str">
        <f t="shared" si="6"/>
        <v/>
      </c>
      <c r="AP370" s="94"/>
    </row>
    <row r="371">
      <c r="R371" s="93"/>
      <c r="S371" s="68"/>
      <c r="T371" s="38" t="str">
        <f>IFERROR(__xludf.DUMMYFUNCTION("IFERROR(
  TRIM(REGEXEXTRACT(H371,""\(Event\)\s*([^,]+)"")),
  IF(V371="""","""",IF(V371=""CASWJ"",""General / No Specific Project"",""General - ""&amp;V371))
)"),"")</f>
        <v/>
      </c>
      <c r="W371" s="38"/>
      <c r="AB371" s="68" t="str">
        <f t="shared" si="6"/>
        <v/>
      </c>
      <c r="AP371" s="94"/>
    </row>
    <row r="372">
      <c r="R372" s="93"/>
      <c r="S372" s="68"/>
      <c r="T372" s="38" t="str">
        <f>IFERROR(__xludf.DUMMYFUNCTION("IFERROR(
  TRIM(REGEXEXTRACT(H372,""\(Event\)\s*([^,]+)"")),
  IF(V372="""","""",IF(V372=""CASWJ"",""General / No Specific Project"",""General - ""&amp;V372))
)"),"")</f>
        <v/>
      </c>
      <c r="W372" s="38"/>
      <c r="AB372" s="68" t="str">
        <f t="shared" si="6"/>
        <v/>
      </c>
      <c r="AP372" s="94"/>
    </row>
    <row r="373">
      <c r="R373" s="93"/>
      <c r="S373" s="68"/>
      <c r="T373" s="38" t="str">
        <f>IFERROR(__xludf.DUMMYFUNCTION("IFERROR(
  TRIM(REGEXEXTRACT(H373,""\(Event\)\s*([^,]+)"")),
  IF(V373="""","""",IF(V373=""CASWJ"",""General / No Specific Project"",""General - ""&amp;V373))
)"),"")</f>
        <v/>
      </c>
      <c r="W373" s="38"/>
      <c r="AB373" s="68" t="str">
        <f t="shared" si="6"/>
        <v/>
      </c>
      <c r="AP373" s="94"/>
    </row>
    <row r="374">
      <c r="R374" s="93"/>
      <c r="S374" s="68"/>
      <c r="T374" s="38" t="str">
        <f>IFERROR(__xludf.DUMMYFUNCTION("IFERROR(
  TRIM(REGEXEXTRACT(H374,""\(Event\)\s*([^,]+)"")),
  IF(V374="""","""",IF(V374=""CASWJ"",""General / No Specific Project"",""General - ""&amp;V374))
)"),"")</f>
        <v/>
      </c>
      <c r="W374" s="38"/>
      <c r="AB374" s="68" t="str">
        <f t="shared" si="6"/>
        <v/>
      </c>
      <c r="AP374" s="94"/>
    </row>
    <row r="375">
      <c r="R375" s="93"/>
      <c r="S375" s="68"/>
      <c r="T375" s="38" t="str">
        <f>IFERROR(__xludf.DUMMYFUNCTION("IFERROR(
  TRIM(REGEXEXTRACT(H375,""\(Event\)\s*([^,]+)"")),
  IF(V375="""","""",IF(V375=""CASWJ"",""General / No Specific Project"",""General - ""&amp;V375))
)"),"")</f>
        <v/>
      </c>
      <c r="W375" s="38"/>
      <c r="AB375" s="68" t="str">
        <f t="shared" si="6"/>
        <v/>
      </c>
      <c r="AP375" s="94"/>
    </row>
    <row r="376">
      <c r="R376" s="93"/>
      <c r="S376" s="68"/>
      <c r="T376" s="38" t="str">
        <f>IFERROR(__xludf.DUMMYFUNCTION("IFERROR(
  TRIM(REGEXEXTRACT(H376,""\(Event\)\s*([^,]+)"")),
  IF(V376="""","""",IF(V376=""CASWJ"",""General / No Specific Project"",""General - ""&amp;V376))
)"),"")</f>
        <v/>
      </c>
      <c r="W376" s="38"/>
      <c r="AB376" s="68" t="str">
        <f t="shared" si="6"/>
        <v/>
      </c>
      <c r="AP376" s="94"/>
    </row>
    <row r="377">
      <c r="R377" s="93"/>
      <c r="S377" s="68"/>
      <c r="T377" s="38" t="str">
        <f>IFERROR(__xludf.DUMMYFUNCTION("IFERROR(
  TRIM(REGEXEXTRACT(H377,""\(Event\)\s*([^,]+)"")),
  IF(V377="""","""",IF(V377=""CASWJ"",""General / No Specific Project"",""General - ""&amp;V377))
)"),"")</f>
        <v/>
      </c>
      <c r="W377" s="38"/>
      <c r="AB377" s="68" t="str">
        <f t="shared" si="6"/>
        <v/>
      </c>
      <c r="AP377" s="94"/>
    </row>
    <row r="378">
      <c r="R378" s="93"/>
      <c r="S378" s="68"/>
      <c r="T378" s="38" t="str">
        <f>IFERROR(__xludf.DUMMYFUNCTION("IFERROR(
  TRIM(REGEXEXTRACT(H378,""\(Event\)\s*([^,]+)"")),
  IF(V378="""","""",IF(V378=""CASWJ"",""General / No Specific Project"",""General - ""&amp;V378))
)"),"")</f>
        <v/>
      </c>
      <c r="W378" s="38"/>
      <c r="AB378" s="68" t="str">
        <f t="shared" si="6"/>
        <v/>
      </c>
      <c r="AP378" s="94"/>
    </row>
    <row r="379">
      <c r="R379" s="93"/>
      <c r="S379" s="68"/>
      <c r="T379" s="38" t="str">
        <f>IFERROR(__xludf.DUMMYFUNCTION("IFERROR(
  TRIM(REGEXEXTRACT(H379,""\(Event\)\s*([^,]+)"")),
  IF(V379="""","""",IF(V379=""CASWJ"",""General / No Specific Project"",""General - ""&amp;V379))
)"),"")</f>
        <v/>
      </c>
      <c r="W379" s="38"/>
      <c r="AB379" s="68" t="str">
        <f t="shared" si="6"/>
        <v/>
      </c>
      <c r="AP379" s="94"/>
    </row>
    <row r="380">
      <c r="R380" s="93"/>
      <c r="S380" s="68"/>
      <c r="T380" s="38" t="str">
        <f>IFERROR(__xludf.DUMMYFUNCTION("IFERROR(
  TRIM(REGEXEXTRACT(H380,""\(Event\)\s*([^,]+)"")),
  IF(V380="""","""",IF(V380=""CASWJ"",""General / No Specific Project"",""General - ""&amp;V380))
)"),"")</f>
        <v/>
      </c>
      <c r="W380" s="38"/>
      <c r="AB380" s="68" t="str">
        <f t="shared" si="6"/>
        <v/>
      </c>
      <c r="AP380" s="94"/>
    </row>
    <row r="381">
      <c r="R381" s="93"/>
      <c r="S381" s="68"/>
      <c r="T381" s="38" t="str">
        <f>IFERROR(__xludf.DUMMYFUNCTION("IFERROR(
  TRIM(REGEXEXTRACT(H381,""\(Event\)\s*([^,]+)"")),
  IF(V381="""","""",IF(V381=""CASWJ"",""General / No Specific Project"",""General - ""&amp;V381))
)"),"")</f>
        <v/>
      </c>
      <c r="W381" s="38"/>
      <c r="AB381" s="68" t="str">
        <f t="shared" si="6"/>
        <v/>
      </c>
      <c r="AP381" s="94"/>
    </row>
    <row r="382">
      <c r="R382" s="93"/>
      <c r="S382" s="68"/>
      <c r="T382" s="38" t="str">
        <f>IFERROR(__xludf.DUMMYFUNCTION("IFERROR(
  TRIM(REGEXEXTRACT(H382,""\(Event\)\s*([^,]+)"")),
  IF(V382="""","""",IF(V382=""CASWJ"",""General / No Specific Project"",""General - ""&amp;V382))
)"),"")</f>
        <v/>
      </c>
      <c r="W382" s="38"/>
      <c r="AB382" s="68" t="str">
        <f t="shared" si="6"/>
        <v/>
      </c>
      <c r="AP382" s="94"/>
    </row>
    <row r="383">
      <c r="R383" s="93"/>
      <c r="S383" s="68"/>
      <c r="T383" s="38" t="str">
        <f>IFERROR(__xludf.DUMMYFUNCTION("IFERROR(
  TRIM(REGEXEXTRACT(H383,""\(Event\)\s*([^,]+)"")),
  IF(V383="""","""",IF(V383=""CASWJ"",""General / No Specific Project"",""General - ""&amp;V383))
)"),"")</f>
        <v/>
      </c>
      <c r="W383" s="38"/>
      <c r="AB383" s="68" t="str">
        <f t="shared" si="6"/>
        <v/>
      </c>
      <c r="AP383" s="94"/>
    </row>
    <row r="384">
      <c r="R384" s="93"/>
      <c r="S384" s="68"/>
      <c r="T384" s="38" t="str">
        <f>IFERROR(__xludf.DUMMYFUNCTION("IFERROR(
  TRIM(REGEXEXTRACT(H384,""\(Event\)\s*([^,]+)"")),
  IF(V384="""","""",IF(V384=""CASWJ"",""General / No Specific Project"",""General - ""&amp;V384))
)"),"")</f>
        <v/>
      </c>
      <c r="W384" s="38"/>
      <c r="AB384" s="68" t="str">
        <f t="shared" si="6"/>
        <v/>
      </c>
      <c r="AP384" s="94"/>
    </row>
    <row r="385">
      <c r="R385" s="93"/>
      <c r="S385" s="68"/>
      <c r="T385" s="38" t="str">
        <f>IFERROR(__xludf.DUMMYFUNCTION("IFERROR(
  TRIM(REGEXEXTRACT(H385,""\(Event\)\s*([^,]+)"")),
  IF(V385="""","""",IF(V385=""CASWJ"",""General / No Specific Project"",""General - ""&amp;V385))
)"),"")</f>
        <v/>
      </c>
      <c r="W385" s="38"/>
      <c r="AB385" s="68" t="str">
        <f t="shared" si="6"/>
        <v/>
      </c>
      <c r="AP385" s="94"/>
    </row>
    <row r="386">
      <c r="R386" s="93"/>
      <c r="S386" s="68"/>
      <c r="T386" s="38" t="str">
        <f>IFERROR(__xludf.DUMMYFUNCTION("IFERROR(
  TRIM(REGEXEXTRACT(H386,""\(Event\)\s*([^,]+)"")),
  IF(V386="""","""",IF(V386=""CASWJ"",""General / No Specific Project"",""General - ""&amp;V386))
)"),"")</f>
        <v/>
      </c>
      <c r="W386" s="38"/>
      <c r="AB386" s="68" t="str">
        <f t="shared" si="6"/>
        <v/>
      </c>
      <c r="AP386" s="94"/>
    </row>
    <row r="387">
      <c r="R387" s="93"/>
      <c r="S387" s="68"/>
      <c r="T387" s="38" t="str">
        <f>IFERROR(__xludf.DUMMYFUNCTION("IFERROR(
  TRIM(REGEXEXTRACT(H387,""\(Event\)\s*([^,]+)"")),
  IF(V387="""","""",IF(V387=""CASWJ"",""General / No Specific Project"",""General - ""&amp;V387))
)"),"")</f>
        <v/>
      </c>
      <c r="W387" s="38"/>
      <c r="AB387" s="68" t="str">
        <f t="shared" si="6"/>
        <v/>
      </c>
      <c r="AP387" s="94"/>
    </row>
    <row r="388">
      <c r="R388" s="93"/>
      <c r="S388" s="68"/>
      <c r="T388" s="38" t="str">
        <f>IFERROR(__xludf.DUMMYFUNCTION("IFERROR(
  TRIM(REGEXEXTRACT(H388,""\(Event\)\s*([^,]+)"")),
  IF(V388="""","""",IF(V388=""CASWJ"",""General / No Specific Project"",""General - ""&amp;V388))
)"),"")</f>
        <v/>
      </c>
      <c r="W388" s="38"/>
      <c r="AB388" s="68" t="str">
        <f t="shared" si="6"/>
        <v/>
      </c>
      <c r="AP388" s="94"/>
    </row>
    <row r="389">
      <c r="R389" s="93"/>
      <c r="S389" s="68"/>
      <c r="T389" s="38" t="str">
        <f>IFERROR(__xludf.DUMMYFUNCTION("IFERROR(
  TRIM(REGEXEXTRACT(H389,""\(Event\)\s*([^,]+)"")),
  IF(V389="""","""",IF(V389=""CASWJ"",""General / No Specific Project"",""General - ""&amp;V389))
)"),"")</f>
        <v/>
      </c>
      <c r="W389" s="38"/>
      <c r="AB389" s="68" t="str">
        <f t="shared" si="6"/>
        <v/>
      </c>
      <c r="AP389" s="94"/>
    </row>
    <row r="390">
      <c r="R390" s="93"/>
      <c r="S390" s="68"/>
      <c r="T390" s="38" t="str">
        <f>IFERROR(__xludf.DUMMYFUNCTION("IFERROR(
  TRIM(REGEXEXTRACT(H390,""\(Event\)\s*([^,]+)"")),
  IF(V390="""","""",IF(V390=""CASWJ"",""General / No Specific Project"",""General - ""&amp;V390))
)"),"")</f>
        <v/>
      </c>
      <c r="W390" s="38"/>
      <c r="AB390" s="68" t="str">
        <f t="shared" si="6"/>
        <v/>
      </c>
      <c r="AP390" s="94"/>
    </row>
    <row r="391">
      <c r="R391" s="93"/>
      <c r="S391" s="68"/>
      <c r="T391" s="38" t="str">
        <f>IFERROR(__xludf.DUMMYFUNCTION("IFERROR(
  TRIM(REGEXEXTRACT(H391,""\(Event\)\s*([^,]+)"")),
  IF(V391="""","""",IF(V391=""CASWJ"",""General / No Specific Project"",""General - ""&amp;V391))
)"),"")</f>
        <v/>
      </c>
      <c r="W391" s="38"/>
      <c r="AB391" s="68" t="str">
        <f t="shared" si="6"/>
        <v/>
      </c>
      <c r="AP391" s="94"/>
    </row>
    <row r="392">
      <c r="R392" s="93"/>
      <c r="S392" s="68"/>
      <c r="T392" s="38" t="str">
        <f>IFERROR(__xludf.DUMMYFUNCTION("IFERROR(
  TRIM(REGEXEXTRACT(H392,""\(Event\)\s*([^,]+)"")),
  IF(V392="""","""",IF(V392=""CASWJ"",""General / No Specific Project"",""General - ""&amp;V392))
)"),"")</f>
        <v/>
      </c>
      <c r="W392" s="38"/>
      <c r="AB392" s="68" t="str">
        <f t="shared" si="6"/>
        <v/>
      </c>
      <c r="AP392" s="94"/>
    </row>
    <row r="393">
      <c r="R393" s="93"/>
      <c r="S393" s="68"/>
      <c r="T393" s="38" t="str">
        <f>IFERROR(__xludf.DUMMYFUNCTION("IFERROR(
  TRIM(REGEXEXTRACT(H393,""\(Event\)\s*([^,]+)"")),
  IF(V393="""","""",IF(V393=""CASWJ"",""General / No Specific Project"",""General - ""&amp;V393))
)"),"")</f>
        <v/>
      </c>
      <c r="W393" s="38"/>
      <c r="AB393" s="68" t="str">
        <f t="shared" si="6"/>
        <v/>
      </c>
      <c r="AP393" s="94"/>
    </row>
    <row r="394">
      <c r="R394" s="93"/>
      <c r="S394" s="68"/>
      <c r="T394" s="38" t="str">
        <f>IFERROR(__xludf.DUMMYFUNCTION("IFERROR(
  TRIM(REGEXEXTRACT(H394,""\(Event\)\s*([^,]+)"")),
  IF(V394="""","""",IF(V394=""CASWJ"",""General / No Specific Project"",""General - ""&amp;V394))
)"),"")</f>
        <v/>
      </c>
      <c r="W394" s="38"/>
      <c r="AB394" s="68" t="str">
        <f t="shared" si="6"/>
        <v/>
      </c>
      <c r="AP394" s="94"/>
    </row>
    <row r="395">
      <c r="R395" s="93"/>
      <c r="S395" s="68"/>
      <c r="T395" s="38" t="str">
        <f>IFERROR(__xludf.DUMMYFUNCTION("IFERROR(
  TRIM(REGEXEXTRACT(H395,""\(Event\)\s*([^,]+)"")),
  IF(V395="""","""",IF(V395=""CASWJ"",""General / No Specific Project"",""General - ""&amp;V395))
)"),"")</f>
        <v/>
      </c>
      <c r="W395" s="38"/>
      <c r="AB395" s="68" t="str">
        <f t="shared" si="6"/>
        <v/>
      </c>
      <c r="AP395" s="94"/>
    </row>
    <row r="396">
      <c r="R396" s="93"/>
      <c r="S396" s="68"/>
      <c r="T396" s="38" t="str">
        <f>IFERROR(__xludf.DUMMYFUNCTION("IFERROR(
  TRIM(REGEXEXTRACT(H396,""\(Event\)\s*([^,]+)"")),
  IF(V396="""","""",IF(V396=""CASWJ"",""General / No Specific Project"",""General - ""&amp;V396))
)"),"")</f>
        <v/>
      </c>
      <c r="W396" s="38"/>
      <c r="AB396" s="68" t="str">
        <f t="shared" si="6"/>
        <v/>
      </c>
      <c r="AP396" s="94"/>
    </row>
    <row r="397">
      <c r="R397" s="93"/>
      <c r="S397" s="68"/>
      <c r="T397" s="38" t="str">
        <f>IFERROR(__xludf.DUMMYFUNCTION("IFERROR(
  TRIM(REGEXEXTRACT(H397,""\(Event\)\s*([^,]+)"")),
  IF(V397="""","""",IF(V397=""CASWJ"",""General / No Specific Project"",""General - ""&amp;V397))
)"),"")</f>
        <v/>
      </c>
      <c r="W397" s="38"/>
      <c r="AB397" s="68" t="str">
        <f t="shared" si="6"/>
        <v/>
      </c>
      <c r="AP397" s="94"/>
    </row>
    <row r="398">
      <c r="R398" s="93"/>
      <c r="S398" s="68"/>
      <c r="T398" s="38" t="str">
        <f>IFERROR(__xludf.DUMMYFUNCTION("IFERROR(
  TRIM(REGEXEXTRACT(H398,""\(Event\)\s*([^,]+)"")),
  IF(V398="""","""",IF(V398=""CASWJ"",""General / No Specific Project"",""General - ""&amp;V398))
)"),"")</f>
        <v/>
      </c>
      <c r="W398" s="38"/>
      <c r="AB398" s="68" t="str">
        <f t="shared" si="6"/>
        <v/>
      </c>
      <c r="AP398" s="94"/>
    </row>
    <row r="399">
      <c r="R399" s="93"/>
      <c r="S399" s="68"/>
      <c r="T399" s="38" t="str">
        <f>IFERROR(__xludf.DUMMYFUNCTION("IFERROR(
  TRIM(REGEXEXTRACT(H399,""\(Event\)\s*([^,]+)"")),
  IF(V399="""","""",IF(V399=""CASWJ"",""General / No Specific Project"",""General - ""&amp;V399))
)"),"")</f>
        <v/>
      </c>
      <c r="W399" s="38"/>
      <c r="AB399" s="68" t="str">
        <f t="shared" si="6"/>
        <v/>
      </c>
      <c r="AP399" s="94"/>
    </row>
    <row r="400">
      <c r="R400" s="93"/>
      <c r="S400" s="68"/>
      <c r="T400" s="38" t="str">
        <f>IFERROR(__xludf.DUMMYFUNCTION("IFERROR(
  TRIM(REGEXEXTRACT(H400,""\(Event\)\s*([^,]+)"")),
  IF(V400="""","""",IF(V400=""CASWJ"",""General / No Specific Project"",""General - ""&amp;V400))
)"),"")</f>
        <v/>
      </c>
      <c r="W400" s="38"/>
      <c r="AB400" s="68" t="str">
        <f t="shared" si="6"/>
        <v/>
      </c>
      <c r="AP400" s="94"/>
    </row>
    <row r="401">
      <c r="R401" s="93"/>
      <c r="S401" s="68"/>
      <c r="T401" s="38" t="str">
        <f>IFERROR(__xludf.DUMMYFUNCTION("IFERROR(
  TRIM(REGEXEXTRACT(H401,""\(Event\)\s*([^,]+)"")),
  IF(V401="""","""",IF(V401=""CASWJ"",""General / No Specific Project"",""General - ""&amp;V401))
)"),"")</f>
        <v/>
      </c>
      <c r="W401" s="38"/>
      <c r="AB401" s="68" t="str">
        <f t="shared" si="6"/>
        <v/>
      </c>
      <c r="AP401" s="94"/>
    </row>
    <row r="402">
      <c r="R402" s="93"/>
      <c r="S402" s="68"/>
      <c r="T402" s="38" t="str">
        <f>IFERROR(__xludf.DUMMYFUNCTION("IFERROR(
  TRIM(REGEXEXTRACT(H402,""\(Event\)\s*([^,]+)"")),
  IF(V402="""","""",IF(V402=""CASWJ"",""General / No Specific Project"",""General - ""&amp;V402))
)"),"")</f>
        <v/>
      </c>
      <c r="W402" s="38"/>
      <c r="AB402" s="68" t="str">
        <f t="shared" si="6"/>
        <v/>
      </c>
      <c r="AP402" s="94"/>
    </row>
    <row r="403">
      <c r="R403" s="93"/>
      <c r="S403" s="68"/>
      <c r="T403" s="38" t="str">
        <f>IFERROR(__xludf.DUMMYFUNCTION("IFERROR(
  TRIM(REGEXEXTRACT(H403,""\(Event\)\s*([^,]+)"")),
  IF(V403="""","""",IF(V403=""CASWJ"",""General / No Specific Project"",""General - ""&amp;V403))
)"),"")</f>
        <v/>
      </c>
      <c r="W403" s="38"/>
      <c r="AB403" s="68" t="str">
        <f t="shared" si="6"/>
        <v/>
      </c>
      <c r="AP403" s="94"/>
    </row>
    <row r="404">
      <c r="R404" s="93"/>
      <c r="S404" s="68"/>
      <c r="T404" s="38" t="str">
        <f>IFERROR(__xludf.DUMMYFUNCTION("IFERROR(
  TRIM(REGEXEXTRACT(H404,""\(Event\)\s*([^,]+)"")),
  IF(V404="""","""",IF(V404=""CASWJ"",""General / No Specific Project"",""General - ""&amp;V404))
)"),"")</f>
        <v/>
      </c>
      <c r="W404" s="38"/>
      <c r="AB404" s="68" t="str">
        <f t="shared" si="6"/>
        <v/>
      </c>
      <c r="AP404" s="94"/>
    </row>
    <row r="405">
      <c r="R405" s="93"/>
      <c r="S405" s="68"/>
      <c r="T405" s="38" t="str">
        <f>IFERROR(__xludf.DUMMYFUNCTION("IFERROR(
  TRIM(REGEXEXTRACT(H405,""\(Event\)\s*([^,]+)"")),
  IF(V405="""","""",IF(V405=""CASWJ"",""General / No Specific Project"",""General - ""&amp;V405))
)"),"")</f>
        <v/>
      </c>
      <c r="W405" s="38"/>
      <c r="AB405" s="68" t="str">
        <f t="shared" si="6"/>
        <v/>
      </c>
      <c r="AP405" s="94"/>
    </row>
    <row r="406">
      <c r="R406" s="93"/>
      <c r="S406" s="68"/>
      <c r="T406" s="38" t="str">
        <f>IFERROR(__xludf.DUMMYFUNCTION("IFERROR(
  TRIM(REGEXEXTRACT(H406,""\(Event\)\s*([^,]+)"")),
  IF(V406="""","""",IF(V406=""CASWJ"",""General / No Specific Project"",""General - ""&amp;V406))
)"),"")</f>
        <v/>
      </c>
      <c r="W406" s="38"/>
      <c r="AB406" s="68" t="str">
        <f t="shared" si="6"/>
        <v/>
      </c>
      <c r="AP406" s="94"/>
    </row>
    <row r="407">
      <c r="R407" s="93"/>
      <c r="S407" s="68"/>
      <c r="T407" s="38" t="str">
        <f>IFERROR(__xludf.DUMMYFUNCTION("IFERROR(
  TRIM(REGEXEXTRACT(H407,""\(Event\)\s*([^,]+)"")),
  IF(V407="""","""",IF(V407=""CASWJ"",""General / No Specific Project"",""General - ""&amp;V407))
)"),"")</f>
        <v/>
      </c>
      <c r="W407" s="38"/>
      <c r="AB407" s="68" t="str">
        <f t="shared" si="6"/>
        <v/>
      </c>
      <c r="AP407" s="94"/>
    </row>
    <row r="408">
      <c r="R408" s="93"/>
      <c r="S408" s="68"/>
      <c r="T408" s="38" t="str">
        <f>IFERROR(__xludf.DUMMYFUNCTION("IFERROR(
  TRIM(REGEXEXTRACT(H408,""\(Event\)\s*([^,]+)"")),
  IF(V408="""","""",IF(V408=""CASWJ"",""General / No Specific Project"",""General - ""&amp;V408))
)"),"")</f>
        <v/>
      </c>
      <c r="W408" s="38"/>
      <c r="AB408" s="68" t="str">
        <f t="shared" si="6"/>
        <v/>
      </c>
      <c r="AP408" s="94"/>
    </row>
    <row r="409">
      <c r="R409" s="93"/>
      <c r="S409" s="68"/>
      <c r="T409" s="38" t="str">
        <f>IFERROR(__xludf.DUMMYFUNCTION("IFERROR(
  TRIM(REGEXEXTRACT(H409,""\(Event\)\s*([^,]+)"")),
  IF(V409="""","""",IF(V409=""CASWJ"",""General / No Specific Project"",""General - ""&amp;V409))
)"),"")</f>
        <v/>
      </c>
      <c r="W409" s="38"/>
      <c r="AB409" s="68" t="str">
        <f t="shared" si="6"/>
        <v/>
      </c>
      <c r="AP409" s="94"/>
    </row>
    <row r="410">
      <c r="R410" s="93"/>
      <c r="S410" s="68"/>
      <c r="T410" s="38" t="str">
        <f>IFERROR(__xludf.DUMMYFUNCTION("IFERROR(
  TRIM(REGEXEXTRACT(H410,""\(Event\)\s*([^,]+)"")),
  IF(V410="""","""",IF(V410=""CASWJ"",""General / No Specific Project"",""General - ""&amp;V410))
)"),"")</f>
        <v/>
      </c>
      <c r="W410" s="38"/>
      <c r="AB410" s="68" t="str">
        <f t="shared" si="6"/>
        <v/>
      </c>
      <c r="AP410" s="94"/>
    </row>
    <row r="411">
      <c r="R411" s="93"/>
      <c r="S411" s="68"/>
      <c r="T411" s="38" t="str">
        <f>IFERROR(__xludf.DUMMYFUNCTION("IFERROR(
  TRIM(REGEXEXTRACT(H411,""\(Event\)\s*([^,]+)"")),
  IF(V411="""","""",IF(V411=""CASWJ"",""General / No Specific Project"",""General - ""&amp;V411))
)"),"")</f>
        <v/>
      </c>
      <c r="W411" s="38"/>
      <c r="AB411" s="68" t="str">
        <f t="shared" si="6"/>
        <v/>
      </c>
      <c r="AP411" s="94"/>
    </row>
    <row r="412">
      <c r="R412" s="93"/>
      <c r="S412" s="68"/>
      <c r="T412" s="38" t="str">
        <f>IFERROR(__xludf.DUMMYFUNCTION("IFERROR(
  TRIM(REGEXEXTRACT(H412,""\(Event\)\s*([^,]+)"")),
  IF(V412="""","""",IF(V412=""CASWJ"",""General / No Specific Project"",""General - ""&amp;V412))
)"),"")</f>
        <v/>
      </c>
      <c r="W412" s="38"/>
      <c r="AB412" s="68" t="str">
        <f t="shared" si="6"/>
        <v/>
      </c>
      <c r="AP412" s="94"/>
    </row>
    <row r="413">
      <c r="R413" s="93"/>
      <c r="S413" s="68"/>
      <c r="T413" s="38" t="str">
        <f>IFERROR(__xludf.DUMMYFUNCTION("IFERROR(
  TRIM(REGEXEXTRACT(H413,""\(Event\)\s*([^,]+)"")),
  IF(V413="""","""",IF(V413=""CASWJ"",""General / No Specific Project"",""General - ""&amp;V413))
)"),"")</f>
        <v/>
      </c>
      <c r="W413" s="38"/>
      <c r="AB413" s="68" t="str">
        <f t="shared" si="6"/>
        <v/>
      </c>
      <c r="AP413" s="94"/>
    </row>
    <row r="414">
      <c r="R414" s="93"/>
      <c r="S414" s="68"/>
      <c r="T414" s="38" t="str">
        <f>IFERROR(__xludf.DUMMYFUNCTION("IFERROR(
  TRIM(REGEXEXTRACT(H414,""\(Event\)\s*([^,]+)"")),
  IF(V414="""","""",IF(V414=""CASWJ"",""General / No Specific Project"",""General - ""&amp;V414))
)"),"")</f>
        <v/>
      </c>
      <c r="W414" s="38"/>
      <c r="AB414" s="68" t="str">
        <f t="shared" si="6"/>
        <v/>
      </c>
      <c r="AP414" s="94"/>
    </row>
    <row r="415">
      <c r="R415" s="93"/>
      <c r="S415" s="68"/>
      <c r="T415" s="38" t="str">
        <f>IFERROR(__xludf.DUMMYFUNCTION("IFERROR(
  TRIM(REGEXEXTRACT(H415,""\(Event\)\s*([^,]+)"")),
  IF(V415="""","""",IF(V415=""CASWJ"",""General / No Specific Project"",""General - ""&amp;V415))
)"),"")</f>
        <v/>
      </c>
      <c r="W415" s="38"/>
      <c r="AB415" s="68" t="str">
        <f t="shared" si="6"/>
        <v/>
      </c>
      <c r="AP415" s="94"/>
    </row>
    <row r="416">
      <c r="R416" s="93"/>
      <c r="S416" s="68"/>
      <c r="T416" s="38" t="str">
        <f>IFERROR(__xludf.DUMMYFUNCTION("IFERROR(
  TRIM(REGEXEXTRACT(H416,""\(Event\)\s*([^,]+)"")),
  IF(V416="""","""",IF(V416=""CASWJ"",""General / No Specific Project"",""General - ""&amp;V416))
)"),"")</f>
        <v/>
      </c>
      <c r="W416" s="38"/>
      <c r="AB416" s="68" t="str">
        <f t="shared" si="6"/>
        <v/>
      </c>
      <c r="AP416" s="94"/>
    </row>
    <row r="417">
      <c r="R417" s="93"/>
      <c r="S417" s="68"/>
      <c r="T417" s="38" t="str">
        <f>IFERROR(__xludf.DUMMYFUNCTION("IFERROR(
  TRIM(REGEXEXTRACT(H417,""\(Event\)\s*([^,]+)"")),
  IF(V417="""","""",IF(V417=""CASWJ"",""General / No Specific Project"",""General - ""&amp;V417))
)"),"")</f>
        <v/>
      </c>
      <c r="W417" s="38"/>
      <c r="AB417" s="68" t="str">
        <f t="shared" si="6"/>
        <v/>
      </c>
      <c r="AP417" s="94"/>
    </row>
    <row r="418">
      <c r="R418" s="93"/>
      <c r="S418" s="68"/>
      <c r="T418" s="38" t="str">
        <f>IFERROR(__xludf.DUMMYFUNCTION("IFERROR(
  TRIM(REGEXEXTRACT(H418,""\(Event\)\s*([^,]+)"")),
  IF(V418="""","""",IF(V418=""CASWJ"",""General / No Specific Project"",""General - ""&amp;V418))
)"),"")</f>
        <v/>
      </c>
      <c r="W418" s="38"/>
      <c r="AB418" s="68" t="str">
        <f t="shared" si="6"/>
        <v/>
      </c>
      <c r="AP418" s="94"/>
    </row>
    <row r="419">
      <c r="R419" s="93"/>
      <c r="S419" s="68"/>
      <c r="T419" s="38" t="str">
        <f>IFERROR(__xludf.DUMMYFUNCTION("IFERROR(
  TRIM(REGEXEXTRACT(H419,""\(Event\)\s*([^,]+)"")),
  IF(V419="""","""",IF(V419=""CASWJ"",""General / No Specific Project"",""General - ""&amp;V419))
)"),"")</f>
        <v/>
      </c>
      <c r="W419" s="38"/>
      <c r="AB419" s="68" t="str">
        <f t="shared" si="6"/>
        <v/>
      </c>
      <c r="AP419" s="94"/>
    </row>
    <row r="420">
      <c r="R420" s="93"/>
      <c r="S420" s="68"/>
      <c r="T420" s="38" t="str">
        <f>IFERROR(__xludf.DUMMYFUNCTION("IFERROR(
  TRIM(REGEXEXTRACT(H420,""\(Event\)\s*([^,]+)"")),
  IF(V420="""","""",IF(V420=""CASWJ"",""General / No Specific Project"",""General - ""&amp;V420))
)"),"")</f>
        <v/>
      </c>
      <c r="W420" s="38"/>
      <c r="AB420" s="68" t="str">
        <f t="shared" si="6"/>
        <v/>
      </c>
      <c r="AP420" s="94"/>
    </row>
    <row r="421">
      <c r="R421" s="93"/>
      <c r="S421" s="68"/>
      <c r="T421" s="38" t="str">
        <f>IFERROR(__xludf.DUMMYFUNCTION("IFERROR(
  TRIM(REGEXEXTRACT(H421,""\(Event\)\s*([^,]+)"")),
  IF(V421="""","""",IF(V421=""CASWJ"",""General / No Specific Project"",""General - ""&amp;V421))
)"),"")</f>
        <v/>
      </c>
      <c r="W421" s="38"/>
      <c r="AB421" s="68" t="str">
        <f t="shared" si="6"/>
        <v/>
      </c>
      <c r="AP421" s="94"/>
    </row>
    <row r="422">
      <c r="R422" s="93"/>
      <c r="S422" s="68"/>
      <c r="T422" s="38" t="str">
        <f>IFERROR(__xludf.DUMMYFUNCTION("IFERROR(
  TRIM(REGEXEXTRACT(H422,""\(Event\)\s*([^,]+)"")),
  IF(V422="""","""",IF(V422=""CASWJ"",""General / No Specific Project"",""General - ""&amp;V422))
)"),"")</f>
        <v/>
      </c>
      <c r="W422" s="38"/>
      <c r="AB422" s="68" t="str">
        <f t="shared" si="6"/>
        <v/>
      </c>
      <c r="AP422" s="94"/>
    </row>
    <row r="423">
      <c r="R423" s="93"/>
      <c r="S423" s="68"/>
      <c r="T423" s="38" t="str">
        <f>IFERROR(__xludf.DUMMYFUNCTION("IFERROR(
  TRIM(REGEXEXTRACT(H423,""\(Event\)\s*([^,]+)"")),
  IF(V423="""","""",IF(V423=""CASWJ"",""General / No Specific Project"",""General - ""&amp;V423))
)"),"")</f>
        <v/>
      </c>
      <c r="W423" s="38"/>
      <c r="AB423" s="68" t="str">
        <f t="shared" si="6"/>
        <v/>
      </c>
      <c r="AP423" s="94"/>
    </row>
    <row r="424">
      <c r="R424" s="93"/>
      <c r="S424" s="68"/>
      <c r="T424" s="38" t="str">
        <f>IFERROR(__xludf.DUMMYFUNCTION("IFERROR(
  TRIM(REGEXEXTRACT(H424,""\(Event\)\s*([^,]+)"")),
  IF(V424="""","""",IF(V424=""CASWJ"",""General / No Specific Project"",""General - ""&amp;V424))
)"),"")</f>
        <v/>
      </c>
      <c r="W424" s="38"/>
      <c r="AB424" s="68" t="str">
        <f t="shared" si="6"/>
        <v/>
      </c>
      <c r="AP424" s="94"/>
    </row>
    <row r="425">
      <c r="R425" s="93"/>
      <c r="S425" s="68"/>
      <c r="T425" s="38" t="str">
        <f>IFERROR(__xludf.DUMMYFUNCTION("IFERROR(
  TRIM(REGEXEXTRACT(H425,""\(Event\)\s*([^,]+)"")),
  IF(V425="""","""",IF(V425=""CASWJ"",""General / No Specific Project"",""General - ""&amp;V425))
)"),"")</f>
        <v/>
      </c>
      <c r="W425" s="38"/>
      <c r="AB425" s="68" t="str">
        <f t="shared" si="6"/>
        <v/>
      </c>
      <c r="AP425" s="94"/>
    </row>
    <row r="426">
      <c r="R426" s="93"/>
      <c r="S426" s="68"/>
      <c r="T426" s="38" t="str">
        <f>IFERROR(__xludf.DUMMYFUNCTION("IFERROR(
  TRIM(REGEXEXTRACT(H426,""\(Event\)\s*([^,]+)"")),
  IF(V426="""","""",IF(V426=""CASWJ"",""General / No Specific Project"",""General - ""&amp;V426))
)"),"")</f>
        <v/>
      </c>
      <c r="W426" s="38"/>
      <c r="AB426" s="68" t="str">
        <f t="shared" si="6"/>
        <v/>
      </c>
      <c r="AP426" s="94"/>
    </row>
    <row r="427">
      <c r="R427" s="93"/>
      <c r="S427" s="68"/>
      <c r="T427" s="38" t="str">
        <f>IFERROR(__xludf.DUMMYFUNCTION("IFERROR(
  TRIM(REGEXEXTRACT(H427,""\(Event\)\s*([^,]+)"")),
  IF(V427="""","""",IF(V427=""CASWJ"",""General / No Specific Project"",""General - ""&amp;V427))
)"),"")</f>
        <v/>
      </c>
      <c r="W427" s="38"/>
      <c r="AB427" s="68" t="str">
        <f t="shared" si="6"/>
        <v/>
      </c>
      <c r="AP427" s="94"/>
    </row>
    <row r="428">
      <c r="R428" s="93"/>
      <c r="S428" s="68"/>
      <c r="T428" s="38" t="str">
        <f>IFERROR(__xludf.DUMMYFUNCTION("IFERROR(
  TRIM(REGEXEXTRACT(H428,""\(Event\)\s*([^,]+)"")),
  IF(V428="""","""",IF(V428=""CASWJ"",""General / No Specific Project"",""General - ""&amp;V428))
)"),"")</f>
        <v/>
      </c>
      <c r="W428" s="38"/>
      <c r="AB428" s="68" t="str">
        <f t="shared" si="6"/>
        <v/>
      </c>
      <c r="AP428" s="94"/>
    </row>
    <row r="429">
      <c r="R429" s="93"/>
      <c r="S429" s="68"/>
      <c r="T429" s="38" t="str">
        <f>IFERROR(__xludf.DUMMYFUNCTION("IFERROR(
  TRIM(REGEXEXTRACT(H429,""\(Event\)\s*([^,]+)"")),
  IF(V429="""","""",IF(V429=""CASWJ"",""General / No Specific Project"",""General - ""&amp;V429))
)"),"")</f>
        <v/>
      </c>
      <c r="W429" s="38"/>
      <c r="AB429" s="68" t="str">
        <f t="shared" si="6"/>
        <v/>
      </c>
      <c r="AP429" s="94"/>
    </row>
    <row r="430">
      <c r="R430" s="93"/>
      <c r="S430" s="68"/>
      <c r="T430" s="38" t="str">
        <f>IFERROR(__xludf.DUMMYFUNCTION("IFERROR(
  TRIM(REGEXEXTRACT(H430,""\(Event\)\s*([^,]+)"")),
  IF(V430="""","""",IF(V430=""CASWJ"",""General / No Specific Project"",""General - ""&amp;V430))
)"),"")</f>
        <v/>
      </c>
      <c r="W430" s="38"/>
      <c r="AB430" s="68" t="str">
        <f t="shared" si="6"/>
        <v/>
      </c>
      <c r="AP430" s="94"/>
    </row>
    <row r="431">
      <c r="R431" s="93"/>
      <c r="S431" s="68"/>
      <c r="T431" s="38" t="str">
        <f>IFERROR(__xludf.DUMMYFUNCTION("IFERROR(
  TRIM(REGEXEXTRACT(H431,""\(Event\)\s*([^,]+)"")),
  IF(V431="""","""",IF(V431=""CASWJ"",""General / No Specific Project"",""General - ""&amp;V431))
)"),"")</f>
        <v/>
      </c>
      <c r="W431" s="38"/>
      <c r="AB431" s="68" t="str">
        <f t="shared" si="6"/>
        <v/>
      </c>
      <c r="AP431" s="94"/>
    </row>
    <row r="432">
      <c r="R432" s="93"/>
      <c r="S432" s="68"/>
      <c r="T432" s="38" t="str">
        <f>IFERROR(__xludf.DUMMYFUNCTION("IFERROR(
  TRIM(REGEXEXTRACT(H432,""\(Event\)\s*([^,]+)"")),
  IF(V432="""","""",IF(V432=""CASWJ"",""General / No Specific Project"",""General - ""&amp;V432))
)"),"")</f>
        <v/>
      </c>
      <c r="W432" s="38"/>
      <c r="AB432" s="68" t="str">
        <f t="shared" si="6"/>
        <v/>
      </c>
      <c r="AP432" s="94"/>
    </row>
    <row r="433">
      <c r="R433" s="93"/>
      <c r="S433" s="68"/>
      <c r="T433" s="38" t="str">
        <f>IFERROR(__xludf.DUMMYFUNCTION("IFERROR(
  TRIM(REGEXEXTRACT(H433,""\(Event\)\s*([^,]+)"")),
  IF(V433="""","""",IF(V433=""CASWJ"",""General / No Specific Project"",""General - ""&amp;V433))
)"),"")</f>
        <v/>
      </c>
      <c r="W433" s="38"/>
      <c r="AB433" s="68" t="str">
        <f t="shared" si="6"/>
        <v/>
      </c>
      <c r="AP433" s="94"/>
    </row>
    <row r="434">
      <c r="R434" s="93"/>
      <c r="S434" s="68"/>
      <c r="T434" s="38" t="str">
        <f>IFERROR(__xludf.DUMMYFUNCTION("IFERROR(
  TRIM(REGEXEXTRACT(H434,""\(Event\)\s*([^,]+)"")),
  IF(V434="""","""",IF(V434=""CASWJ"",""General / No Specific Project"",""General - ""&amp;V434))
)"),"")</f>
        <v/>
      </c>
      <c r="W434" s="38"/>
      <c r="AB434" s="68" t="str">
        <f t="shared" si="6"/>
        <v/>
      </c>
      <c r="AP434" s="94"/>
    </row>
    <row r="435">
      <c r="R435" s="93"/>
      <c r="S435" s="68"/>
      <c r="T435" s="38" t="str">
        <f>IFERROR(__xludf.DUMMYFUNCTION("IFERROR(
  TRIM(REGEXEXTRACT(H435,""\(Event\)\s*([^,]+)"")),
  IF(V435="""","""",IF(V435=""CASWJ"",""General / No Specific Project"",""General - ""&amp;V435))
)"),"")</f>
        <v/>
      </c>
      <c r="W435" s="38"/>
      <c r="AB435" s="68" t="str">
        <f t="shared" si="6"/>
        <v/>
      </c>
      <c r="AP435" s="94"/>
    </row>
    <row r="436">
      <c r="R436" s="93"/>
      <c r="S436" s="68"/>
      <c r="T436" s="38" t="str">
        <f>IFERROR(__xludf.DUMMYFUNCTION("IFERROR(
  TRIM(REGEXEXTRACT(H436,""\(Event\)\s*([^,]+)"")),
  IF(V436="""","""",IF(V436=""CASWJ"",""General / No Specific Project"",""General - ""&amp;V436))
)"),"")</f>
        <v/>
      </c>
      <c r="W436" s="38"/>
      <c r="AB436" s="68" t="str">
        <f t="shared" si="6"/>
        <v/>
      </c>
      <c r="AP436" s="94"/>
    </row>
    <row r="437">
      <c r="R437" s="93"/>
      <c r="S437" s="68"/>
      <c r="T437" s="38" t="str">
        <f>IFERROR(__xludf.DUMMYFUNCTION("IFERROR(
  TRIM(REGEXEXTRACT(H437,""\(Event\)\s*([^,]+)"")),
  IF(V437="""","""",IF(V437=""CASWJ"",""General / No Specific Project"",""General - ""&amp;V437))
)"),"")</f>
        <v/>
      </c>
      <c r="W437" s="38"/>
      <c r="AB437" s="68" t="str">
        <f t="shared" si="6"/>
        <v/>
      </c>
      <c r="AP437" s="94"/>
    </row>
    <row r="438">
      <c r="R438" s="93"/>
      <c r="S438" s="68"/>
      <c r="T438" s="38" t="str">
        <f>IFERROR(__xludf.DUMMYFUNCTION("IFERROR(
  TRIM(REGEXEXTRACT(H438,""\(Event\)\s*([^,]+)"")),
  IF(V438="""","""",IF(V438=""CASWJ"",""General / No Specific Project"",""General - ""&amp;V438))
)"),"")</f>
        <v/>
      </c>
      <c r="W438" s="38"/>
      <c r="AB438" s="68" t="str">
        <f t="shared" si="6"/>
        <v/>
      </c>
      <c r="AP438" s="94"/>
    </row>
    <row r="439">
      <c r="R439" s="93"/>
      <c r="S439" s="68"/>
      <c r="T439" s="38" t="str">
        <f>IFERROR(__xludf.DUMMYFUNCTION("IFERROR(
  TRIM(REGEXEXTRACT(H439,""\(Event\)\s*([^,]+)"")),
  IF(V439="""","""",IF(V439=""CASWJ"",""General / No Specific Project"",""General - ""&amp;V439))
)"),"")</f>
        <v/>
      </c>
      <c r="W439" s="38"/>
      <c r="AB439" s="68" t="str">
        <f t="shared" si="6"/>
        <v/>
      </c>
      <c r="AP439" s="94"/>
    </row>
    <row r="440">
      <c r="R440" s="93"/>
      <c r="S440" s="68"/>
      <c r="T440" s="38" t="str">
        <f>IFERROR(__xludf.DUMMYFUNCTION("IFERROR(
  TRIM(REGEXEXTRACT(H440,""\(Event\)\s*([^,]+)"")),
  IF(V440="""","""",IF(V440=""CASWJ"",""General / No Specific Project"",""General - ""&amp;V440))
)"),"")</f>
        <v/>
      </c>
      <c r="W440" s="38"/>
      <c r="AB440" s="68" t="str">
        <f t="shared" si="6"/>
        <v/>
      </c>
      <c r="AP440" s="94"/>
    </row>
    <row r="441">
      <c r="R441" s="93"/>
      <c r="S441" s="68"/>
      <c r="T441" s="38" t="str">
        <f>IFERROR(__xludf.DUMMYFUNCTION("IFERROR(
  TRIM(REGEXEXTRACT(H441,""\(Event\)\s*([^,]+)"")),
  IF(V441="""","""",IF(V441=""CASWJ"",""General / No Specific Project"",""General - ""&amp;V441))
)"),"")</f>
        <v/>
      </c>
      <c r="W441" s="38"/>
      <c r="AB441" s="68" t="str">
        <f t="shared" si="6"/>
        <v/>
      </c>
      <c r="AP441" s="94"/>
    </row>
    <row r="442">
      <c r="R442" s="93"/>
      <c r="S442" s="68"/>
      <c r="T442" s="38" t="str">
        <f>IFERROR(__xludf.DUMMYFUNCTION("IFERROR(
  TRIM(REGEXEXTRACT(H442,""\(Event\)\s*([^,]+)"")),
  IF(V442="""","""",IF(V442=""CASWJ"",""General / No Specific Project"",""General - ""&amp;V442))
)"),"")</f>
        <v/>
      </c>
      <c r="W442" s="38"/>
      <c r="AB442" s="68" t="str">
        <f t="shared" si="6"/>
        <v/>
      </c>
      <c r="AP442" s="94"/>
    </row>
    <row r="443">
      <c r="R443" s="93"/>
      <c r="S443" s="68"/>
      <c r="T443" s="38" t="str">
        <f>IFERROR(__xludf.DUMMYFUNCTION("IFERROR(
  TRIM(REGEXEXTRACT(H443,""\(Event\)\s*([^,]+)"")),
  IF(V443="""","""",IF(V443=""CASWJ"",""General / No Specific Project"",""General - ""&amp;V443))
)"),"")</f>
        <v/>
      </c>
      <c r="W443" s="38"/>
      <c r="AB443" s="68" t="str">
        <f t="shared" si="6"/>
        <v/>
      </c>
      <c r="AP443" s="94"/>
    </row>
    <row r="444">
      <c r="R444" s="93"/>
      <c r="S444" s="68"/>
      <c r="T444" s="38" t="str">
        <f>IFERROR(__xludf.DUMMYFUNCTION("IFERROR(
  TRIM(REGEXEXTRACT(H444,""\(Event\)\s*([^,]+)"")),
  IF(V444="""","""",IF(V444=""CASWJ"",""General / No Specific Project"",""General - ""&amp;V444))
)"),"")</f>
        <v/>
      </c>
      <c r="W444" s="38"/>
      <c r="AB444" s="68" t="str">
        <f t="shared" si="6"/>
        <v/>
      </c>
      <c r="AP444" s="94"/>
    </row>
    <row r="445">
      <c r="R445" s="93"/>
      <c r="S445" s="68"/>
      <c r="T445" s="38" t="str">
        <f>IFERROR(__xludf.DUMMYFUNCTION("IFERROR(
  TRIM(REGEXEXTRACT(H445,""\(Event\)\s*([^,]+)"")),
  IF(V445="""","""",IF(V445=""CASWJ"",""General / No Specific Project"",""General - ""&amp;V445))
)"),"")</f>
        <v/>
      </c>
      <c r="W445" s="38"/>
      <c r="AB445" s="68" t="str">
        <f t="shared" si="6"/>
        <v/>
      </c>
      <c r="AP445" s="94"/>
    </row>
    <row r="446">
      <c r="R446" s="93"/>
      <c r="S446" s="68"/>
      <c r="T446" s="38" t="str">
        <f>IFERROR(__xludf.DUMMYFUNCTION("IFERROR(
  TRIM(REGEXEXTRACT(H446,""\(Event\)\s*([^,]+)"")),
  IF(V446="""","""",IF(V446=""CASWJ"",""General / No Specific Project"",""General - ""&amp;V446))
)"),"")</f>
        <v/>
      </c>
      <c r="W446" s="38"/>
      <c r="AB446" s="68" t="str">
        <f t="shared" si="6"/>
        <v/>
      </c>
      <c r="AP446" s="94"/>
    </row>
    <row r="447">
      <c r="R447" s="93"/>
      <c r="S447" s="68"/>
      <c r="T447" s="38" t="str">
        <f>IFERROR(__xludf.DUMMYFUNCTION("IFERROR(
  TRIM(REGEXEXTRACT(H447,""\(Event\)\s*([^,]+)"")),
  IF(V447="""","""",IF(V447=""CASWJ"",""General / No Specific Project"",""General - ""&amp;V447))
)"),"")</f>
        <v/>
      </c>
      <c r="W447" s="38"/>
      <c r="AB447" s="68" t="str">
        <f t="shared" si="6"/>
        <v/>
      </c>
      <c r="AP447" s="94"/>
    </row>
    <row r="448">
      <c r="R448" s="93"/>
      <c r="S448" s="68"/>
      <c r="T448" s="38" t="str">
        <f>IFERROR(__xludf.DUMMYFUNCTION("IFERROR(
  TRIM(REGEXEXTRACT(H448,""\(Event\)\s*([^,]+)"")),
  IF(V448="""","""",IF(V448=""CASWJ"",""General / No Specific Project"",""General - ""&amp;V448))
)"),"")</f>
        <v/>
      </c>
      <c r="W448" s="38"/>
      <c r="AB448" s="68" t="str">
        <f t="shared" si="6"/>
        <v/>
      </c>
      <c r="AP448" s="94"/>
    </row>
    <row r="449">
      <c r="R449" s="93"/>
      <c r="S449" s="68"/>
      <c r="T449" s="38" t="str">
        <f>IFERROR(__xludf.DUMMYFUNCTION("IFERROR(
  TRIM(REGEXEXTRACT(H449,""\(Event\)\s*([^,]+)"")),
  IF(V449="""","""",IF(V449=""CASWJ"",""General / No Specific Project"",""General - ""&amp;V449))
)"),"")</f>
        <v/>
      </c>
      <c r="W449" s="38"/>
      <c r="AB449" s="68" t="str">
        <f t="shared" si="6"/>
        <v/>
      </c>
      <c r="AP449" s="94"/>
    </row>
    <row r="450">
      <c r="R450" s="93"/>
      <c r="S450" s="68"/>
      <c r="T450" s="38" t="str">
        <f>IFERROR(__xludf.DUMMYFUNCTION("IFERROR(
  TRIM(REGEXEXTRACT(H450,""\(Event\)\s*([^,]+)"")),
  IF(V450="""","""",IF(V450=""CASWJ"",""General / No Specific Project"",""General - ""&amp;V450))
)"),"")</f>
        <v/>
      </c>
      <c r="W450" s="38"/>
      <c r="AB450" s="68" t="str">
        <f t="shared" si="6"/>
        <v/>
      </c>
      <c r="AP450" s="94"/>
    </row>
    <row r="451">
      <c r="R451" s="93"/>
      <c r="S451" s="68"/>
      <c r="T451" s="38" t="str">
        <f>IFERROR(__xludf.DUMMYFUNCTION("IFERROR(
  TRIM(REGEXEXTRACT(H451,""\(Event\)\s*([^,]+)"")),
  IF(V451="""","""",IF(V451=""CASWJ"",""General / No Specific Project"",""General - ""&amp;V451))
)"),"")</f>
        <v/>
      </c>
      <c r="W451" s="38"/>
      <c r="AB451" s="68" t="str">
        <f t="shared" si="6"/>
        <v/>
      </c>
      <c r="AP451" s="94"/>
    </row>
    <row r="452">
      <c r="R452" s="93"/>
      <c r="S452" s="68"/>
      <c r="T452" s="38" t="str">
        <f>IFERROR(__xludf.DUMMYFUNCTION("IFERROR(
  TRIM(REGEXEXTRACT(H452,""\(Event\)\s*([^,]+)"")),
  IF(V452="""","""",IF(V452=""CASWJ"",""General / No Specific Project"",""General - ""&amp;V452))
)"),"")</f>
        <v/>
      </c>
      <c r="W452" s="38"/>
      <c r="AB452" s="68" t="str">
        <f t="shared" si="6"/>
        <v/>
      </c>
      <c r="AP452" s="94"/>
    </row>
    <row r="453">
      <c r="R453" s="93"/>
      <c r="S453" s="68"/>
      <c r="T453" s="38" t="str">
        <f>IFERROR(__xludf.DUMMYFUNCTION("IFERROR(
  TRIM(REGEXEXTRACT(H453,""\(Event\)\s*([^,]+)"")),
  IF(V453="""","""",IF(V453=""CASWJ"",""General / No Specific Project"",""General - ""&amp;V453))
)"),"")</f>
        <v/>
      </c>
      <c r="W453" s="38"/>
      <c r="AB453" s="68" t="str">
        <f t="shared" si="6"/>
        <v/>
      </c>
      <c r="AP453" s="94"/>
    </row>
    <row r="454">
      <c r="R454" s="93"/>
      <c r="S454" s="68"/>
      <c r="T454" s="38" t="str">
        <f>IFERROR(__xludf.DUMMYFUNCTION("IFERROR(
  TRIM(REGEXEXTRACT(H454,""\(Event\)\s*([^,]+)"")),
  IF(V454="""","""",IF(V454=""CASWJ"",""General / No Specific Project"",""General - ""&amp;V454))
)"),"")</f>
        <v/>
      </c>
      <c r="W454" s="38"/>
      <c r="AB454" s="68" t="str">
        <f t="shared" si="6"/>
        <v/>
      </c>
      <c r="AP454" s="94"/>
    </row>
    <row r="455">
      <c r="R455" s="93"/>
      <c r="S455" s="68"/>
      <c r="T455" s="38" t="str">
        <f>IFERROR(__xludf.DUMMYFUNCTION("IFERROR(
  TRIM(REGEXEXTRACT(H455,""\(Event\)\s*([^,]+)"")),
  IF(V455="""","""",IF(V455=""CASWJ"",""General / No Specific Project"",""General - ""&amp;V455))
)"),"")</f>
        <v/>
      </c>
      <c r="W455" s="38"/>
      <c r="AB455" s="68" t="str">
        <f t="shared" si="6"/>
        <v/>
      </c>
      <c r="AP455" s="94"/>
    </row>
    <row r="456">
      <c r="R456" s="93"/>
      <c r="S456" s="68"/>
      <c r="T456" s="38" t="str">
        <f>IFERROR(__xludf.DUMMYFUNCTION("IFERROR(
  TRIM(REGEXEXTRACT(H456,""\(Event\)\s*([^,]+)"")),
  IF(V456="""","""",IF(V456=""CASWJ"",""General / No Specific Project"",""General - ""&amp;V456))
)"),"")</f>
        <v/>
      </c>
      <c r="W456" s="38"/>
      <c r="AB456" s="68" t="str">
        <f t="shared" si="6"/>
        <v/>
      </c>
      <c r="AP456" s="94"/>
    </row>
    <row r="457">
      <c r="R457" s="93"/>
      <c r="S457" s="68"/>
      <c r="T457" s="38" t="str">
        <f>IFERROR(__xludf.DUMMYFUNCTION("IFERROR(
  TRIM(REGEXEXTRACT(H457,""\(Event\)\s*([^,]+)"")),
  IF(V457="""","""",IF(V457=""CASWJ"",""General / No Specific Project"",""General - ""&amp;V457))
)"),"")</f>
        <v/>
      </c>
      <c r="W457" s="38"/>
      <c r="AB457" s="68" t="str">
        <f t="shared" si="6"/>
        <v/>
      </c>
      <c r="AP457" s="94"/>
    </row>
    <row r="458">
      <c r="R458" s="93"/>
      <c r="S458" s="68"/>
      <c r="T458" s="38" t="str">
        <f>IFERROR(__xludf.DUMMYFUNCTION("IFERROR(
  TRIM(REGEXEXTRACT(H458,""\(Event\)\s*([^,]+)"")),
  IF(V458="""","""",IF(V458=""CASWJ"",""General / No Specific Project"",""General - ""&amp;V458))
)"),"")</f>
        <v/>
      </c>
      <c r="W458" s="38"/>
      <c r="AB458" s="68" t="str">
        <f t="shared" si="6"/>
        <v/>
      </c>
      <c r="AP458" s="94"/>
    </row>
    <row r="459">
      <c r="R459" s="93"/>
      <c r="S459" s="68"/>
      <c r="T459" s="38" t="str">
        <f>IFERROR(__xludf.DUMMYFUNCTION("IFERROR(
  TRIM(REGEXEXTRACT(H459,""\(Event\)\s*([^,]+)"")),
  IF(V459="""","""",IF(V459=""CASWJ"",""General / No Specific Project"",""General - ""&amp;V459))
)"),"")</f>
        <v/>
      </c>
      <c r="W459" s="38"/>
      <c r="AB459" s="68" t="str">
        <f t="shared" si="6"/>
        <v/>
      </c>
      <c r="AP459" s="94"/>
    </row>
    <row r="460">
      <c r="R460" s="93"/>
      <c r="S460" s="68"/>
      <c r="T460" s="38" t="str">
        <f>IFERROR(__xludf.DUMMYFUNCTION("IFERROR(
  TRIM(REGEXEXTRACT(H460,""\(Event\)\s*([^,]+)"")),
  IF(V460="""","""",IF(V460=""CASWJ"",""General / No Specific Project"",""General - ""&amp;V460))
)"),"")</f>
        <v/>
      </c>
      <c r="W460" s="38"/>
      <c r="AB460" s="68" t="str">
        <f t="shared" si="6"/>
        <v/>
      </c>
      <c r="AP460" s="94"/>
    </row>
    <row r="461">
      <c r="R461" s="93"/>
      <c r="S461" s="68"/>
      <c r="T461" s="38" t="str">
        <f>IFERROR(__xludf.DUMMYFUNCTION("IFERROR(
  TRIM(REGEXEXTRACT(H461,""\(Event\)\s*([^,]+)"")),
  IF(V461="""","""",IF(V461=""CASWJ"",""General / No Specific Project"",""General - ""&amp;V461))
)"),"")</f>
        <v/>
      </c>
      <c r="W461" s="38"/>
      <c r="AB461" s="68" t="str">
        <f t="shared" si="6"/>
        <v/>
      </c>
      <c r="AP461" s="94"/>
    </row>
    <row r="462">
      <c r="R462" s="93"/>
      <c r="S462" s="68"/>
      <c r="T462" s="38" t="str">
        <f>IFERROR(__xludf.DUMMYFUNCTION("IFERROR(
  TRIM(REGEXEXTRACT(H462,""\(Event\)\s*([^,]+)"")),
  IF(V462="""","""",IF(V462=""CASWJ"",""General / No Specific Project"",""General - ""&amp;V462))
)"),"")</f>
        <v/>
      </c>
      <c r="W462" s="38"/>
      <c r="AB462" s="68" t="str">
        <f t="shared" si="6"/>
        <v/>
      </c>
      <c r="AP462" s="94"/>
    </row>
    <row r="463">
      <c r="R463" s="93"/>
      <c r="S463" s="68"/>
      <c r="T463" s="38" t="str">
        <f>IFERROR(__xludf.DUMMYFUNCTION("IFERROR(
  TRIM(REGEXEXTRACT(H463,""\(Event\)\s*([^,]+)"")),
  IF(V463="""","""",IF(V463=""CASWJ"",""General / No Specific Project"",""General - ""&amp;V463))
)"),"")</f>
        <v/>
      </c>
      <c r="W463" s="38"/>
      <c r="AB463" s="68" t="str">
        <f t="shared" si="6"/>
        <v/>
      </c>
      <c r="AP463" s="94"/>
    </row>
    <row r="464">
      <c r="R464" s="93"/>
      <c r="S464" s="68"/>
      <c r="T464" s="38" t="str">
        <f>IFERROR(__xludf.DUMMYFUNCTION("IFERROR(
  TRIM(REGEXEXTRACT(H464,""\(Event\)\s*([^,]+)"")),
  IF(V464="""","""",IF(V464=""CASWJ"",""General / No Specific Project"",""General - ""&amp;V464))
)"),"")</f>
        <v/>
      </c>
      <c r="W464" s="38"/>
      <c r="AB464" s="68" t="str">
        <f t="shared" si="6"/>
        <v/>
      </c>
      <c r="AP464" s="94"/>
    </row>
    <row r="465">
      <c r="R465" s="93"/>
      <c r="S465" s="68"/>
      <c r="T465" s="38" t="str">
        <f>IFERROR(__xludf.DUMMYFUNCTION("IFERROR(
  TRIM(REGEXEXTRACT(H465,""\(Event\)\s*([^,]+)"")),
  IF(V465="""","""",IF(V465=""CASWJ"",""General / No Specific Project"",""General - ""&amp;V465))
)"),"")</f>
        <v/>
      </c>
      <c r="W465" s="38"/>
      <c r="AB465" s="68" t="str">
        <f t="shared" si="6"/>
        <v/>
      </c>
      <c r="AP465" s="94"/>
    </row>
    <row r="466">
      <c r="R466" s="93"/>
      <c r="S466" s="68"/>
      <c r="T466" s="38" t="str">
        <f>IFERROR(__xludf.DUMMYFUNCTION("IFERROR(
  TRIM(REGEXEXTRACT(H466,""\(Event\)\s*([^,]+)"")),
  IF(V466="""","""",IF(V466=""CASWJ"",""General / No Specific Project"",""General - ""&amp;V466))
)"),"")</f>
        <v/>
      </c>
      <c r="W466" s="38"/>
      <c r="AB466" s="68" t="str">
        <f t="shared" si="6"/>
        <v/>
      </c>
      <c r="AP466" s="94"/>
    </row>
    <row r="467">
      <c r="R467" s="93"/>
      <c r="S467" s="68"/>
      <c r="T467" s="38" t="str">
        <f>IFERROR(__xludf.DUMMYFUNCTION("IFERROR(
  TRIM(REGEXEXTRACT(H467,""\(Event\)\s*([^,]+)"")),
  IF(V467="""","""",IF(V467=""CASWJ"",""General / No Specific Project"",""General - ""&amp;V467))
)"),"")</f>
        <v/>
      </c>
      <c r="W467" s="38"/>
      <c r="AB467" s="68" t="str">
        <f t="shared" si="6"/>
        <v/>
      </c>
      <c r="AP467" s="94"/>
    </row>
    <row r="468">
      <c r="R468" s="93"/>
      <c r="S468" s="68"/>
      <c r="T468" s="38" t="str">
        <f>IFERROR(__xludf.DUMMYFUNCTION("IFERROR(
  TRIM(REGEXEXTRACT(H468,""\(Event\)\s*([^,]+)"")),
  IF(V468="""","""",IF(V468=""CASWJ"",""General / No Specific Project"",""General - ""&amp;V468))
)"),"")</f>
        <v/>
      </c>
      <c r="W468" s="38"/>
      <c r="AB468" s="68" t="str">
        <f t="shared" si="6"/>
        <v/>
      </c>
      <c r="AP468" s="94"/>
    </row>
    <row r="469">
      <c r="R469" s="93"/>
      <c r="S469" s="68"/>
      <c r="T469" s="38" t="str">
        <f>IFERROR(__xludf.DUMMYFUNCTION("IFERROR(
  TRIM(REGEXEXTRACT(H469,""\(Event\)\s*([^,]+)"")),
  IF(V469="""","""",IF(V469=""CASWJ"",""General / No Specific Project"",""General - ""&amp;V469))
)"),"")</f>
        <v/>
      </c>
      <c r="W469" s="38"/>
      <c r="AB469" s="68" t="str">
        <f t="shared" si="6"/>
        <v/>
      </c>
      <c r="AP469" s="94"/>
    </row>
    <row r="470">
      <c r="R470" s="93"/>
      <c r="S470" s="68"/>
      <c r="T470" s="38" t="str">
        <f>IFERROR(__xludf.DUMMYFUNCTION("IFERROR(
  TRIM(REGEXEXTRACT(H470,""\(Event\)\s*([^,]+)"")),
  IF(V470="""","""",IF(V470=""CASWJ"",""General / No Specific Project"",""General - ""&amp;V470))
)"),"")</f>
        <v/>
      </c>
      <c r="W470" s="38"/>
      <c r="AB470" s="68" t="str">
        <f t="shared" si="6"/>
        <v/>
      </c>
      <c r="AP470" s="94"/>
    </row>
    <row r="471">
      <c r="R471" s="93"/>
      <c r="S471" s="68"/>
      <c r="T471" s="38" t="str">
        <f>IFERROR(__xludf.DUMMYFUNCTION("IFERROR(
  TRIM(REGEXEXTRACT(H471,""\(Event\)\s*([^,]+)"")),
  IF(V471="""","""",IF(V471=""CASWJ"",""General / No Specific Project"",""General - ""&amp;V471))
)"),"")</f>
        <v/>
      </c>
      <c r="W471" s="38"/>
      <c r="AB471" s="68" t="str">
        <f t="shared" si="6"/>
        <v/>
      </c>
      <c r="AP471" s="94"/>
    </row>
    <row r="472">
      <c r="R472" s="93"/>
      <c r="S472" s="68"/>
      <c r="T472" s="38" t="str">
        <f>IFERROR(__xludf.DUMMYFUNCTION("IFERROR(
  TRIM(REGEXEXTRACT(H472,""\(Event\)\s*([^,]+)"")),
  IF(V472="""","""",IF(V472=""CASWJ"",""General / No Specific Project"",""General - ""&amp;V472))
)"),"")</f>
        <v/>
      </c>
      <c r="W472" s="38"/>
      <c r="AB472" s="68" t="str">
        <f t="shared" si="6"/>
        <v/>
      </c>
      <c r="AP472" s="94"/>
    </row>
    <row r="473">
      <c r="R473" s="93"/>
      <c r="S473" s="68"/>
      <c r="T473" s="38" t="str">
        <f>IFERROR(__xludf.DUMMYFUNCTION("IFERROR(
  TRIM(REGEXEXTRACT(H473,""\(Event\)\s*([^,]+)"")),
  IF(V473="""","""",IF(V473=""CASWJ"",""General / No Specific Project"",""General - ""&amp;V473))
)"),"")</f>
        <v/>
      </c>
      <c r="W473" s="38"/>
      <c r="AB473" s="68" t="str">
        <f t="shared" si="6"/>
        <v/>
      </c>
      <c r="AP473" s="94"/>
    </row>
    <row r="474">
      <c r="R474" s="93"/>
      <c r="S474" s="68"/>
      <c r="T474" s="38" t="str">
        <f>IFERROR(__xludf.DUMMYFUNCTION("IFERROR(
  TRIM(REGEXEXTRACT(H474,""\(Event\)\s*([^,]+)"")),
  IF(V474="""","""",IF(V474=""CASWJ"",""General / No Specific Project"",""General - ""&amp;V474))
)"),"")</f>
        <v/>
      </c>
      <c r="W474" s="38"/>
      <c r="AB474" s="68" t="str">
        <f t="shared" si="6"/>
        <v/>
      </c>
      <c r="AP474" s="94"/>
    </row>
    <row r="475">
      <c r="R475" s="93"/>
      <c r="S475" s="68"/>
      <c r="T475" s="38" t="str">
        <f>IFERROR(__xludf.DUMMYFUNCTION("IFERROR(
  TRIM(REGEXEXTRACT(H475,""\(Event\)\s*([^,]+)"")),
  IF(V475="""","""",IF(V475=""CASWJ"",""General / No Specific Project"",""General - ""&amp;V475))
)"),"")</f>
        <v/>
      </c>
      <c r="W475" s="38"/>
      <c r="AB475" s="68" t="str">
        <f t="shared" si="6"/>
        <v/>
      </c>
      <c r="AP475" s="94"/>
    </row>
    <row r="476">
      <c r="R476" s="93"/>
      <c r="S476" s="68"/>
      <c r="T476" s="38" t="str">
        <f>IFERROR(__xludf.DUMMYFUNCTION("IFERROR(
  TRIM(REGEXEXTRACT(H476,""\(Event\)\s*([^,]+)"")),
  IF(V476="""","""",IF(V476=""CASWJ"",""General / No Specific Project"",""General - ""&amp;V476))
)"),"")</f>
        <v/>
      </c>
      <c r="W476" s="38"/>
      <c r="AB476" s="68" t="str">
        <f t="shared" si="6"/>
        <v/>
      </c>
      <c r="AP476" s="94"/>
    </row>
    <row r="477">
      <c r="R477" s="93"/>
      <c r="S477" s="68"/>
      <c r="T477" s="38" t="str">
        <f>IFERROR(__xludf.DUMMYFUNCTION("IFERROR(
  TRIM(REGEXEXTRACT(H477,""\(Event\)\s*([^,]+)"")),
  IF(V477="""","""",IF(V477=""CASWJ"",""General / No Specific Project"",""General - ""&amp;V477))
)"),"")</f>
        <v/>
      </c>
      <c r="W477" s="38"/>
      <c r="AB477" s="68" t="str">
        <f t="shared" si="6"/>
        <v/>
      </c>
      <c r="AP477" s="94"/>
    </row>
    <row r="478">
      <c r="R478" s="93"/>
      <c r="S478" s="68"/>
      <c r="T478" s="38" t="str">
        <f>IFERROR(__xludf.DUMMYFUNCTION("IFERROR(
  TRIM(REGEXEXTRACT(H478,""\(Event\)\s*([^,]+)"")),
  IF(V478="""","""",IF(V478=""CASWJ"",""General / No Specific Project"",""General - ""&amp;V478))
)"),"")</f>
        <v/>
      </c>
      <c r="W478" s="38"/>
      <c r="AB478" s="68" t="str">
        <f t="shared" si="6"/>
        <v/>
      </c>
      <c r="AP478" s="94"/>
    </row>
    <row r="479">
      <c r="R479" s="93"/>
      <c r="S479" s="68"/>
      <c r="T479" s="38" t="str">
        <f>IFERROR(__xludf.DUMMYFUNCTION("IFERROR(
  TRIM(REGEXEXTRACT(H479,""\(Event\)\s*([^,]+)"")),
  IF(V479="""","""",IF(V479=""CASWJ"",""General / No Specific Project"",""General - ""&amp;V479))
)"),"")</f>
        <v/>
      </c>
      <c r="W479" s="38"/>
      <c r="AB479" s="68" t="str">
        <f t="shared" si="6"/>
        <v/>
      </c>
      <c r="AP479" s="94"/>
    </row>
    <row r="480">
      <c r="R480" s="93"/>
      <c r="S480" s="68"/>
      <c r="T480" s="38" t="str">
        <f>IFERROR(__xludf.DUMMYFUNCTION("IFERROR(
  TRIM(REGEXEXTRACT(H480,""\(Event\)\s*([^,]+)"")),
  IF(V480="""","""",IF(V480=""CASWJ"",""General / No Specific Project"",""General - ""&amp;V480))
)"),"")</f>
        <v/>
      </c>
      <c r="W480" s="38"/>
      <c r="AB480" s="68" t="str">
        <f t="shared" si="6"/>
        <v/>
      </c>
      <c r="AP480" s="94"/>
    </row>
    <row r="481">
      <c r="R481" s="93"/>
      <c r="S481" s="68"/>
      <c r="T481" s="38" t="str">
        <f>IFERROR(__xludf.DUMMYFUNCTION("IFERROR(
  TRIM(REGEXEXTRACT(H481,""\(Event\)\s*([^,]+)"")),
  IF(V481="""","""",IF(V481=""CASWJ"",""General / No Specific Project"",""General - ""&amp;V481))
)"),"")</f>
        <v/>
      </c>
      <c r="W481" s="38"/>
      <c r="AB481" s="68" t="str">
        <f t="shared" si="6"/>
        <v/>
      </c>
      <c r="AP481" s="94"/>
    </row>
    <row r="482">
      <c r="R482" s="93"/>
      <c r="S482" s="68"/>
      <c r="T482" s="38" t="str">
        <f>IFERROR(__xludf.DUMMYFUNCTION("IFERROR(
  TRIM(REGEXEXTRACT(H482,""\(Event\)\s*([^,]+)"")),
  IF(V482="""","""",IF(V482=""CASWJ"",""General / No Specific Project"",""General - ""&amp;V482))
)"),"")</f>
        <v/>
      </c>
      <c r="W482" s="38"/>
      <c r="AB482" s="68" t="str">
        <f t="shared" si="6"/>
        <v/>
      </c>
      <c r="AP482" s="94"/>
    </row>
    <row r="483">
      <c r="R483" s="93"/>
      <c r="S483" s="68"/>
      <c r="T483" s="38" t="str">
        <f>IFERROR(__xludf.DUMMYFUNCTION("IFERROR(
  TRIM(REGEXEXTRACT(H483,""\(Event\)\s*([^,]+)"")),
  IF(V483="""","""",IF(V483=""CASWJ"",""General / No Specific Project"",""General - ""&amp;V483))
)"),"")</f>
        <v/>
      </c>
      <c r="W483" s="38"/>
      <c r="AB483" s="68" t="str">
        <f t="shared" si="6"/>
        <v/>
      </c>
      <c r="AP483" s="94"/>
    </row>
    <row r="484">
      <c r="R484" s="93"/>
      <c r="S484" s="68"/>
      <c r="T484" s="38" t="str">
        <f>IFERROR(__xludf.DUMMYFUNCTION("IFERROR(
  TRIM(REGEXEXTRACT(H484,""\(Event\)\s*([^,]+)"")),
  IF(V484="""","""",IF(V484=""CASWJ"",""General / No Specific Project"",""General - ""&amp;V484))
)"),"")</f>
        <v/>
      </c>
      <c r="W484" s="38"/>
      <c r="AB484" s="68" t="str">
        <f t="shared" si="6"/>
        <v/>
      </c>
      <c r="AP484" s="94"/>
    </row>
    <row r="485">
      <c r="R485" s="93"/>
      <c r="S485" s="68"/>
      <c r="T485" s="38" t="str">
        <f>IFERROR(__xludf.DUMMYFUNCTION("IFERROR(
  TRIM(REGEXEXTRACT(H485,""\(Event\)\s*([^,]+)"")),
  IF(V485="""","""",IF(V485=""CASWJ"",""General / No Specific Project"",""General - ""&amp;V485))
)"),"")</f>
        <v/>
      </c>
      <c r="W485" s="38"/>
      <c r="AB485" s="68" t="str">
        <f t="shared" si="6"/>
        <v/>
      </c>
      <c r="AP485" s="94"/>
    </row>
    <row r="486">
      <c r="R486" s="93"/>
      <c r="S486" s="68"/>
      <c r="T486" s="38" t="str">
        <f>IFERROR(__xludf.DUMMYFUNCTION("IFERROR(
  TRIM(REGEXEXTRACT(H486,""\(Event\)\s*([^,]+)"")),
  IF(V486="""","""",IF(V486=""CASWJ"",""General / No Specific Project"",""General - ""&amp;V486))
)"),"")</f>
        <v/>
      </c>
      <c r="W486" s="38"/>
      <c r="AB486" s="68" t="str">
        <f t="shared" si="6"/>
        <v/>
      </c>
      <c r="AP486" s="94"/>
    </row>
    <row r="487">
      <c r="R487" s="93"/>
      <c r="S487" s="68"/>
      <c r="T487" s="38" t="str">
        <f>IFERROR(__xludf.DUMMYFUNCTION("IFERROR(
  TRIM(REGEXEXTRACT(H487,""\(Event\)\s*([^,]+)"")),
  IF(V487="""","""",IF(V487=""CASWJ"",""General / No Specific Project"",""General - ""&amp;V487))
)"),"")</f>
        <v/>
      </c>
      <c r="W487" s="38"/>
      <c r="AB487" s="68" t="str">
        <f t="shared" si="6"/>
        <v/>
      </c>
      <c r="AP487" s="94"/>
    </row>
    <row r="488">
      <c r="R488" s="93"/>
      <c r="S488" s="68"/>
      <c r="T488" s="38" t="str">
        <f>IFERROR(__xludf.DUMMYFUNCTION("IFERROR(
  TRIM(REGEXEXTRACT(H488,""\(Event\)\s*([^,]+)"")),
  IF(V488="""","""",IF(V488=""CASWJ"",""General / No Specific Project"",""General - ""&amp;V488))
)"),"")</f>
        <v/>
      </c>
      <c r="W488" s="38"/>
      <c r="AB488" s="68" t="str">
        <f t="shared" si="6"/>
        <v/>
      </c>
      <c r="AP488" s="94"/>
    </row>
    <row r="489">
      <c r="R489" s="93"/>
      <c r="S489" s="68"/>
      <c r="T489" s="38" t="str">
        <f>IFERROR(__xludf.DUMMYFUNCTION("IFERROR(
  TRIM(REGEXEXTRACT(H489,""\(Event\)\s*([^,]+)"")),
  IF(V489="""","""",IF(V489=""CASWJ"",""General / No Specific Project"",""General - ""&amp;V489))
)"),"")</f>
        <v/>
      </c>
      <c r="W489" s="38"/>
      <c r="AB489" s="68" t="str">
        <f t="shared" si="6"/>
        <v/>
      </c>
      <c r="AP489" s="94"/>
    </row>
    <row r="490">
      <c r="R490" s="93"/>
      <c r="S490" s="68"/>
      <c r="T490" s="38" t="str">
        <f>IFERROR(__xludf.DUMMYFUNCTION("IFERROR(
  TRIM(REGEXEXTRACT(H490,""\(Event\)\s*([^,]+)"")),
  IF(V490="""","""",IF(V490=""CASWJ"",""General / No Specific Project"",""General - ""&amp;V490))
)"),"")</f>
        <v/>
      </c>
      <c r="W490" s="38"/>
      <c r="AB490" s="68" t="str">
        <f t="shared" si="6"/>
        <v/>
      </c>
      <c r="AP490" s="94"/>
    </row>
    <row r="491">
      <c r="R491" s="93"/>
      <c r="S491" s="68"/>
      <c r="T491" s="38" t="str">
        <f>IFERROR(__xludf.DUMMYFUNCTION("IFERROR(
  TRIM(REGEXEXTRACT(H491,""\(Event\)\s*([^,]+)"")),
  IF(V491="""","""",IF(V491=""CASWJ"",""General / No Specific Project"",""General - ""&amp;V491))
)"),"")</f>
        <v/>
      </c>
      <c r="W491" s="38"/>
      <c r="AB491" s="68" t="str">
        <f t="shared" si="6"/>
        <v/>
      </c>
      <c r="AP491" s="94"/>
    </row>
    <row r="492">
      <c r="R492" s="93"/>
      <c r="S492" s="68"/>
      <c r="T492" s="38" t="str">
        <f>IFERROR(__xludf.DUMMYFUNCTION("IFERROR(
  TRIM(REGEXEXTRACT(H492,""\(Event\)\s*([^,]+)"")),
  IF(V492="""","""",IF(V492=""CASWJ"",""General / No Specific Project"",""General - ""&amp;V492))
)"),"")</f>
        <v/>
      </c>
      <c r="W492" s="38"/>
      <c r="AB492" s="68" t="str">
        <f t="shared" si="6"/>
        <v/>
      </c>
      <c r="AP492" s="94"/>
    </row>
    <row r="493">
      <c r="R493" s="93"/>
      <c r="S493" s="68"/>
      <c r="T493" s="38" t="str">
        <f>IFERROR(__xludf.DUMMYFUNCTION("IFERROR(
  TRIM(REGEXEXTRACT(H493,""\(Event\)\s*([^,]+)"")),
  IF(V493="""","""",IF(V493=""CASWJ"",""General / No Specific Project"",""General - ""&amp;V493))
)"),"")</f>
        <v/>
      </c>
      <c r="W493" s="38"/>
      <c r="AB493" s="68" t="str">
        <f t="shared" si="6"/>
        <v/>
      </c>
      <c r="AP493" s="94"/>
    </row>
    <row r="494">
      <c r="R494" s="93"/>
      <c r="S494" s="68"/>
      <c r="T494" s="38" t="str">
        <f>IFERROR(__xludf.DUMMYFUNCTION("IFERROR(
  TRIM(REGEXEXTRACT(H494,""\(Event\)\s*([^,]+)"")),
  IF(V494="""","""",IF(V494=""CASWJ"",""General / No Specific Project"",""General - ""&amp;V494))
)"),"")</f>
        <v/>
      </c>
      <c r="W494" s="38"/>
      <c r="AB494" s="68" t="str">
        <f t="shared" si="6"/>
        <v/>
      </c>
      <c r="AP494" s="94"/>
    </row>
    <row r="495">
      <c r="R495" s="93"/>
      <c r="S495" s="68"/>
      <c r="T495" s="38" t="str">
        <f>IFERROR(__xludf.DUMMYFUNCTION("IFERROR(
  TRIM(REGEXEXTRACT(H495,""\(Event\)\s*([^,]+)"")),
  IF(V495="""","""",IF(V495=""CASWJ"",""General / No Specific Project"",""General - ""&amp;V495))
)"),"")</f>
        <v/>
      </c>
      <c r="W495" s="38"/>
      <c r="AB495" s="68" t="str">
        <f t="shared" si="6"/>
        <v/>
      </c>
      <c r="AP495" s="94"/>
    </row>
    <row r="496">
      <c r="R496" s="93"/>
      <c r="S496" s="68"/>
      <c r="T496" s="38" t="str">
        <f>IFERROR(__xludf.DUMMYFUNCTION("IFERROR(
  TRIM(REGEXEXTRACT(H496,""\(Event\)\s*([^,]+)"")),
  IF(V496="""","""",IF(V496=""CASWJ"",""General / No Specific Project"",""General - ""&amp;V496))
)"),"")</f>
        <v/>
      </c>
      <c r="W496" s="38"/>
      <c r="AB496" s="68" t="str">
        <f t="shared" si="6"/>
        <v/>
      </c>
      <c r="AP496" s="94"/>
    </row>
    <row r="497">
      <c r="R497" s="93"/>
      <c r="S497" s="68"/>
      <c r="T497" s="38" t="str">
        <f>IFERROR(__xludf.DUMMYFUNCTION("IFERROR(
  TRIM(REGEXEXTRACT(H497,""\(Event\)\s*([^,]+)"")),
  IF(V497="""","""",IF(V497=""CASWJ"",""General / No Specific Project"",""General - ""&amp;V497))
)"),"")</f>
        <v/>
      </c>
      <c r="W497" s="38"/>
      <c r="AB497" s="68" t="str">
        <f t="shared" si="6"/>
        <v/>
      </c>
      <c r="AP497" s="94"/>
    </row>
    <row r="498">
      <c r="R498" s="93"/>
      <c r="S498" s="68"/>
      <c r="T498" s="38" t="str">
        <f>IFERROR(__xludf.DUMMYFUNCTION("IFERROR(
  TRIM(REGEXEXTRACT(H498,""\(Event\)\s*([^,]+)"")),
  IF(V498="""","""",IF(V498=""CASWJ"",""General / No Specific Project"",""General - ""&amp;V498))
)"),"")</f>
        <v/>
      </c>
      <c r="W498" s="38"/>
      <c r="AB498" s="68" t="str">
        <f t="shared" si="6"/>
        <v/>
      </c>
      <c r="AP498" s="94"/>
    </row>
    <row r="499">
      <c r="R499" s="93"/>
      <c r="S499" s="68"/>
      <c r="T499" s="38" t="str">
        <f>IFERROR(__xludf.DUMMYFUNCTION("IFERROR(
  TRIM(REGEXEXTRACT(H499,""\(Event\)\s*([^,]+)"")),
  IF(V499="""","""",IF(V499=""CASWJ"",""General / No Specific Project"",""General - ""&amp;V499))
)"),"")</f>
        <v/>
      </c>
      <c r="W499" s="38"/>
      <c r="AB499" s="68" t="str">
        <f t="shared" si="6"/>
        <v/>
      </c>
      <c r="AP499" s="94"/>
    </row>
    <row r="500">
      <c r="R500" s="93"/>
      <c r="S500" s="68"/>
      <c r="T500" s="38" t="str">
        <f>IFERROR(__xludf.DUMMYFUNCTION("IFERROR(
  TRIM(REGEXEXTRACT(H500,""\(Event\)\s*([^,]+)"")),
  IF(V500="""","""",IF(V500=""CASWJ"",""General / No Specific Project"",""General - ""&amp;V500))
)"),"")</f>
        <v/>
      </c>
      <c r="W500" s="38"/>
      <c r="AB500" s="68" t="str">
        <f t="shared" si="6"/>
        <v/>
      </c>
      <c r="AP500" s="94"/>
    </row>
    <row r="501">
      <c r="R501" s="93"/>
      <c r="S501" s="68"/>
      <c r="T501" s="38" t="str">
        <f>IFERROR(__xludf.DUMMYFUNCTION("IFERROR(
  TRIM(REGEXEXTRACT(H501,""\(Event\)\s*([^,]+)"")),
  IF(V501="""","""",IF(V501=""CASWJ"",""General / No Specific Project"",""General - ""&amp;V501))
)"),"")</f>
        <v/>
      </c>
      <c r="W501" s="38"/>
      <c r="AB501" s="68" t="str">
        <f t="shared" si="6"/>
        <v/>
      </c>
      <c r="AP501" s="94"/>
    </row>
    <row r="502">
      <c r="R502" s="93"/>
      <c r="S502" s="68"/>
      <c r="T502" s="38" t="str">
        <f>IFERROR(__xludf.DUMMYFUNCTION("IFERROR(
  TRIM(REGEXEXTRACT(H502,""\(Event\)\s*([^,]+)"")),
  IF(V502="""","""",IF(V502=""CASWJ"",""General / No Specific Project"",""General - ""&amp;V502))
)"),"")</f>
        <v/>
      </c>
      <c r="W502" s="38"/>
      <c r="AB502" s="68" t="str">
        <f t="shared" si="6"/>
        <v/>
      </c>
      <c r="AP502" s="94"/>
    </row>
    <row r="503">
      <c r="R503" s="93"/>
      <c r="S503" s="68"/>
      <c r="T503" s="38" t="str">
        <f>IFERROR(__xludf.DUMMYFUNCTION("IFERROR(
  TRIM(REGEXEXTRACT(H503,""\(Event\)\s*([^,]+)"")),
  IF(V503="""","""",IF(V503=""CASWJ"",""General / No Specific Project"",""General - ""&amp;V503))
)"),"")</f>
        <v/>
      </c>
      <c r="W503" s="38"/>
      <c r="AB503" s="68" t="str">
        <f t="shared" si="6"/>
        <v/>
      </c>
      <c r="AP503" s="94"/>
    </row>
    <row r="504">
      <c r="R504" s="93"/>
      <c r="S504" s="68"/>
      <c r="T504" s="38" t="str">
        <f>IFERROR(__xludf.DUMMYFUNCTION("IFERROR(
  TRIM(REGEXEXTRACT(H504,""\(Event\)\s*([^,]+)"")),
  IF(V504="""","""",IF(V504=""CASWJ"",""General / No Specific Project"",""General - ""&amp;V504))
)"),"")</f>
        <v/>
      </c>
      <c r="W504" s="38"/>
      <c r="AB504" s="68" t="str">
        <f t="shared" si="6"/>
        <v/>
      </c>
      <c r="AP504" s="94"/>
    </row>
    <row r="505">
      <c r="R505" s="93"/>
      <c r="S505" s="68"/>
      <c r="T505" s="38" t="str">
        <f>IFERROR(__xludf.DUMMYFUNCTION("IFERROR(
  TRIM(REGEXEXTRACT(H505,""\(Event\)\s*([^,]+)"")),
  IF(V505="""","""",IF(V505=""CASWJ"",""General / No Specific Project"",""General - ""&amp;V505))
)"),"")</f>
        <v/>
      </c>
      <c r="W505" s="38"/>
      <c r="AB505" s="68" t="str">
        <f t="shared" si="6"/>
        <v/>
      </c>
      <c r="AP505" s="94"/>
    </row>
    <row r="506">
      <c r="R506" s="93"/>
      <c r="S506" s="68"/>
      <c r="T506" s="38" t="str">
        <f>IFERROR(__xludf.DUMMYFUNCTION("IFERROR(
  TRIM(REGEXEXTRACT(H506,""\(Event\)\s*([^,]+)"")),
  IF(V506="""","""",IF(V506=""CASWJ"",""General / No Specific Project"",""General - ""&amp;V506))
)"),"")</f>
        <v/>
      </c>
      <c r="W506" s="38"/>
      <c r="AB506" s="68" t="str">
        <f t="shared" si="6"/>
        <v/>
      </c>
      <c r="AP506" s="94"/>
    </row>
    <row r="507">
      <c r="R507" s="93"/>
      <c r="S507" s="68"/>
      <c r="T507" s="38" t="str">
        <f>IFERROR(__xludf.DUMMYFUNCTION("IFERROR(
  TRIM(REGEXEXTRACT(H507,""\(Event\)\s*([^,]+)"")),
  IF(V507="""","""",IF(V507=""CASWJ"",""General / No Specific Project"",""General - ""&amp;V507))
)"),"")</f>
        <v/>
      </c>
      <c r="W507" s="38"/>
      <c r="AB507" s="68" t="str">
        <f t="shared" si="6"/>
        <v/>
      </c>
      <c r="AP507" s="94"/>
    </row>
    <row r="508">
      <c r="R508" s="93"/>
      <c r="S508" s="68"/>
      <c r="T508" s="38" t="str">
        <f>IFERROR(__xludf.DUMMYFUNCTION("IFERROR(
  TRIM(REGEXEXTRACT(H508,""\(Event\)\s*([^,]+)"")),
  IF(V508="""","""",IF(V508=""CASWJ"",""General / No Specific Project"",""General - ""&amp;V508))
)"),"")</f>
        <v/>
      </c>
      <c r="W508" s="38"/>
      <c r="AB508" s="68" t="str">
        <f t="shared" si="6"/>
        <v/>
      </c>
      <c r="AP508" s="94"/>
    </row>
    <row r="509">
      <c r="R509" s="93"/>
      <c r="S509" s="68"/>
      <c r="T509" s="38" t="str">
        <f>IFERROR(__xludf.DUMMYFUNCTION("IFERROR(
  TRIM(REGEXEXTRACT(H509,""\(Event\)\s*([^,]+)"")),
  IF(V509="""","""",IF(V509=""CASWJ"",""General / No Specific Project"",""General - ""&amp;V509))
)"),"")</f>
        <v/>
      </c>
      <c r="W509" s="38"/>
      <c r="AB509" s="68" t="str">
        <f t="shared" si="6"/>
        <v/>
      </c>
      <c r="AP509" s="94"/>
    </row>
    <row r="510">
      <c r="R510" s="93"/>
      <c r="S510" s="68"/>
      <c r="T510" s="38" t="str">
        <f>IFERROR(__xludf.DUMMYFUNCTION("IFERROR(
  TRIM(REGEXEXTRACT(H510,""\(Event\)\s*([^,]+)"")),
  IF(V510="""","""",IF(V510=""CASWJ"",""General / No Specific Project"",""General - ""&amp;V510))
)"),"")</f>
        <v/>
      </c>
      <c r="W510" s="38"/>
      <c r="AB510" s="68" t="str">
        <f t="shared" si="6"/>
        <v/>
      </c>
      <c r="AP510" s="94"/>
    </row>
    <row r="511">
      <c r="R511" s="93"/>
      <c r="S511" s="68"/>
      <c r="T511" s="38" t="str">
        <f>IFERROR(__xludf.DUMMYFUNCTION("IFERROR(
  TRIM(REGEXEXTRACT(H511,""\(Event\)\s*([^,]+)"")),
  IF(V511="""","""",IF(V511=""CASWJ"",""General / No Specific Project"",""General - ""&amp;V511))
)"),"")</f>
        <v/>
      </c>
      <c r="W511" s="38"/>
      <c r="AB511" s="68" t="str">
        <f t="shared" si="6"/>
        <v/>
      </c>
      <c r="AP511" s="94"/>
    </row>
    <row r="512">
      <c r="R512" s="93"/>
      <c r="S512" s="68"/>
      <c r="T512" s="38" t="str">
        <f>IFERROR(__xludf.DUMMYFUNCTION("IFERROR(
  TRIM(REGEXEXTRACT(H512,""\(Event\)\s*([^,]+)"")),
  IF(V512="""","""",IF(V512=""CASWJ"",""General / No Specific Project"",""General - ""&amp;V512))
)"),"")</f>
        <v/>
      </c>
      <c r="W512" s="38"/>
      <c r="AB512" s="68" t="str">
        <f t="shared" si="6"/>
        <v/>
      </c>
      <c r="AP512" s="94"/>
    </row>
    <row r="513">
      <c r="R513" s="93"/>
      <c r="S513" s="68"/>
      <c r="T513" s="38" t="str">
        <f>IFERROR(__xludf.DUMMYFUNCTION("IFERROR(
  TRIM(REGEXEXTRACT(H513,""\(Event\)\s*([^,]+)"")),
  IF(V513="""","""",IF(V513=""CASWJ"",""General / No Specific Project"",""General - ""&amp;V513))
)"),"")</f>
        <v/>
      </c>
      <c r="W513" s="38"/>
      <c r="AB513" s="68" t="str">
        <f t="shared" si="6"/>
        <v/>
      </c>
      <c r="AP513" s="94"/>
    </row>
    <row r="514">
      <c r="R514" s="93"/>
      <c r="S514" s="68"/>
      <c r="T514" s="38" t="str">
        <f>IFERROR(__xludf.DUMMYFUNCTION("IFERROR(
  TRIM(REGEXEXTRACT(H514,""\(Event\)\s*([^,]+)"")),
  IF(V514="""","""",IF(V514=""CASWJ"",""General / No Specific Project"",""General - ""&amp;V514))
)"),"")</f>
        <v/>
      </c>
      <c r="W514" s="38"/>
      <c r="AB514" s="68" t="str">
        <f t="shared" si="6"/>
        <v/>
      </c>
      <c r="AP514" s="94"/>
    </row>
    <row r="515">
      <c r="R515" s="93"/>
      <c r="S515" s="68"/>
      <c r="T515" s="38" t="str">
        <f>IFERROR(__xludf.DUMMYFUNCTION("IFERROR(
  TRIM(REGEXEXTRACT(H515,""\(Event\)\s*([^,]+)"")),
  IF(V515="""","""",IF(V515=""CASWJ"",""General / No Specific Project"",""General - ""&amp;V515))
)"),"")</f>
        <v/>
      </c>
      <c r="W515" s="38"/>
      <c r="AB515" s="68" t="str">
        <f t="shared" si="6"/>
        <v/>
      </c>
      <c r="AP515" s="94"/>
    </row>
    <row r="516">
      <c r="R516" s="93"/>
      <c r="S516" s="68"/>
      <c r="T516" s="38" t="str">
        <f>IFERROR(__xludf.DUMMYFUNCTION("IFERROR(
  TRIM(REGEXEXTRACT(H516,""\(Event\)\s*([^,]+)"")),
  IF(V516="""","""",IF(V516=""CASWJ"",""General / No Specific Project"",""General - ""&amp;V516))
)"),"")</f>
        <v/>
      </c>
      <c r="W516" s="38"/>
      <c r="AB516" s="68" t="str">
        <f t="shared" si="6"/>
        <v/>
      </c>
      <c r="AP516" s="94"/>
    </row>
    <row r="517">
      <c r="R517" s="93"/>
      <c r="S517" s="68"/>
      <c r="T517" s="38" t="str">
        <f>IFERROR(__xludf.DUMMYFUNCTION("IFERROR(
  TRIM(REGEXEXTRACT(H517,""\(Event\)\s*([^,]+)"")),
  IF(V517="""","""",IF(V517=""CASWJ"",""General / No Specific Project"",""General - ""&amp;V517))
)"),"")</f>
        <v/>
      </c>
      <c r="W517" s="38"/>
      <c r="AB517" s="68" t="str">
        <f t="shared" si="6"/>
        <v/>
      </c>
      <c r="AP517" s="94"/>
    </row>
    <row r="518">
      <c r="R518" s="93"/>
      <c r="S518" s="68"/>
      <c r="T518" s="38" t="str">
        <f>IFERROR(__xludf.DUMMYFUNCTION("IFERROR(
  TRIM(REGEXEXTRACT(H518,""\(Event\)\s*([^,]+)"")),
  IF(V518="""","""",IF(V518=""CASWJ"",""General / No Specific Project"",""General - ""&amp;V518))
)"),"")</f>
        <v/>
      </c>
      <c r="W518" s="38"/>
      <c r="AB518" s="68" t="str">
        <f t="shared" si="6"/>
        <v/>
      </c>
      <c r="AP518" s="94"/>
    </row>
    <row r="519">
      <c r="R519" s="93"/>
      <c r="S519" s="68"/>
      <c r="T519" s="38" t="str">
        <f>IFERROR(__xludf.DUMMYFUNCTION("IFERROR(
  TRIM(REGEXEXTRACT(H519,""\(Event\)\s*([^,]+)"")),
  IF(V519="""","""",IF(V519=""CASWJ"",""General / No Specific Project"",""General - ""&amp;V519))
)"),"")</f>
        <v/>
      </c>
      <c r="W519" s="38"/>
      <c r="AB519" s="68" t="str">
        <f t="shared" si="6"/>
        <v/>
      </c>
      <c r="AP519" s="94"/>
    </row>
    <row r="520">
      <c r="R520" s="93"/>
      <c r="S520" s="68"/>
      <c r="T520" s="38" t="str">
        <f>IFERROR(__xludf.DUMMYFUNCTION("IFERROR(
  TRIM(REGEXEXTRACT(H520,""\(Event\)\s*([^,]+)"")),
  IF(V520="""","""",IF(V520=""CASWJ"",""General / No Specific Project"",""General - ""&amp;V520))
)"),"")</f>
        <v/>
      </c>
      <c r="W520" s="38"/>
      <c r="AB520" s="68" t="str">
        <f t="shared" si="6"/>
        <v/>
      </c>
      <c r="AP520" s="94"/>
    </row>
    <row r="521">
      <c r="R521" s="93"/>
      <c r="S521" s="68"/>
      <c r="T521" s="38" t="str">
        <f>IFERROR(__xludf.DUMMYFUNCTION("IFERROR(
  TRIM(REGEXEXTRACT(H521,""\(Event\)\s*([^,]+)"")),
  IF(V521="""","""",IF(V521=""CASWJ"",""General / No Specific Project"",""General - ""&amp;V521))
)"),"")</f>
        <v/>
      </c>
      <c r="W521" s="38"/>
      <c r="AB521" s="68" t="str">
        <f t="shared" si="6"/>
        <v/>
      </c>
      <c r="AP521" s="94"/>
    </row>
    <row r="522">
      <c r="R522" s="93"/>
      <c r="S522" s="68"/>
      <c r="T522" s="38" t="str">
        <f>IFERROR(__xludf.DUMMYFUNCTION("IFERROR(
  TRIM(REGEXEXTRACT(H522,""\(Event\)\s*([^,]+)"")),
  IF(V522="""","""",IF(V522=""CASWJ"",""General / No Specific Project"",""General - ""&amp;V522))
)"),"")</f>
        <v/>
      </c>
      <c r="W522" s="38"/>
      <c r="AB522" s="68" t="str">
        <f t="shared" si="6"/>
        <v/>
      </c>
      <c r="AP522" s="94"/>
    </row>
    <row r="523">
      <c r="R523" s="93"/>
      <c r="S523" s="68"/>
      <c r="T523" s="38" t="str">
        <f>IFERROR(__xludf.DUMMYFUNCTION("IFERROR(
  TRIM(REGEXEXTRACT(H523,""\(Event\)\s*([^,]+)"")),
  IF(V523="""","""",IF(V523=""CASWJ"",""General / No Specific Project"",""General - ""&amp;V523))
)"),"")</f>
        <v/>
      </c>
      <c r="W523" s="38"/>
      <c r="AB523" s="68" t="str">
        <f t="shared" si="6"/>
        <v/>
      </c>
      <c r="AP523" s="94"/>
    </row>
    <row r="524">
      <c r="R524" s="93"/>
      <c r="S524" s="68"/>
      <c r="T524" s="38" t="str">
        <f>IFERROR(__xludf.DUMMYFUNCTION("IFERROR(
  TRIM(REGEXEXTRACT(H524,""\(Event\)\s*([^,]+)"")),
  IF(V524="""","""",IF(V524=""CASWJ"",""General / No Specific Project"",""General - ""&amp;V524))
)"),"")</f>
        <v/>
      </c>
      <c r="W524" s="38"/>
      <c r="AB524" s="68" t="str">
        <f t="shared" si="6"/>
        <v/>
      </c>
      <c r="AP524" s="94"/>
    </row>
    <row r="525">
      <c r="R525" s="93"/>
      <c r="S525" s="68"/>
      <c r="T525" s="38" t="str">
        <f>IFERROR(__xludf.DUMMYFUNCTION("IFERROR(
  TRIM(REGEXEXTRACT(H525,""\(Event\)\s*([^,]+)"")),
  IF(V525="""","""",IF(V525=""CASWJ"",""General / No Specific Project"",""General - ""&amp;V525))
)"),"")</f>
        <v/>
      </c>
      <c r="W525" s="38"/>
      <c r="AB525" s="68" t="str">
        <f t="shared" si="6"/>
        <v/>
      </c>
      <c r="AP525" s="94"/>
    </row>
    <row r="526">
      <c r="R526" s="93"/>
      <c r="S526" s="68"/>
      <c r="T526" s="38" t="str">
        <f>IFERROR(__xludf.DUMMYFUNCTION("IFERROR(
  TRIM(REGEXEXTRACT(H526,""\(Event\)\s*([^,]+)"")),
  IF(V526="""","""",IF(V526=""CASWJ"",""General / No Specific Project"",""General - ""&amp;V526))
)"),"")</f>
        <v/>
      </c>
      <c r="W526" s="38"/>
      <c r="AB526" s="68" t="str">
        <f t="shared" si="6"/>
        <v/>
      </c>
      <c r="AP526" s="94"/>
    </row>
    <row r="527">
      <c r="R527" s="93"/>
      <c r="S527" s="68"/>
      <c r="T527" s="38" t="str">
        <f>IFERROR(__xludf.DUMMYFUNCTION("IFERROR(
  TRIM(REGEXEXTRACT(H527,""\(Event\)\s*([^,]+)"")),
  IF(V527="""","""",IF(V527=""CASWJ"",""General / No Specific Project"",""General - ""&amp;V527))
)"),"")</f>
        <v/>
      </c>
      <c r="W527" s="38"/>
      <c r="AB527" s="68" t="str">
        <f t="shared" si="6"/>
        <v/>
      </c>
      <c r="AP527" s="94"/>
    </row>
    <row r="528">
      <c r="R528" s="93"/>
      <c r="S528" s="68"/>
      <c r="T528" s="38" t="str">
        <f>IFERROR(__xludf.DUMMYFUNCTION("IFERROR(
  TRIM(REGEXEXTRACT(H528,""\(Event\)\s*([^,]+)"")),
  IF(V528="""","""",IF(V528=""CASWJ"",""General / No Specific Project"",""General - ""&amp;V528))
)"),"")</f>
        <v/>
      </c>
      <c r="W528" s="38"/>
      <c r="AB528" s="68" t="str">
        <f t="shared" si="6"/>
        <v/>
      </c>
      <c r="AP528" s="94"/>
    </row>
    <row r="529">
      <c r="R529" s="93"/>
      <c r="S529" s="68"/>
      <c r="T529" s="38" t="str">
        <f>IFERROR(__xludf.DUMMYFUNCTION("IFERROR(
  TRIM(REGEXEXTRACT(H529,""\(Event\)\s*([^,]+)"")),
  IF(V529="""","""",IF(V529=""CASWJ"",""General / No Specific Project"",""General - ""&amp;V529))
)"),"")</f>
        <v/>
      </c>
      <c r="W529" s="38"/>
      <c r="AB529" s="68" t="str">
        <f t="shared" si="6"/>
        <v/>
      </c>
      <c r="AP529" s="94"/>
    </row>
    <row r="530">
      <c r="R530" s="93"/>
      <c r="S530" s="68"/>
      <c r="T530" s="38" t="str">
        <f>IFERROR(__xludf.DUMMYFUNCTION("IFERROR(
  TRIM(REGEXEXTRACT(H530,""\(Event\)\s*([^,]+)"")),
  IF(V530="""","""",IF(V530=""CASWJ"",""General / No Specific Project"",""General - ""&amp;V530))
)"),"")</f>
        <v/>
      </c>
      <c r="W530" s="38"/>
      <c r="AB530" s="68" t="str">
        <f t="shared" si="6"/>
        <v/>
      </c>
      <c r="AP530" s="94"/>
    </row>
    <row r="531">
      <c r="R531" s="93"/>
      <c r="S531" s="68"/>
      <c r="T531" s="38" t="str">
        <f>IFERROR(__xludf.DUMMYFUNCTION("IFERROR(
  TRIM(REGEXEXTRACT(H531,""\(Event\)\s*([^,]+)"")),
  IF(V531="""","""",IF(V531=""CASWJ"",""General / No Specific Project"",""General - ""&amp;V531))
)"),"")</f>
        <v/>
      </c>
      <c r="W531" s="38"/>
      <c r="AB531" s="68" t="str">
        <f t="shared" si="6"/>
        <v/>
      </c>
      <c r="AP531" s="94"/>
    </row>
    <row r="532">
      <c r="R532" s="93"/>
      <c r="S532" s="68"/>
      <c r="T532" s="38" t="str">
        <f>IFERROR(__xludf.DUMMYFUNCTION("IFERROR(
  TRIM(REGEXEXTRACT(H532,""\(Event\)\s*([^,]+)"")),
  IF(V532="""","""",IF(V532=""CASWJ"",""General / No Specific Project"",""General - ""&amp;V532))
)"),"")</f>
        <v/>
      </c>
      <c r="W532" s="38"/>
      <c r="AB532" s="68" t="str">
        <f t="shared" si="6"/>
        <v/>
      </c>
      <c r="AP532" s="94"/>
    </row>
    <row r="533">
      <c r="R533" s="93"/>
      <c r="S533" s="68"/>
      <c r="T533" s="38" t="str">
        <f>IFERROR(__xludf.DUMMYFUNCTION("IFERROR(
  TRIM(REGEXEXTRACT(H533,""\(Event\)\s*([^,]+)"")),
  IF(V533="""","""",IF(V533=""CASWJ"",""General / No Specific Project"",""General - ""&amp;V533))
)"),"")</f>
        <v/>
      </c>
      <c r="W533" s="38"/>
      <c r="AB533" s="68" t="str">
        <f t="shared" si="6"/>
        <v/>
      </c>
      <c r="AP533" s="94"/>
    </row>
    <row r="534">
      <c r="R534" s="93"/>
      <c r="S534" s="68"/>
      <c r="T534" s="38" t="str">
        <f>IFERROR(__xludf.DUMMYFUNCTION("IFERROR(
  TRIM(REGEXEXTRACT(H534,""\(Event\)\s*([^,]+)"")),
  IF(V534="""","""",IF(V534=""CASWJ"",""General / No Specific Project"",""General - ""&amp;V534))
)"),"")</f>
        <v/>
      </c>
      <c r="W534" s="38"/>
      <c r="AB534" s="68" t="str">
        <f t="shared" si="6"/>
        <v/>
      </c>
      <c r="AP534" s="94"/>
    </row>
    <row r="535">
      <c r="R535" s="93"/>
      <c r="S535" s="68"/>
      <c r="T535" s="38" t="str">
        <f>IFERROR(__xludf.DUMMYFUNCTION("IFERROR(
  TRIM(REGEXEXTRACT(H535,""\(Event\)\s*([^,]+)"")),
  IF(V535="""","""",IF(V535=""CASWJ"",""General / No Specific Project"",""General - ""&amp;V535))
)"),"")</f>
        <v/>
      </c>
      <c r="W535" s="38"/>
      <c r="AB535" s="68" t="str">
        <f t="shared" si="6"/>
        <v/>
      </c>
      <c r="AP535" s="94"/>
    </row>
    <row r="536">
      <c r="R536" s="93"/>
      <c r="S536" s="68"/>
      <c r="T536" s="38" t="str">
        <f>IFERROR(__xludf.DUMMYFUNCTION("IFERROR(
  TRIM(REGEXEXTRACT(H536,""\(Event\)\s*([^,]+)"")),
  IF(V536="""","""",IF(V536=""CASWJ"",""General / No Specific Project"",""General - ""&amp;V536))
)"),"")</f>
        <v/>
      </c>
      <c r="W536" s="38"/>
      <c r="AB536" s="68" t="str">
        <f t="shared" si="6"/>
        <v/>
      </c>
      <c r="AP536" s="94"/>
    </row>
    <row r="537">
      <c r="R537" s="93"/>
      <c r="S537" s="68"/>
      <c r="T537" s="38" t="str">
        <f>IFERROR(__xludf.DUMMYFUNCTION("IFERROR(
  TRIM(REGEXEXTRACT(H537,""\(Event\)\s*([^,]+)"")),
  IF(V537="""","""",IF(V537=""CASWJ"",""General / No Specific Project"",""General - ""&amp;V537))
)"),"")</f>
        <v/>
      </c>
      <c r="W537" s="38"/>
      <c r="AB537" s="68" t="str">
        <f t="shared" si="6"/>
        <v/>
      </c>
      <c r="AP537" s="94"/>
    </row>
    <row r="538">
      <c r="R538" s="93"/>
      <c r="S538" s="68"/>
      <c r="T538" s="38" t="str">
        <f>IFERROR(__xludf.DUMMYFUNCTION("IFERROR(
  TRIM(REGEXEXTRACT(H538,""\(Event\)\s*([^,]+)"")),
  IF(V538="""","""",IF(V538=""CASWJ"",""General / No Specific Project"",""General - ""&amp;V538))
)"),"")</f>
        <v/>
      </c>
      <c r="W538" s="38"/>
      <c r="AB538" s="68" t="str">
        <f t="shared" si="6"/>
        <v/>
      </c>
      <c r="AP538" s="94"/>
    </row>
    <row r="539">
      <c r="R539" s="93"/>
      <c r="S539" s="68"/>
      <c r="T539" s="38" t="str">
        <f>IFERROR(__xludf.DUMMYFUNCTION("IFERROR(
  TRIM(REGEXEXTRACT(H539,""\(Event\)\s*([^,]+)"")),
  IF(V539="""","""",IF(V539=""CASWJ"",""General / No Specific Project"",""General - ""&amp;V539))
)"),"")</f>
        <v/>
      </c>
      <c r="W539" s="38"/>
      <c r="AB539" s="68" t="str">
        <f t="shared" si="6"/>
        <v/>
      </c>
      <c r="AP539" s="94"/>
    </row>
    <row r="540">
      <c r="R540" s="93"/>
      <c r="S540" s="68"/>
      <c r="T540" s="38" t="str">
        <f>IFERROR(__xludf.DUMMYFUNCTION("IFERROR(
  TRIM(REGEXEXTRACT(H540,""\(Event\)\s*([^,]+)"")),
  IF(V540="""","""",IF(V540=""CASWJ"",""General / No Specific Project"",""General - ""&amp;V540))
)"),"")</f>
        <v/>
      </c>
      <c r="W540" s="38"/>
      <c r="AB540" s="68" t="str">
        <f t="shared" si="6"/>
        <v/>
      </c>
      <c r="AP540" s="94"/>
    </row>
    <row r="541">
      <c r="R541" s="93"/>
      <c r="S541" s="68"/>
      <c r="T541" s="38" t="str">
        <f>IFERROR(__xludf.DUMMYFUNCTION("IFERROR(
  TRIM(REGEXEXTRACT(H541,""\(Event\)\s*([^,]+)"")),
  IF(V541="""","""",IF(V541=""CASWJ"",""General / No Specific Project"",""General - ""&amp;V541))
)"),"")</f>
        <v/>
      </c>
      <c r="W541" s="38"/>
      <c r="AB541" s="68" t="str">
        <f t="shared" si="6"/>
        <v/>
      </c>
      <c r="AP541" s="94"/>
    </row>
    <row r="542">
      <c r="R542" s="93"/>
      <c r="S542" s="68"/>
      <c r="T542" s="38" t="str">
        <f>IFERROR(__xludf.DUMMYFUNCTION("IFERROR(
  TRIM(REGEXEXTRACT(H542,""\(Event\)\s*([^,]+)"")),
  IF(V542="""","""",IF(V542=""CASWJ"",""General / No Specific Project"",""General - ""&amp;V542))
)"),"")</f>
        <v/>
      </c>
      <c r="W542" s="38"/>
      <c r="AB542" s="68" t="str">
        <f t="shared" si="6"/>
        <v/>
      </c>
      <c r="AP542" s="94"/>
    </row>
    <row r="543">
      <c r="R543" s="93"/>
      <c r="S543" s="68"/>
      <c r="T543" s="38" t="str">
        <f>IFERROR(__xludf.DUMMYFUNCTION("IFERROR(
  TRIM(REGEXEXTRACT(H543,""\(Event\)\s*([^,]+)"")),
  IF(V543="""","""",IF(V543=""CASWJ"",""General / No Specific Project"",""General - ""&amp;V543))
)"),"")</f>
        <v/>
      </c>
      <c r="W543" s="38"/>
      <c r="AB543" s="68" t="str">
        <f t="shared" si="6"/>
        <v/>
      </c>
      <c r="AP543" s="94"/>
    </row>
    <row r="544">
      <c r="R544" s="93"/>
      <c r="S544" s="68"/>
      <c r="T544" s="38" t="str">
        <f>IFERROR(__xludf.DUMMYFUNCTION("IFERROR(
  TRIM(REGEXEXTRACT(H544,""\(Event\)\s*([^,]+)"")),
  IF(V544="""","""",IF(V544=""CASWJ"",""General / No Specific Project"",""General - ""&amp;V544))
)"),"")</f>
        <v/>
      </c>
      <c r="W544" s="38"/>
      <c r="AB544" s="68" t="str">
        <f t="shared" si="6"/>
        <v/>
      </c>
      <c r="AP544" s="94"/>
    </row>
    <row r="545">
      <c r="R545" s="93"/>
      <c r="S545" s="68"/>
      <c r="T545" s="38" t="str">
        <f>IFERROR(__xludf.DUMMYFUNCTION("IFERROR(
  TRIM(REGEXEXTRACT(H545,""\(Event\)\s*([^,]+)"")),
  IF(V545="""","""",IF(V545=""CASWJ"",""General / No Specific Project"",""General - ""&amp;V545))
)"),"")</f>
        <v/>
      </c>
      <c r="W545" s="38"/>
      <c r="AB545" s="68" t="str">
        <f t="shared" si="6"/>
        <v/>
      </c>
      <c r="AP545" s="94"/>
    </row>
    <row r="546">
      <c r="R546" s="93"/>
      <c r="S546" s="68"/>
      <c r="T546" s="38" t="str">
        <f>IFERROR(__xludf.DUMMYFUNCTION("IFERROR(
  TRIM(REGEXEXTRACT(H546,""\(Event\)\s*([^,]+)"")),
  IF(V546="""","""",IF(V546=""CASWJ"",""General / No Specific Project"",""General - ""&amp;V546))
)"),"")</f>
        <v/>
      </c>
      <c r="W546" s="38"/>
      <c r="AB546" s="68" t="str">
        <f t="shared" si="6"/>
        <v/>
      </c>
      <c r="AP546" s="94"/>
    </row>
    <row r="547">
      <c r="R547" s="93"/>
      <c r="S547" s="68"/>
      <c r="T547" s="38" t="str">
        <f>IFERROR(__xludf.DUMMYFUNCTION("IFERROR(
  TRIM(REGEXEXTRACT(H547,""\(Event\)\s*([^,]+)"")),
  IF(V547="""","""",IF(V547=""CASWJ"",""General / No Specific Project"",""General - ""&amp;V547))
)"),"")</f>
        <v/>
      </c>
      <c r="W547" s="38"/>
      <c r="AB547" s="68" t="str">
        <f t="shared" si="6"/>
        <v/>
      </c>
      <c r="AP547" s="94"/>
    </row>
    <row r="548">
      <c r="R548" s="93"/>
      <c r="S548" s="68"/>
      <c r="T548" s="38" t="str">
        <f>IFERROR(__xludf.DUMMYFUNCTION("IFERROR(
  TRIM(REGEXEXTRACT(H548,""\(Event\)\s*([^,]+)"")),
  IF(V548="""","""",IF(V548=""CASWJ"",""General / No Specific Project"",""General - ""&amp;V548))
)"),"")</f>
        <v/>
      </c>
      <c r="W548" s="38"/>
      <c r="AB548" s="68" t="str">
        <f t="shared" si="6"/>
        <v/>
      </c>
      <c r="AP548" s="94"/>
    </row>
    <row r="549">
      <c r="R549" s="93"/>
      <c r="S549" s="68"/>
      <c r="T549" s="38" t="str">
        <f>IFERROR(__xludf.DUMMYFUNCTION("IFERROR(
  TRIM(REGEXEXTRACT(H549,""\(Event\)\s*([^,]+)"")),
  IF(V549="""","""",IF(V549=""CASWJ"",""General / No Specific Project"",""General - ""&amp;V549))
)"),"")</f>
        <v/>
      </c>
      <c r="W549" s="38"/>
      <c r="AB549" s="68" t="str">
        <f t="shared" si="6"/>
        <v/>
      </c>
      <c r="AP549" s="94"/>
    </row>
    <row r="550">
      <c r="R550" s="93"/>
      <c r="S550" s="68"/>
      <c r="T550" s="38" t="str">
        <f>IFERROR(__xludf.DUMMYFUNCTION("IFERROR(
  TRIM(REGEXEXTRACT(H550,""\(Event\)\s*([^,]+)"")),
  IF(V550="""","""",IF(V550=""CASWJ"",""General / No Specific Project"",""General - ""&amp;V550))
)"),"")</f>
        <v/>
      </c>
      <c r="W550" s="38"/>
      <c r="AB550" s="68" t="str">
        <f t="shared" si="6"/>
        <v/>
      </c>
      <c r="AP550" s="94"/>
    </row>
    <row r="551">
      <c r="R551" s="93"/>
      <c r="S551" s="68"/>
      <c r="T551" s="38" t="str">
        <f>IFERROR(__xludf.DUMMYFUNCTION("IFERROR(
  TRIM(REGEXEXTRACT(H551,""\(Event\)\s*([^,]+)"")),
  IF(V551="""","""",IF(V551=""CASWJ"",""General / No Specific Project"",""General - ""&amp;V551))
)"),"")</f>
        <v/>
      </c>
      <c r="W551" s="38"/>
      <c r="AB551" s="68" t="str">
        <f t="shared" si="6"/>
        <v/>
      </c>
      <c r="AP551" s="94"/>
    </row>
    <row r="552">
      <c r="R552" s="93"/>
      <c r="S552" s="68"/>
      <c r="T552" s="38" t="str">
        <f>IFERROR(__xludf.DUMMYFUNCTION("IFERROR(
  TRIM(REGEXEXTRACT(H552,""\(Event\)\s*([^,]+)"")),
  IF(V552="""","""",IF(V552=""CASWJ"",""General / No Specific Project"",""General - ""&amp;V552))
)"),"")</f>
        <v/>
      </c>
      <c r="W552" s="38"/>
      <c r="AB552" s="68" t="str">
        <f t="shared" si="6"/>
        <v/>
      </c>
      <c r="AP552" s="94"/>
    </row>
    <row r="553">
      <c r="R553" s="93"/>
      <c r="S553" s="68"/>
      <c r="T553" s="38" t="str">
        <f>IFERROR(__xludf.DUMMYFUNCTION("IFERROR(
  TRIM(REGEXEXTRACT(H553,""\(Event\)\s*([^,]+)"")),
  IF(V553="""","""",IF(V553=""CASWJ"",""General / No Specific Project"",""General - ""&amp;V553))
)"),"")</f>
        <v/>
      </c>
      <c r="W553" s="38"/>
      <c r="AB553" s="68" t="str">
        <f t="shared" si="6"/>
        <v/>
      </c>
      <c r="AP553" s="94"/>
    </row>
    <row r="554">
      <c r="R554" s="93"/>
      <c r="S554" s="68"/>
      <c r="T554" s="38" t="str">
        <f>IFERROR(__xludf.DUMMYFUNCTION("IFERROR(
  TRIM(REGEXEXTRACT(H554,""\(Event\)\s*([^,]+)"")),
  IF(V554="""","""",IF(V554=""CASWJ"",""General / No Specific Project"",""General - ""&amp;V554))
)"),"")</f>
        <v/>
      </c>
      <c r="W554" s="38"/>
      <c r="AB554" s="68" t="str">
        <f t="shared" si="6"/>
        <v/>
      </c>
      <c r="AP554" s="94"/>
    </row>
    <row r="555">
      <c r="R555" s="93"/>
      <c r="S555" s="68"/>
      <c r="T555" s="38" t="str">
        <f>IFERROR(__xludf.DUMMYFUNCTION("IFERROR(
  TRIM(REGEXEXTRACT(H555,""\(Event\)\s*([^,]+)"")),
  IF(V555="""","""",IF(V555=""CASWJ"",""General / No Specific Project"",""General - ""&amp;V555))
)"),"")</f>
        <v/>
      </c>
      <c r="W555" s="38"/>
      <c r="AB555" s="68" t="str">
        <f t="shared" si="6"/>
        <v/>
      </c>
      <c r="AP555" s="94"/>
    </row>
    <row r="556">
      <c r="R556" s="93"/>
      <c r="S556" s="68"/>
      <c r="T556" s="38" t="str">
        <f>IFERROR(__xludf.DUMMYFUNCTION("IFERROR(
  TRIM(REGEXEXTRACT(H556,""\(Event\)\s*([^,]+)"")),
  IF(V556="""","""",IF(V556=""CASWJ"",""General / No Specific Project"",""General - ""&amp;V556))
)"),"")</f>
        <v/>
      </c>
      <c r="W556" s="38"/>
      <c r="AB556" s="68" t="str">
        <f t="shared" si="6"/>
        <v/>
      </c>
      <c r="AP556" s="94"/>
    </row>
    <row r="557">
      <c r="R557" s="93"/>
      <c r="S557" s="68"/>
      <c r="T557" s="38" t="str">
        <f>IFERROR(__xludf.DUMMYFUNCTION("IFERROR(
  TRIM(REGEXEXTRACT(H557,""\(Event\)\s*([^,]+)"")),
  IF(V557="""","""",IF(V557=""CASWJ"",""General / No Specific Project"",""General - ""&amp;V557))
)"),"")</f>
        <v/>
      </c>
      <c r="W557" s="38"/>
      <c r="AB557" s="68" t="str">
        <f t="shared" si="6"/>
        <v/>
      </c>
      <c r="AP557" s="94"/>
    </row>
    <row r="558">
      <c r="R558" s="93"/>
      <c r="S558" s="68"/>
      <c r="T558" s="38" t="str">
        <f>IFERROR(__xludf.DUMMYFUNCTION("IFERROR(
  TRIM(REGEXEXTRACT(H558,""\(Event\)\s*([^,]+)"")),
  IF(V558="""","""",IF(V558=""CASWJ"",""General / No Specific Project"",""General - ""&amp;V558))
)"),"")</f>
        <v/>
      </c>
      <c r="W558" s="38"/>
      <c r="AB558" s="68" t="str">
        <f t="shared" si="6"/>
        <v/>
      </c>
      <c r="AP558" s="94"/>
    </row>
    <row r="559">
      <c r="R559" s="93"/>
      <c r="S559" s="68"/>
      <c r="T559" s="38" t="str">
        <f>IFERROR(__xludf.DUMMYFUNCTION("IFERROR(
  TRIM(REGEXEXTRACT(H559,""\(Event\)\s*([^,]+)"")),
  IF(V559="""","""",IF(V559=""CASWJ"",""General / No Specific Project"",""General - ""&amp;V559))
)"),"")</f>
        <v/>
      </c>
      <c r="W559" s="38"/>
      <c r="AB559" s="68" t="str">
        <f t="shared" si="6"/>
        <v/>
      </c>
      <c r="AP559" s="94"/>
    </row>
    <row r="560">
      <c r="R560" s="93"/>
      <c r="S560" s="68"/>
      <c r="T560" s="38" t="str">
        <f>IFERROR(__xludf.DUMMYFUNCTION("IFERROR(
  TRIM(REGEXEXTRACT(H560,""\(Event\)\s*([^,]+)"")),
  IF(V560="""","""",IF(V560=""CASWJ"",""General / No Specific Project"",""General - ""&amp;V560))
)"),"")</f>
        <v/>
      </c>
      <c r="W560" s="38"/>
      <c r="AB560" s="68" t="str">
        <f t="shared" si="6"/>
        <v/>
      </c>
      <c r="AP560" s="94"/>
    </row>
    <row r="561">
      <c r="R561" s="93"/>
      <c r="S561" s="68"/>
      <c r="T561" s="38" t="str">
        <f>IFERROR(__xludf.DUMMYFUNCTION("IFERROR(
  TRIM(REGEXEXTRACT(H561,""\(Event\)\s*([^,]+)"")),
  IF(V561="""","""",IF(V561=""CASWJ"",""General / No Specific Project"",""General - ""&amp;V561))
)"),"")</f>
        <v/>
      </c>
      <c r="W561" s="38"/>
      <c r="AB561" s="68" t="str">
        <f t="shared" si="6"/>
        <v/>
      </c>
      <c r="AP561" s="94"/>
    </row>
    <row r="562">
      <c r="R562" s="93"/>
      <c r="S562" s="68"/>
      <c r="T562" s="38" t="str">
        <f>IFERROR(__xludf.DUMMYFUNCTION("IFERROR(
  TRIM(REGEXEXTRACT(H562,""\(Event\)\s*([^,]+)"")),
  IF(V562="""","""",IF(V562=""CASWJ"",""General / No Specific Project"",""General - ""&amp;V562))
)"),"")</f>
        <v/>
      </c>
      <c r="W562" s="38"/>
      <c r="AB562" s="68" t="str">
        <f t="shared" si="6"/>
        <v/>
      </c>
      <c r="AP562" s="94"/>
    </row>
    <row r="563">
      <c r="R563" s="93"/>
      <c r="S563" s="68"/>
      <c r="T563" s="38" t="str">
        <f>IFERROR(__xludf.DUMMYFUNCTION("IFERROR(
  TRIM(REGEXEXTRACT(H563,""\(Event\)\s*([^,]+)"")),
  IF(V563="""","""",IF(V563=""CASWJ"",""General / No Specific Project"",""General - ""&amp;V563))
)"),"")</f>
        <v/>
      </c>
      <c r="W563" s="38"/>
      <c r="AB563" s="68" t="str">
        <f t="shared" si="6"/>
        <v/>
      </c>
      <c r="AP563" s="94"/>
    </row>
    <row r="564">
      <c r="R564" s="93"/>
      <c r="S564" s="68"/>
      <c r="T564" s="38" t="str">
        <f>IFERROR(__xludf.DUMMYFUNCTION("IFERROR(
  TRIM(REGEXEXTRACT(H564,""\(Event\)\s*([^,]+)"")),
  IF(V564="""","""",IF(V564=""CASWJ"",""General / No Specific Project"",""General - ""&amp;V564))
)"),"")</f>
        <v/>
      </c>
      <c r="W564" s="38"/>
      <c r="AB564" s="68" t="str">
        <f t="shared" si="6"/>
        <v/>
      </c>
      <c r="AP564" s="94"/>
    </row>
    <row r="565">
      <c r="R565" s="93"/>
      <c r="S565" s="68"/>
      <c r="T565" s="38" t="str">
        <f>IFERROR(__xludf.DUMMYFUNCTION("IFERROR(
  TRIM(REGEXEXTRACT(H565,""\(Event\)\s*([^,]+)"")),
  IF(V565="""","""",IF(V565=""CASWJ"",""General / No Specific Project"",""General - ""&amp;V565))
)"),"")</f>
        <v/>
      </c>
      <c r="W565" s="38"/>
      <c r="AB565" s="68" t="str">
        <f t="shared" si="6"/>
        <v/>
      </c>
      <c r="AP565" s="94"/>
    </row>
    <row r="566">
      <c r="R566" s="93"/>
      <c r="S566" s="68"/>
      <c r="T566" s="38" t="str">
        <f>IFERROR(__xludf.DUMMYFUNCTION("IFERROR(
  TRIM(REGEXEXTRACT(H566,""\(Event\)\s*([^,]+)"")),
  IF(V566="""","""",IF(V566=""CASWJ"",""General / No Specific Project"",""General - ""&amp;V566))
)"),"")</f>
        <v/>
      </c>
      <c r="W566" s="38"/>
      <c r="AB566" s="68" t="str">
        <f t="shared" si="6"/>
        <v/>
      </c>
      <c r="AP566" s="94"/>
    </row>
    <row r="567">
      <c r="R567" s="93"/>
      <c r="S567" s="68"/>
      <c r="T567" s="38" t="str">
        <f>IFERROR(__xludf.DUMMYFUNCTION("IFERROR(
  TRIM(REGEXEXTRACT(H567,""\(Event\)\s*([^,]+)"")),
  IF(V567="""","""",IF(V567=""CASWJ"",""General / No Specific Project"",""General - ""&amp;V567))
)"),"")</f>
        <v/>
      </c>
      <c r="W567" s="38"/>
      <c r="AB567" s="68" t="str">
        <f t="shared" si="6"/>
        <v/>
      </c>
      <c r="AP567" s="94"/>
    </row>
    <row r="568">
      <c r="R568" s="93"/>
      <c r="S568" s="68"/>
      <c r="T568" s="38" t="str">
        <f>IFERROR(__xludf.DUMMYFUNCTION("IFERROR(
  TRIM(REGEXEXTRACT(H568,""\(Event\)\s*([^,]+)"")),
  IF(V568="""","""",IF(V568=""CASWJ"",""General / No Specific Project"",""General - ""&amp;V568))
)"),"")</f>
        <v/>
      </c>
      <c r="W568" s="38"/>
      <c r="AB568" s="68" t="str">
        <f t="shared" si="6"/>
        <v/>
      </c>
      <c r="AP568" s="94"/>
    </row>
    <row r="569">
      <c r="R569" s="93"/>
      <c r="S569" s="68"/>
      <c r="T569" s="38" t="str">
        <f>IFERROR(__xludf.DUMMYFUNCTION("IFERROR(
  TRIM(REGEXEXTRACT(H569,""\(Event\)\s*([^,]+)"")),
  IF(V569="""","""",IF(V569=""CASWJ"",""General / No Specific Project"",""General - ""&amp;V569))
)"),"")</f>
        <v/>
      </c>
      <c r="W569" s="38"/>
      <c r="AB569" s="68" t="str">
        <f t="shared" si="6"/>
        <v/>
      </c>
      <c r="AP569" s="94"/>
    </row>
    <row r="570">
      <c r="R570" s="93"/>
      <c r="S570" s="68"/>
      <c r="T570" s="38" t="str">
        <f>IFERROR(__xludf.DUMMYFUNCTION("IFERROR(
  TRIM(REGEXEXTRACT(H570,""\(Event\)\s*([^,]+)"")),
  IF(V570="""","""",IF(V570=""CASWJ"",""General / No Specific Project"",""General - ""&amp;V570))
)"),"")</f>
        <v/>
      </c>
      <c r="W570" s="38"/>
      <c r="AB570" s="68" t="str">
        <f t="shared" si="6"/>
        <v/>
      </c>
      <c r="AP570" s="94"/>
    </row>
    <row r="571">
      <c r="R571" s="93"/>
      <c r="S571" s="68"/>
      <c r="T571" s="38" t="str">
        <f>IFERROR(__xludf.DUMMYFUNCTION("IFERROR(
  TRIM(REGEXEXTRACT(H571,""\(Event\)\s*([^,]+)"")),
  IF(V571="""","""",IF(V571=""CASWJ"",""General / No Specific Project"",""General - ""&amp;V571))
)"),"")</f>
        <v/>
      </c>
      <c r="W571" s="38"/>
      <c r="AB571" s="68" t="str">
        <f t="shared" si="6"/>
        <v/>
      </c>
      <c r="AP571" s="94"/>
    </row>
    <row r="572">
      <c r="R572" s="93"/>
      <c r="S572" s="68"/>
      <c r="T572" s="38" t="str">
        <f>IFERROR(__xludf.DUMMYFUNCTION("IFERROR(
  TRIM(REGEXEXTRACT(H572,""\(Event\)\s*([^,]+)"")),
  IF(V572="""","""",IF(V572=""CASWJ"",""General / No Specific Project"",""General - ""&amp;V572))
)"),"")</f>
        <v/>
      </c>
      <c r="W572" s="38"/>
      <c r="AB572" s="68" t="str">
        <f t="shared" si="6"/>
        <v/>
      </c>
      <c r="AP572" s="94"/>
    </row>
    <row r="573">
      <c r="R573" s="93"/>
      <c r="S573" s="68"/>
      <c r="T573" s="38" t="str">
        <f>IFERROR(__xludf.DUMMYFUNCTION("IFERROR(
  TRIM(REGEXEXTRACT(H573,""\(Event\)\s*([^,]+)"")),
  IF(V573="""","""",IF(V573=""CASWJ"",""General / No Specific Project"",""General - ""&amp;V573))
)"),"")</f>
        <v/>
      </c>
      <c r="W573" s="38"/>
      <c r="AB573" s="68" t="str">
        <f t="shared" si="6"/>
        <v/>
      </c>
      <c r="AP573" s="94"/>
    </row>
    <row r="574">
      <c r="R574" s="93"/>
      <c r="S574" s="68"/>
      <c r="T574" s="38" t="str">
        <f>IFERROR(__xludf.DUMMYFUNCTION("IFERROR(
  TRIM(REGEXEXTRACT(H574,""\(Event\)\s*([^,]+)"")),
  IF(V574="""","""",IF(V574=""CASWJ"",""General / No Specific Project"",""General - ""&amp;V574))
)"),"")</f>
        <v/>
      </c>
      <c r="W574" s="38"/>
      <c r="AB574" s="68" t="str">
        <f t="shared" si="6"/>
        <v/>
      </c>
      <c r="AP574" s="94"/>
    </row>
    <row r="575">
      <c r="R575" s="93"/>
      <c r="S575" s="68"/>
      <c r="T575" s="38" t="str">
        <f>IFERROR(__xludf.DUMMYFUNCTION("IFERROR(
  TRIM(REGEXEXTRACT(H575,""\(Event\)\s*([^,]+)"")),
  IF(V575="""","""",IF(V575=""CASWJ"",""General / No Specific Project"",""General - ""&amp;V575))
)"),"")</f>
        <v/>
      </c>
      <c r="W575" s="38"/>
      <c r="AB575" s="68" t="str">
        <f t="shared" si="6"/>
        <v/>
      </c>
      <c r="AP575" s="94"/>
    </row>
    <row r="576">
      <c r="R576" s="93"/>
      <c r="S576" s="68"/>
      <c r="T576" s="38" t="str">
        <f>IFERROR(__xludf.DUMMYFUNCTION("IFERROR(
  TRIM(REGEXEXTRACT(H576,""\(Event\)\s*([^,]+)"")),
  IF(V576="""","""",IF(V576=""CASWJ"",""General / No Specific Project"",""General - ""&amp;V576))
)"),"")</f>
        <v/>
      </c>
      <c r="W576" s="38"/>
      <c r="AB576" s="68" t="str">
        <f t="shared" si="6"/>
        <v/>
      </c>
      <c r="AP576" s="94"/>
    </row>
    <row r="577">
      <c r="R577" s="93"/>
      <c r="S577" s="68"/>
      <c r="T577" s="38" t="str">
        <f>IFERROR(__xludf.DUMMYFUNCTION("IFERROR(
  TRIM(REGEXEXTRACT(H577,""\(Event\)\s*([^,]+)"")),
  IF(V577="""","""",IF(V577=""CASWJ"",""General / No Specific Project"",""General - ""&amp;V577))
)"),"")</f>
        <v/>
      </c>
      <c r="W577" s="38"/>
      <c r="AB577" s="68" t="str">
        <f t="shared" si="6"/>
        <v/>
      </c>
      <c r="AP577" s="94"/>
    </row>
    <row r="578">
      <c r="R578" s="93"/>
      <c r="S578" s="68"/>
      <c r="T578" s="38" t="str">
        <f>IFERROR(__xludf.DUMMYFUNCTION("IFERROR(
  TRIM(REGEXEXTRACT(H578,""\(Event\)\s*([^,]+)"")),
  IF(V578="""","""",IF(V578=""CASWJ"",""General / No Specific Project"",""General - ""&amp;V578))
)"),"")</f>
        <v/>
      </c>
      <c r="W578" s="38"/>
      <c r="AB578" s="68" t="str">
        <f t="shared" si="6"/>
        <v/>
      </c>
      <c r="AP578" s="94"/>
    </row>
    <row r="579">
      <c r="R579" s="93"/>
      <c r="S579" s="68"/>
      <c r="T579" s="38" t="str">
        <f>IFERROR(__xludf.DUMMYFUNCTION("IFERROR(
  TRIM(REGEXEXTRACT(H579,""\(Event\)\s*([^,]+)"")),
  IF(V579="""","""",IF(V579=""CASWJ"",""General / No Specific Project"",""General - ""&amp;V579))
)"),"")</f>
        <v/>
      </c>
      <c r="W579" s="38"/>
      <c r="AB579" s="68" t="str">
        <f t="shared" si="6"/>
        <v/>
      </c>
      <c r="AP579" s="94"/>
    </row>
    <row r="580">
      <c r="R580" s="93"/>
      <c r="S580" s="68"/>
      <c r="T580" s="38" t="str">
        <f>IFERROR(__xludf.DUMMYFUNCTION("IFERROR(
  TRIM(REGEXEXTRACT(H580,""\(Event\)\s*([^,]+)"")),
  IF(V580="""","""",IF(V580=""CASWJ"",""General / No Specific Project"",""General - ""&amp;V580))
)"),"")</f>
        <v/>
      </c>
      <c r="W580" s="38"/>
      <c r="AB580" s="68" t="str">
        <f t="shared" si="6"/>
        <v/>
      </c>
      <c r="AP580" s="94"/>
    </row>
    <row r="581">
      <c r="R581" s="93"/>
      <c r="S581" s="68"/>
      <c r="T581" s="38" t="str">
        <f>IFERROR(__xludf.DUMMYFUNCTION("IFERROR(
  TRIM(REGEXEXTRACT(H581,""\(Event\)\s*([^,]+)"")),
  IF(V581="""","""",IF(V581=""CASWJ"",""General / No Specific Project"",""General - ""&amp;V581))
)"),"")</f>
        <v/>
      </c>
      <c r="W581" s="38"/>
      <c r="AB581" s="68" t="str">
        <f t="shared" si="6"/>
        <v/>
      </c>
      <c r="AP581" s="94"/>
    </row>
    <row r="582">
      <c r="R582" s="93"/>
      <c r="S582" s="68"/>
      <c r="T582" s="38" t="str">
        <f>IFERROR(__xludf.DUMMYFUNCTION("IFERROR(
  TRIM(REGEXEXTRACT(H582,""\(Event\)\s*([^,]+)"")),
  IF(V582="""","""",IF(V582=""CASWJ"",""General / No Specific Project"",""General - ""&amp;V582))
)"),"")</f>
        <v/>
      </c>
      <c r="W582" s="38"/>
      <c r="AB582" s="68" t="str">
        <f t="shared" si="6"/>
        <v/>
      </c>
      <c r="AP582" s="94"/>
    </row>
    <row r="583">
      <c r="R583" s="93"/>
      <c r="S583" s="68"/>
      <c r="T583" s="38" t="str">
        <f>IFERROR(__xludf.DUMMYFUNCTION("IFERROR(
  TRIM(REGEXEXTRACT(H583,""\(Event\)\s*([^,]+)"")),
  IF(V583="""","""",IF(V583=""CASWJ"",""General / No Specific Project"",""General - ""&amp;V583))
)"),"")</f>
        <v/>
      </c>
      <c r="W583" s="38"/>
      <c r="AB583" s="68" t="str">
        <f t="shared" si="6"/>
        <v/>
      </c>
      <c r="AP583" s="94"/>
    </row>
    <row r="584">
      <c r="R584" s="93"/>
      <c r="S584" s="68"/>
      <c r="T584" s="38" t="str">
        <f>IFERROR(__xludf.DUMMYFUNCTION("IFERROR(
  TRIM(REGEXEXTRACT(H584,""\(Event\)\s*([^,]+)"")),
  IF(V584="""","""",IF(V584=""CASWJ"",""General / No Specific Project"",""General - ""&amp;V584))
)"),"")</f>
        <v/>
      </c>
      <c r="W584" s="38"/>
      <c r="AB584" s="68" t="str">
        <f t="shared" si="6"/>
        <v/>
      </c>
      <c r="AP584" s="94"/>
    </row>
    <row r="585">
      <c r="R585" s="93"/>
      <c r="S585" s="68"/>
      <c r="T585" s="38" t="str">
        <f>IFERROR(__xludf.DUMMYFUNCTION("IFERROR(
  TRIM(REGEXEXTRACT(H585,""\(Event\)\s*([^,]+)"")),
  IF(V585="""","""",IF(V585=""CASWJ"",""General / No Specific Project"",""General - ""&amp;V585))
)"),"")</f>
        <v/>
      </c>
      <c r="W585" s="38"/>
      <c r="AB585" s="68" t="str">
        <f t="shared" si="6"/>
        <v/>
      </c>
      <c r="AP585" s="94"/>
    </row>
    <row r="586">
      <c r="R586" s="93"/>
      <c r="S586" s="68"/>
      <c r="T586" s="38" t="str">
        <f>IFERROR(__xludf.DUMMYFUNCTION("IFERROR(
  TRIM(REGEXEXTRACT(H586,""\(Event\)\s*([^,]+)"")),
  IF(V586="""","""",IF(V586=""CASWJ"",""General / No Specific Project"",""General - ""&amp;V586))
)"),"")</f>
        <v/>
      </c>
      <c r="W586" s="38"/>
      <c r="AB586" s="68" t="str">
        <f t="shared" si="6"/>
        <v/>
      </c>
      <c r="AP586" s="94"/>
    </row>
    <row r="587">
      <c r="R587" s="93"/>
      <c r="S587" s="68"/>
      <c r="T587" s="38" t="str">
        <f>IFERROR(__xludf.DUMMYFUNCTION("IFERROR(
  TRIM(REGEXEXTRACT(H587,""\(Event\)\s*([^,]+)"")),
  IF(V587="""","""",IF(V587=""CASWJ"",""General / No Specific Project"",""General - ""&amp;V587))
)"),"")</f>
        <v/>
      </c>
      <c r="W587" s="38"/>
      <c r="AB587" s="68" t="str">
        <f t="shared" si="6"/>
        <v/>
      </c>
      <c r="AP587" s="94"/>
    </row>
    <row r="588">
      <c r="R588" s="93"/>
      <c r="S588" s="68"/>
      <c r="T588" s="38" t="str">
        <f>IFERROR(__xludf.DUMMYFUNCTION("IFERROR(
  TRIM(REGEXEXTRACT(H588,""\(Event\)\s*([^,]+)"")),
  IF(V588="""","""",IF(V588=""CASWJ"",""General / No Specific Project"",""General - ""&amp;V588))
)"),"")</f>
        <v/>
      </c>
      <c r="W588" s="38"/>
      <c r="AB588" s="68" t="str">
        <f t="shared" si="6"/>
        <v/>
      </c>
      <c r="AP588" s="94"/>
    </row>
    <row r="589">
      <c r="R589" s="93"/>
      <c r="S589" s="68"/>
      <c r="T589" s="38" t="str">
        <f>IFERROR(__xludf.DUMMYFUNCTION("IFERROR(
  TRIM(REGEXEXTRACT(H589,""\(Event\)\s*([^,]+)"")),
  IF(V589="""","""",IF(V589=""CASWJ"",""General / No Specific Project"",""General - ""&amp;V589))
)"),"")</f>
        <v/>
      </c>
      <c r="W589" s="38"/>
      <c r="AB589" s="68" t="str">
        <f t="shared" si="6"/>
        <v/>
      </c>
      <c r="AP589" s="94"/>
    </row>
    <row r="590">
      <c r="R590" s="93"/>
      <c r="S590" s="68"/>
      <c r="T590" s="38" t="str">
        <f>IFERROR(__xludf.DUMMYFUNCTION("IFERROR(
  TRIM(REGEXEXTRACT(H590,""\(Event\)\s*([^,]+)"")),
  IF(V590="""","""",IF(V590=""CASWJ"",""General / No Specific Project"",""General - ""&amp;V590))
)"),"")</f>
        <v/>
      </c>
      <c r="W590" s="38"/>
      <c r="AB590" s="68" t="str">
        <f t="shared" si="6"/>
        <v/>
      </c>
      <c r="AP590" s="94"/>
    </row>
    <row r="591">
      <c r="R591" s="93"/>
      <c r="S591" s="68"/>
      <c r="T591" s="38" t="str">
        <f>IFERROR(__xludf.DUMMYFUNCTION("IFERROR(
  TRIM(REGEXEXTRACT(H591,""\(Event\)\s*([^,]+)"")),
  IF(V591="""","""",IF(V591=""CASWJ"",""General / No Specific Project"",""General - ""&amp;V591))
)"),"")</f>
        <v/>
      </c>
      <c r="W591" s="38"/>
      <c r="AB591" s="68" t="str">
        <f t="shared" si="6"/>
        <v/>
      </c>
      <c r="AP591" s="94"/>
    </row>
    <row r="592">
      <c r="R592" s="93"/>
      <c r="S592" s="68"/>
      <c r="T592" s="38" t="str">
        <f>IFERROR(__xludf.DUMMYFUNCTION("IFERROR(
  TRIM(REGEXEXTRACT(H592,""\(Event\)\s*([^,]+)"")),
  IF(V592="""","""",IF(V592=""CASWJ"",""General / No Specific Project"",""General - ""&amp;V592))
)"),"")</f>
        <v/>
      </c>
      <c r="W592" s="38"/>
      <c r="AB592" s="68" t="str">
        <f t="shared" si="6"/>
        <v/>
      </c>
      <c r="AP592" s="94"/>
    </row>
    <row r="593">
      <c r="R593" s="93"/>
      <c r="S593" s="68"/>
      <c r="T593" s="38" t="str">
        <f>IFERROR(__xludf.DUMMYFUNCTION("IFERROR(
  TRIM(REGEXEXTRACT(H593,""\(Event\)\s*([^,]+)"")),
  IF(V593="""","""",IF(V593=""CASWJ"",""General / No Specific Project"",""General - ""&amp;V593))
)"),"")</f>
        <v/>
      </c>
      <c r="W593" s="38"/>
      <c r="AB593" s="68" t="str">
        <f t="shared" si="6"/>
        <v/>
      </c>
      <c r="AP593" s="94"/>
    </row>
    <row r="594">
      <c r="R594" s="93"/>
      <c r="S594" s="68"/>
      <c r="T594" s="38" t="str">
        <f>IFERROR(__xludf.DUMMYFUNCTION("IFERROR(
  TRIM(REGEXEXTRACT(H594,""\(Event\)\s*([^,]+)"")),
  IF(V594="""","""",IF(V594=""CASWJ"",""General / No Specific Project"",""General - ""&amp;V594))
)"),"")</f>
        <v/>
      </c>
      <c r="W594" s="38"/>
      <c r="AB594" s="68" t="str">
        <f t="shared" si="6"/>
        <v/>
      </c>
      <c r="AP594" s="94"/>
    </row>
    <row r="595">
      <c r="R595" s="93"/>
      <c r="S595" s="68"/>
      <c r="T595" s="38" t="str">
        <f>IFERROR(__xludf.DUMMYFUNCTION("IFERROR(
  TRIM(REGEXEXTRACT(H595,""\(Event\)\s*([^,]+)"")),
  IF(V595="""","""",IF(V595=""CASWJ"",""General / No Specific Project"",""General - ""&amp;V595))
)"),"")</f>
        <v/>
      </c>
      <c r="W595" s="38"/>
      <c r="AB595" s="68" t="str">
        <f t="shared" si="6"/>
        <v/>
      </c>
      <c r="AP595" s="94"/>
    </row>
    <row r="596">
      <c r="R596" s="93"/>
      <c r="S596" s="68"/>
      <c r="T596" s="38" t="str">
        <f>IFERROR(__xludf.DUMMYFUNCTION("IFERROR(
  TRIM(REGEXEXTRACT(H596,""\(Event\)\s*([^,]+)"")),
  IF(V596="""","""",IF(V596=""CASWJ"",""General / No Specific Project"",""General - ""&amp;V596))
)"),"")</f>
        <v/>
      </c>
      <c r="W596" s="38"/>
      <c r="AB596" s="68" t="str">
        <f t="shared" si="6"/>
        <v/>
      </c>
      <c r="AP596" s="94"/>
    </row>
    <row r="597">
      <c r="R597" s="93"/>
      <c r="S597" s="68"/>
      <c r="T597" s="38" t="str">
        <f>IFERROR(__xludf.DUMMYFUNCTION("IFERROR(
  TRIM(REGEXEXTRACT(H597,""\(Event\)\s*([^,]+)"")),
  IF(V597="""","""",IF(V597=""CASWJ"",""General / No Specific Project"",""General - ""&amp;V597))
)"),"")</f>
        <v/>
      </c>
      <c r="W597" s="38"/>
      <c r="AB597" s="68" t="str">
        <f t="shared" si="6"/>
        <v/>
      </c>
      <c r="AP597" s="94"/>
    </row>
    <row r="598">
      <c r="R598" s="93"/>
      <c r="S598" s="68"/>
      <c r="T598" s="38" t="str">
        <f>IFERROR(__xludf.DUMMYFUNCTION("IFERROR(
  TRIM(REGEXEXTRACT(H598,""\(Event\)\s*([^,]+)"")),
  IF(V598="""","""",IF(V598=""CASWJ"",""General / No Specific Project"",""General - ""&amp;V598))
)"),"")</f>
        <v/>
      </c>
      <c r="W598" s="38"/>
      <c r="AB598" s="68" t="str">
        <f t="shared" si="6"/>
        <v/>
      </c>
      <c r="AP598" s="94"/>
    </row>
    <row r="599">
      <c r="R599" s="93"/>
      <c r="S599" s="68"/>
      <c r="T599" s="38" t="str">
        <f>IFERROR(__xludf.DUMMYFUNCTION("IFERROR(
  TRIM(REGEXEXTRACT(H599,""\(Event\)\s*([^,]+)"")),
  IF(V599="""","""",IF(V599=""CASWJ"",""General / No Specific Project"",""General - ""&amp;V599))
)"),"")</f>
        <v/>
      </c>
      <c r="W599" s="38"/>
      <c r="AB599" s="68" t="str">
        <f t="shared" si="6"/>
        <v/>
      </c>
      <c r="AP599" s="94"/>
    </row>
    <row r="600">
      <c r="R600" s="93"/>
      <c r="S600" s="68"/>
      <c r="T600" s="38" t="str">
        <f>IFERROR(__xludf.DUMMYFUNCTION("IFERROR(
  TRIM(REGEXEXTRACT(H600,""\(Event\)\s*([^,]+)"")),
  IF(V600="""","""",IF(V600=""CASWJ"",""General / No Specific Project"",""General - ""&amp;V600))
)"),"")</f>
        <v/>
      </c>
      <c r="W600" s="38"/>
      <c r="AB600" s="68" t="str">
        <f t="shared" si="6"/>
        <v/>
      </c>
      <c r="AP600" s="94"/>
    </row>
    <row r="601">
      <c r="R601" s="93"/>
      <c r="S601" s="68"/>
      <c r="T601" s="38" t="str">
        <f>IFERROR(__xludf.DUMMYFUNCTION("IFERROR(
  TRIM(REGEXEXTRACT(H601,""\(Event\)\s*([^,]+)"")),
  IF(V601="""","""",IF(V601=""CASWJ"",""General / No Specific Project"",""General - ""&amp;V601))
)"),"")</f>
        <v/>
      </c>
      <c r="W601" s="38"/>
      <c r="AB601" s="68" t="str">
        <f t="shared" si="6"/>
        <v/>
      </c>
      <c r="AP601" s="94"/>
    </row>
    <row r="602">
      <c r="R602" s="93"/>
      <c r="S602" s="68"/>
      <c r="T602" s="38" t="str">
        <f>IFERROR(__xludf.DUMMYFUNCTION("IFERROR(
  TRIM(REGEXEXTRACT(H602,""\(Event\)\s*([^,]+)"")),
  IF(V602="""","""",IF(V602=""CASWJ"",""General / No Specific Project"",""General - ""&amp;V602))
)"),"")</f>
        <v/>
      </c>
      <c r="W602" s="38"/>
      <c r="AB602" s="68" t="str">
        <f t="shared" si="6"/>
        <v/>
      </c>
      <c r="AP602" s="94"/>
    </row>
    <row r="603">
      <c r="R603" s="93"/>
      <c r="S603" s="68"/>
      <c r="T603" s="38" t="str">
        <f>IFERROR(__xludf.DUMMYFUNCTION("IFERROR(
  TRIM(REGEXEXTRACT(H603,""\(Event\)\s*([^,]+)"")),
  IF(V603="""","""",IF(V603=""CASWJ"",""General / No Specific Project"",""General - ""&amp;V603))
)"),"")</f>
        <v/>
      </c>
      <c r="W603" s="38"/>
      <c r="AB603" s="68" t="str">
        <f t="shared" si="6"/>
        <v/>
      </c>
      <c r="AP603" s="94"/>
    </row>
    <row r="604">
      <c r="R604" s="93"/>
      <c r="S604" s="68"/>
      <c r="T604" s="38" t="str">
        <f>IFERROR(__xludf.DUMMYFUNCTION("IFERROR(
  TRIM(REGEXEXTRACT(H604,""\(Event\)\s*([^,]+)"")),
  IF(V604="""","""",IF(V604=""CASWJ"",""General / No Specific Project"",""General - ""&amp;V604))
)"),"")</f>
        <v/>
      </c>
      <c r="W604" s="38"/>
      <c r="AB604" s="68" t="str">
        <f t="shared" si="6"/>
        <v/>
      </c>
      <c r="AP604" s="94"/>
    </row>
    <row r="605">
      <c r="R605" s="93"/>
      <c r="S605" s="68"/>
      <c r="T605" s="38" t="str">
        <f>IFERROR(__xludf.DUMMYFUNCTION("IFERROR(
  TRIM(REGEXEXTRACT(H605,""\(Event\)\s*([^,]+)"")),
  IF(V605="""","""",IF(V605=""CASWJ"",""General / No Specific Project"",""General - ""&amp;V605))
)"),"")</f>
        <v/>
      </c>
      <c r="W605" s="38"/>
      <c r="AB605" s="68" t="str">
        <f t="shared" si="6"/>
        <v/>
      </c>
      <c r="AP605" s="94"/>
    </row>
    <row r="606">
      <c r="R606" s="93"/>
      <c r="S606" s="68"/>
      <c r="T606" s="38" t="str">
        <f>IFERROR(__xludf.DUMMYFUNCTION("IFERROR(
  TRIM(REGEXEXTRACT(H606,""\(Event\)\s*([^,]+)"")),
  IF(V606="""","""",IF(V606=""CASWJ"",""General / No Specific Project"",""General - ""&amp;V606))
)"),"")</f>
        <v/>
      </c>
      <c r="W606" s="38"/>
      <c r="AB606" s="68" t="str">
        <f t="shared" si="6"/>
        <v/>
      </c>
      <c r="AP606" s="94"/>
    </row>
    <row r="607">
      <c r="R607" s="93"/>
      <c r="S607" s="68"/>
      <c r="T607" s="38" t="str">
        <f>IFERROR(__xludf.DUMMYFUNCTION("IFERROR(
  TRIM(REGEXEXTRACT(H607,""\(Event\)\s*([^,]+)"")),
  IF(V607="""","""",IF(V607=""CASWJ"",""General / No Specific Project"",""General - ""&amp;V607))
)"),"")</f>
        <v/>
      </c>
      <c r="W607" s="38"/>
      <c r="AB607" s="68" t="str">
        <f t="shared" si="6"/>
        <v/>
      </c>
      <c r="AP607" s="94"/>
    </row>
    <row r="608">
      <c r="R608" s="93"/>
      <c r="S608" s="68"/>
      <c r="T608" s="38" t="str">
        <f>IFERROR(__xludf.DUMMYFUNCTION("IFERROR(
  TRIM(REGEXEXTRACT(H608,""\(Event\)\s*([^,]+)"")),
  IF(V608="""","""",IF(V608=""CASWJ"",""General / No Specific Project"",""General - ""&amp;V608))
)"),"")</f>
        <v/>
      </c>
      <c r="W608" s="38"/>
      <c r="AB608" s="68" t="str">
        <f t="shared" si="6"/>
        <v/>
      </c>
      <c r="AP608" s="94"/>
    </row>
    <row r="609">
      <c r="R609" s="93"/>
      <c r="S609" s="68"/>
      <c r="T609" s="38" t="str">
        <f>IFERROR(__xludf.DUMMYFUNCTION("IFERROR(
  TRIM(REGEXEXTRACT(H609,""\(Event\)\s*([^,]+)"")),
  IF(V609="""","""",IF(V609=""CASWJ"",""General / No Specific Project"",""General - ""&amp;V609))
)"),"")</f>
        <v/>
      </c>
      <c r="W609" s="38"/>
      <c r="AB609" s="68" t="str">
        <f t="shared" si="6"/>
        <v/>
      </c>
      <c r="AP609" s="94"/>
    </row>
    <row r="610">
      <c r="R610" s="93"/>
      <c r="S610" s="68"/>
      <c r="T610" s="38" t="str">
        <f>IFERROR(__xludf.DUMMYFUNCTION("IFERROR(
  TRIM(REGEXEXTRACT(H610,""\(Event\)\s*([^,]+)"")),
  IF(V610="""","""",IF(V610=""CASWJ"",""General / No Specific Project"",""General - ""&amp;V610))
)"),"")</f>
        <v/>
      </c>
      <c r="W610" s="38"/>
      <c r="AB610" s="68" t="str">
        <f t="shared" si="6"/>
        <v/>
      </c>
      <c r="AP610" s="94"/>
    </row>
    <row r="611">
      <c r="R611" s="93"/>
      <c r="S611" s="68"/>
      <c r="T611" s="38" t="str">
        <f>IFERROR(__xludf.DUMMYFUNCTION("IFERROR(
  TRIM(REGEXEXTRACT(H611,""\(Event\)\s*([^,]+)"")),
  IF(V611="""","""",IF(V611=""CASWJ"",""General / No Specific Project"",""General - ""&amp;V611))
)"),"")</f>
        <v/>
      </c>
      <c r="W611" s="38"/>
      <c r="AB611" s="68" t="str">
        <f t="shared" si="6"/>
        <v/>
      </c>
      <c r="AP611" s="94"/>
    </row>
    <row r="612">
      <c r="R612" s="93"/>
      <c r="S612" s="68"/>
      <c r="T612" s="38" t="str">
        <f>IFERROR(__xludf.DUMMYFUNCTION("IFERROR(
  TRIM(REGEXEXTRACT(H612,""\(Event\)\s*([^,]+)"")),
  IF(V612="""","""",IF(V612=""CASWJ"",""General / No Specific Project"",""General - ""&amp;V612))
)"),"")</f>
        <v/>
      </c>
      <c r="W612" s="38"/>
      <c r="AB612" s="68" t="str">
        <f t="shared" si="6"/>
        <v/>
      </c>
      <c r="AP612" s="94"/>
    </row>
    <row r="613">
      <c r="R613" s="93"/>
      <c r="S613" s="68"/>
      <c r="T613" s="38" t="str">
        <f>IFERROR(__xludf.DUMMYFUNCTION("IFERROR(
  TRIM(REGEXEXTRACT(H613,""\(Event\)\s*([^,]+)"")),
  IF(V613="""","""",IF(V613=""CASWJ"",""General / No Specific Project"",""General - ""&amp;V613))
)"),"")</f>
        <v/>
      </c>
      <c r="W613" s="38"/>
      <c r="AB613" s="68" t="str">
        <f t="shared" si="6"/>
        <v/>
      </c>
      <c r="AP613" s="94"/>
    </row>
    <row r="614">
      <c r="R614" s="93"/>
      <c r="S614" s="68"/>
      <c r="T614" s="38" t="str">
        <f>IFERROR(__xludf.DUMMYFUNCTION("IFERROR(
  TRIM(REGEXEXTRACT(H614,""\(Event\)\s*([^,]+)"")),
  IF(V614="""","""",IF(V614=""CASWJ"",""General / No Specific Project"",""General - ""&amp;V614))
)"),"")</f>
        <v/>
      </c>
      <c r="W614" s="38"/>
      <c r="AB614" s="68" t="str">
        <f t="shared" si="6"/>
        <v/>
      </c>
      <c r="AP614" s="94"/>
    </row>
    <row r="615">
      <c r="R615" s="93"/>
      <c r="S615" s="68"/>
      <c r="T615" s="38" t="str">
        <f>IFERROR(__xludf.DUMMYFUNCTION("IFERROR(
  TRIM(REGEXEXTRACT(H615,""\(Event\)\s*([^,]+)"")),
  IF(V615="""","""",IF(V615=""CASWJ"",""General / No Specific Project"",""General - ""&amp;V615))
)"),"")</f>
        <v/>
      </c>
      <c r="W615" s="38"/>
      <c r="AB615" s="68" t="str">
        <f t="shared" si="6"/>
        <v/>
      </c>
      <c r="AP615" s="94"/>
    </row>
    <row r="616">
      <c r="R616" s="93"/>
      <c r="S616" s="68"/>
      <c r="T616" s="38" t="str">
        <f>IFERROR(__xludf.DUMMYFUNCTION("IFERROR(
  TRIM(REGEXEXTRACT(H616,""\(Event\)\s*([^,]+)"")),
  IF(V616="""","""",IF(V616=""CASWJ"",""General / No Specific Project"",""General - ""&amp;V616))
)"),"")</f>
        <v/>
      </c>
      <c r="W616" s="38"/>
      <c r="AB616" s="68" t="str">
        <f t="shared" si="6"/>
        <v/>
      </c>
      <c r="AP616" s="94"/>
    </row>
    <row r="617">
      <c r="R617" s="93"/>
      <c r="S617" s="68"/>
      <c r="T617" s="38" t="str">
        <f>IFERROR(__xludf.DUMMYFUNCTION("IFERROR(
  TRIM(REGEXEXTRACT(H617,""\(Event\)\s*([^,]+)"")),
  IF(V617="""","""",IF(V617=""CASWJ"",""General / No Specific Project"",""General - ""&amp;V617))
)"),"")</f>
        <v/>
      </c>
      <c r="W617" s="38"/>
      <c r="AB617" s="68" t="str">
        <f t="shared" si="6"/>
        <v/>
      </c>
      <c r="AP617" s="94"/>
    </row>
    <row r="618">
      <c r="R618" s="93"/>
      <c r="S618" s="68"/>
      <c r="T618" s="38" t="str">
        <f>IFERROR(__xludf.DUMMYFUNCTION("IFERROR(
  TRIM(REGEXEXTRACT(H618,""\(Event\)\s*([^,]+)"")),
  IF(V618="""","""",IF(V618=""CASWJ"",""General / No Specific Project"",""General - ""&amp;V618))
)"),"")</f>
        <v/>
      </c>
      <c r="W618" s="38"/>
      <c r="AB618" s="68" t="str">
        <f t="shared" si="6"/>
        <v/>
      </c>
      <c r="AP618" s="94"/>
    </row>
    <row r="619">
      <c r="R619" s="93"/>
      <c r="S619" s="68"/>
      <c r="T619" s="38" t="str">
        <f>IFERROR(__xludf.DUMMYFUNCTION("IFERROR(
  TRIM(REGEXEXTRACT(H619,""\(Event\)\s*([^,]+)"")),
  IF(V619="""","""",IF(V619=""CASWJ"",""General / No Specific Project"",""General - ""&amp;V619))
)"),"")</f>
        <v/>
      </c>
      <c r="W619" s="38"/>
      <c r="AB619" s="68" t="str">
        <f t="shared" si="6"/>
        <v/>
      </c>
      <c r="AP619" s="94"/>
    </row>
    <row r="620">
      <c r="R620" s="93"/>
      <c r="S620" s="68"/>
      <c r="T620" s="38" t="str">
        <f>IFERROR(__xludf.DUMMYFUNCTION("IFERROR(
  TRIM(REGEXEXTRACT(H620,""\(Event\)\s*([^,]+)"")),
  IF(V620="""","""",IF(V620=""CASWJ"",""General / No Specific Project"",""General - ""&amp;V620))
)"),"")</f>
        <v/>
      </c>
      <c r="W620" s="38"/>
      <c r="AB620" s="68" t="str">
        <f t="shared" si="6"/>
        <v/>
      </c>
      <c r="AP620" s="94"/>
    </row>
    <row r="621">
      <c r="R621" s="93"/>
      <c r="S621" s="68"/>
      <c r="T621" s="38" t="str">
        <f>IFERROR(__xludf.DUMMYFUNCTION("IFERROR(
  TRIM(REGEXEXTRACT(H621,""\(Event\)\s*([^,]+)"")),
  IF(V621="""","""",IF(V621=""CASWJ"",""General / No Specific Project"",""General - ""&amp;V621))
)"),"")</f>
        <v/>
      </c>
      <c r="W621" s="38"/>
      <c r="AB621" s="68" t="str">
        <f t="shared" si="6"/>
        <v/>
      </c>
      <c r="AP621" s="94"/>
    </row>
    <row r="622">
      <c r="R622" s="93"/>
      <c r="S622" s="68"/>
      <c r="T622" s="38" t="str">
        <f>IFERROR(__xludf.DUMMYFUNCTION("IFERROR(
  TRIM(REGEXEXTRACT(H622,""\(Event\)\s*([^,]+)"")),
  IF(V622="""","""",IF(V622=""CASWJ"",""General / No Specific Project"",""General - ""&amp;V622))
)"),"")</f>
        <v/>
      </c>
      <c r="W622" s="38"/>
      <c r="AB622" s="68" t="str">
        <f t="shared" si="6"/>
        <v/>
      </c>
      <c r="AP622" s="94"/>
    </row>
    <row r="623">
      <c r="R623" s="93"/>
      <c r="S623" s="68"/>
      <c r="T623" s="38" t="str">
        <f>IFERROR(__xludf.DUMMYFUNCTION("IFERROR(
  TRIM(REGEXEXTRACT(H623,""\(Event\)\s*([^,]+)"")),
  IF(V623="""","""",IF(V623=""CASWJ"",""General / No Specific Project"",""General - ""&amp;V623))
)"),"")</f>
        <v/>
      </c>
      <c r="W623" s="38"/>
      <c r="AB623" s="68" t="str">
        <f t="shared" si="6"/>
        <v/>
      </c>
      <c r="AP623" s="94"/>
    </row>
    <row r="624">
      <c r="R624" s="93"/>
      <c r="S624" s="68"/>
      <c r="T624" s="38" t="str">
        <f>IFERROR(__xludf.DUMMYFUNCTION("IFERROR(
  TRIM(REGEXEXTRACT(H624,""\(Event\)\s*([^,]+)"")),
  IF(V624="""","""",IF(V624=""CASWJ"",""General / No Specific Project"",""General - ""&amp;V624))
)"),"")</f>
        <v/>
      </c>
      <c r="W624" s="38"/>
      <c r="AB624" s="68" t="str">
        <f t="shared" si="6"/>
        <v/>
      </c>
      <c r="AP624" s="94"/>
    </row>
    <row r="625">
      <c r="R625" s="93"/>
      <c r="S625" s="68"/>
      <c r="T625" s="38" t="str">
        <f>IFERROR(__xludf.DUMMYFUNCTION("IFERROR(
  TRIM(REGEXEXTRACT(H625,""\(Event\)\s*([^,]+)"")),
  IF(V625="""","""",IF(V625=""CASWJ"",""General / No Specific Project"",""General - ""&amp;V625))
)"),"")</f>
        <v/>
      </c>
      <c r="W625" s="38"/>
      <c r="AB625" s="68" t="str">
        <f t="shared" si="6"/>
        <v/>
      </c>
      <c r="AP625" s="94"/>
    </row>
    <row r="626">
      <c r="R626" s="93"/>
      <c r="S626" s="68"/>
      <c r="T626" s="38" t="str">
        <f>IFERROR(__xludf.DUMMYFUNCTION("IFERROR(
  TRIM(REGEXEXTRACT(H626,""\(Event\)\s*([^,]+)"")),
  IF(V626="""","""",IF(V626=""CASWJ"",""General / No Specific Project"",""General - ""&amp;V626))
)"),"")</f>
        <v/>
      </c>
      <c r="W626" s="38"/>
      <c r="AB626" s="68" t="str">
        <f t="shared" si="6"/>
        <v/>
      </c>
      <c r="AP626" s="94"/>
    </row>
    <row r="627">
      <c r="R627" s="93"/>
      <c r="S627" s="68"/>
      <c r="T627" s="38" t="str">
        <f>IFERROR(__xludf.DUMMYFUNCTION("IFERROR(
  TRIM(REGEXEXTRACT(H627,""\(Event\)\s*([^,]+)"")),
  IF(V627="""","""",IF(V627=""CASWJ"",""General / No Specific Project"",""General - ""&amp;V627))
)"),"")</f>
        <v/>
      </c>
      <c r="W627" s="38"/>
      <c r="AB627" s="68" t="str">
        <f t="shared" si="6"/>
        <v/>
      </c>
      <c r="AP627" s="94"/>
    </row>
    <row r="628">
      <c r="R628" s="93"/>
      <c r="S628" s="68"/>
      <c r="T628" s="38" t="str">
        <f>IFERROR(__xludf.DUMMYFUNCTION("IFERROR(
  TRIM(REGEXEXTRACT(H628,""\(Event\)\s*([^,]+)"")),
  IF(V628="""","""",IF(V628=""CASWJ"",""General / No Specific Project"",""General - ""&amp;V628))
)"),"")</f>
        <v/>
      </c>
      <c r="W628" s="38"/>
      <c r="AB628" s="68" t="str">
        <f t="shared" si="6"/>
        <v/>
      </c>
      <c r="AP628" s="94"/>
    </row>
    <row r="629">
      <c r="R629" s="93"/>
      <c r="S629" s="68"/>
      <c r="T629" s="38" t="str">
        <f>IFERROR(__xludf.DUMMYFUNCTION("IFERROR(
  TRIM(REGEXEXTRACT(H629,""\(Event\)\s*([^,]+)"")),
  IF(V629="""","""",IF(V629=""CASWJ"",""General / No Specific Project"",""General - ""&amp;V629))
)"),"")</f>
        <v/>
      </c>
      <c r="W629" s="38"/>
      <c r="AB629" s="68" t="str">
        <f t="shared" si="6"/>
        <v/>
      </c>
      <c r="AP629" s="94"/>
    </row>
    <row r="630">
      <c r="R630" s="93"/>
      <c r="S630" s="68"/>
      <c r="T630" s="38" t="str">
        <f>IFERROR(__xludf.DUMMYFUNCTION("IFERROR(
  TRIM(REGEXEXTRACT(H630,""\(Event\)\s*([^,]+)"")),
  IF(V630="""","""",IF(V630=""CASWJ"",""General / No Specific Project"",""General - ""&amp;V630))
)"),"")</f>
        <v/>
      </c>
      <c r="W630" s="38"/>
      <c r="AB630" s="68" t="str">
        <f t="shared" si="6"/>
        <v/>
      </c>
      <c r="AP630" s="94"/>
    </row>
    <row r="631">
      <c r="R631" s="93"/>
      <c r="S631" s="68"/>
      <c r="T631" s="38" t="str">
        <f>IFERROR(__xludf.DUMMYFUNCTION("IFERROR(
  TRIM(REGEXEXTRACT(H631,""\(Event\)\s*([^,]+)"")),
  IF(V631="""","""",IF(V631=""CASWJ"",""General / No Specific Project"",""General - ""&amp;V631))
)"),"")</f>
        <v/>
      </c>
      <c r="W631" s="38"/>
      <c r="AB631" s="68" t="str">
        <f t="shared" si="6"/>
        <v/>
      </c>
      <c r="AP631" s="94"/>
    </row>
    <row r="632">
      <c r="R632" s="93"/>
      <c r="S632" s="68"/>
      <c r="T632" s="38" t="str">
        <f>IFERROR(__xludf.DUMMYFUNCTION("IFERROR(
  TRIM(REGEXEXTRACT(H632,""\(Event\)\s*([^,]+)"")),
  IF(V632="""","""",IF(V632=""CASWJ"",""General / No Specific Project"",""General - ""&amp;V632))
)"),"")</f>
        <v/>
      </c>
      <c r="W632" s="38"/>
      <c r="AB632" s="68" t="str">
        <f t="shared" si="6"/>
        <v/>
      </c>
      <c r="AP632" s="94"/>
    </row>
    <row r="633">
      <c r="R633" s="93"/>
      <c r="S633" s="68"/>
      <c r="T633" s="38" t="str">
        <f>IFERROR(__xludf.DUMMYFUNCTION("IFERROR(
  TRIM(REGEXEXTRACT(H633,""\(Event\)\s*([^,]+)"")),
  IF(V633="""","""",IF(V633=""CASWJ"",""General / No Specific Project"",""General - ""&amp;V633))
)"),"")</f>
        <v/>
      </c>
      <c r="W633" s="38"/>
      <c r="AB633" s="68" t="str">
        <f t="shared" si="6"/>
        <v/>
      </c>
      <c r="AP633" s="94"/>
    </row>
    <row r="634">
      <c r="R634" s="93"/>
      <c r="S634" s="68"/>
      <c r="T634" s="38" t="str">
        <f>IFERROR(__xludf.DUMMYFUNCTION("IFERROR(
  TRIM(REGEXEXTRACT(H634,""\(Event\)\s*([^,]+)"")),
  IF(V634="""","""",IF(V634=""CASWJ"",""General / No Specific Project"",""General - ""&amp;V634))
)"),"")</f>
        <v/>
      </c>
      <c r="W634" s="38"/>
      <c r="AB634" s="68" t="str">
        <f t="shared" si="6"/>
        <v/>
      </c>
      <c r="AP634" s="94"/>
    </row>
    <row r="635">
      <c r="R635" s="93"/>
      <c r="S635" s="68"/>
      <c r="T635" s="38" t="str">
        <f>IFERROR(__xludf.DUMMYFUNCTION("IFERROR(
  TRIM(REGEXEXTRACT(H635,""\(Event\)\s*([^,]+)"")),
  IF(V635="""","""",IF(V635=""CASWJ"",""General / No Specific Project"",""General - ""&amp;V635))
)"),"")</f>
        <v/>
      </c>
      <c r="W635" s="38"/>
      <c r="AB635" s="68" t="str">
        <f t="shared" si="6"/>
        <v/>
      </c>
      <c r="AP635" s="94"/>
    </row>
    <row r="636">
      <c r="R636" s="93"/>
      <c r="S636" s="68"/>
      <c r="T636" s="38" t="str">
        <f>IFERROR(__xludf.DUMMYFUNCTION("IFERROR(
  TRIM(REGEXEXTRACT(H636,""\(Event\)\s*([^,]+)"")),
  IF(V636="""","""",IF(V636=""CASWJ"",""General / No Specific Project"",""General - ""&amp;V636))
)"),"")</f>
        <v/>
      </c>
      <c r="W636" s="38"/>
      <c r="AB636" s="68" t="str">
        <f t="shared" si="6"/>
        <v/>
      </c>
      <c r="AP636" s="94"/>
    </row>
    <row r="637">
      <c r="R637" s="93"/>
      <c r="S637" s="68"/>
      <c r="T637" s="38" t="str">
        <f>IFERROR(__xludf.DUMMYFUNCTION("IFERROR(
  TRIM(REGEXEXTRACT(H637,""\(Event\)\s*([^,]+)"")),
  IF(V637="""","""",IF(V637=""CASWJ"",""General / No Specific Project"",""General - ""&amp;V637))
)"),"")</f>
        <v/>
      </c>
      <c r="W637" s="38"/>
      <c r="AB637" s="68" t="str">
        <f t="shared" si="6"/>
        <v/>
      </c>
      <c r="AP637" s="94"/>
    </row>
    <row r="638">
      <c r="R638" s="93"/>
      <c r="S638" s="68"/>
      <c r="T638" s="38" t="str">
        <f>IFERROR(__xludf.DUMMYFUNCTION("IFERROR(
  TRIM(REGEXEXTRACT(H638,""\(Event\)\s*([^,]+)"")),
  IF(V638="""","""",IF(V638=""CASWJ"",""General / No Specific Project"",""General - ""&amp;V638))
)"),"")</f>
        <v/>
      </c>
      <c r="W638" s="38"/>
      <c r="AB638" s="68" t="str">
        <f t="shared" si="6"/>
        <v/>
      </c>
      <c r="AP638" s="94"/>
    </row>
    <row r="639">
      <c r="R639" s="93"/>
      <c r="S639" s="68"/>
      <c r="T639" s="38" t="str">
        <f>IFERROR(__xludf.DUMMYFUNCTION("IFERROR(
  TRIM(REGEXEXTRACT(H639,""\(Event\)\s*([^,]+)"")),
  IF(V639="""","""",IF(V639=""CASWJ"",""General / No Specific Project"",""General - ""&amp;V639))
)"),"")</f>
        <v/>
      </c>
      <c r="W639" s="38"/>
      <c r="AB639" s="68" t="str">
        <f t="shared" si="6"/>
        <v/>
      </c>
      <c r="AP639" s="94"/>
    </row>
    <row r="640">
      <c r="R640" s="93"/>
      <c r="S640" s="68"/>
      <c r="T640" s="38" t="str">
        <f>IFERROR(__xludf.DUMMYFUNCTION("IFERROR(
  TRIM(REGEXEXTRACT(H640,""\(Event\)\s*([^,]+)"")),
  IF(V640="""","""",IF(V640=""CASWJ"",""General / No Specific Project"",""General - ""&amp;V640))
)"),"")</f>
        <v/>
      </c>
      <c r="W640" s="38"/>
      <c r="AB640" s="68" t="str">
        <f t="shared" si="6"/>
        <v/>
      </c>
      <c r="AP640" s="94"/>
    </row>
    <row r="641">
      <c r="R641" s="93"/>
      <c r="S641" s="68"/>
      <c r="T641" s="38" t="str">
        <f>IFERROR(__xludf.DUMMYFUNCTION("IFERROR(
  TRIM(REGEXEXTRACT(H641,""\(Event\)\s*([^,]+)"")),
  IF(V641="""","""",IF(V641=""CASWJ"",""General / No Specific Project"",""General - ""&amp;V641))
)"),"")</f>
        <v/>
      </c>
      <c r="W641" s="38"/>
      <c r="AB641" s="68" t="str">
        <f t="shared" si="6"/>
        <v/>
      </c>
      <c r="AP641" s="94"/>
    </row>
    <row r="642">
      <c r="R642" s="93"/>
      <c r="S642" s="68"/>
      <c r="T642" s="38" t="str">
        <f>IFERROR(__xludf.DUMMYFUNCTION("IFERROR(
  TRIM(REGEXEXTRACT(H642,""\(Event\)\s*([^,]+)"")),
  IF(V642="""","""",IF(V642=""CASWJ"",""General / No Specific Project"",""General - ""&amp;V642))
)"),"")</f>
        <v/>
      </c>
      <c r="W642" s="38"/>
      <c r="AB642" s="68" t="str">
        <f t="shared" si="6"/>
        <v/>
      </c>
      <c r="AP642" s="94"/>
    </row>
    <row r="643">
      <c r="R643" s="93"/>
      <c r="S643" s="68"/>
      <c r="T643" s="38" t="str">
        <f>IFERROR(__xludf.DUMMYFUNCTION("IFERROR(
  TRIM(REGEXEXTRACT(H643,""\(Event\)\s*([^,]+)"")),
  IF(V643="""","""",IF(V643=""CASWJ"",""General / No Specific Project"",""General - ""&amp;V643))
)"),"")</f>
        <v/>
      </c>
      <c r="W643" s="38"/>
      <c r="AB643" s="68" t="str">
        <f t="shared" si="6"/>
        <v/>
      </c>
      <c r="AP643" s="94"/>
    </row>
    <row r="644">
      <c r="R644" s="93"/>
      <c r="S644" s="68"/>
      <c r="T644" s="38" t="str">
        <f>IFERROR(__xludf.DUMMYFUNCTION("IFERROR(
  TRIM(REGEXEXTRACT(H644,""\(Event\)\s*([^,]+)"")),
  IF(V644="""","""",IF(V644=""CASWJ"",""General / No Specific Project"",""General - ""&amp;V644))
)"),"")</f>
        <v/>
      </c>
      <c r="W644" s="38"/>
      <c r="AB644" s="68" t="str">
        <f t="shared" si="6"/>
        <v/>
      </c>
      <c r="AP644" s="94"/>
    </row>
    <row r="645">
      <c r="R645" s="93"/>
      <c r="S645" s="68"/>
      <c r="T645" s="38" t="str">
        <f>IFERROR(__xludf.DUMMYFUNCTION("IFERROR(
  TRIM(REGEXEXTRACT(H645,""\(Event\)\s*([^,]+)"")),
  IF(V645="""","""",IF(V645=""CASWJ"",""General / No Specific Project"",""General - ""&amp;V645))
)"),"")</f>
        <v/>
      </c>
      <c r="W645" s="38"/>
      <c r="AB645" s="68" t="str">
        <f t="shared" si="6"/>
        <v/>
      </c>
      <c r="AP645" s="94"/>
    </row>
    <row r="646">
      <c r="R646" s="93"/>
      <c r="S646" s="68"/>
      <c r="T646" s="38" t="str">
        <f>IFERROR(__xludf.DUMMYFUNCTION("IFERROR(
  TRIM(REGEXEXTRACT(H646,""\(Event\)\s*([^,]+)"")),
  IF(V646="""","""",IF(V646=""CASWJ"",""General / No Specific Project"",""General - ""&amp;V646))
)"),"")</f>
        <v/>
      </c>
      <c r="W646" s="38"/>
      <c r="AB646" s="68" t="str">
        <f t="shared" si="6"/>
        <v/>
      </c>
      <c r="AP646" s="94"/>
    </row>
    <row r="647">
      <c r="R647" s="93"/>
      <c r="S647" s="68"/>
      <c r="T647" s="38" t="str">
        <f>IFERROR(__xludf.DUMMYFUNCTION("IFERROR(
  TRIM(REGEXEXTRACT(H647,""\(Event\)\s*([^,]+)"")),
  IF(V647="""","""",IF(V647=""CASWJ"",""General / No Specific Project"",""General - ""&amp;V647))
)"),"")</f>
        <v/>
      </c>
      <c r="W647" s="38"/>
      <c r="AB647" s="68" t="str">
        <f t="shared" si="6"/>
        <v/>
      </c>
      <c r="AP647" s="94"/>
    </row>
    <row r="648">
      <c r="R648" s="93"/>
      <c r="S648" s="68"/>
      <c r="T648" s="38" t="str">
        <f>IFERROR(__xludf.DUMMYFUNCTION("IFERROR(
  TRIM(REGEXEXTRACT(H648,""\(Event\)\s*([^,]+)"")),
  IF(V648="""","""",IF(V648=""CASWJ"",""General / No Specific Project"",""General - ""&amp;V648))
)"),"")</f>
        <v/>
      </c>
      <c r="W648" s="38"/>
      <c r="AB648" s="68" t="str">
        <f t="shared" si="6"/>
        <v/>
      </c>
      <c r="AP648" s="94"/>
    </row>
    <row r="649">
      <c r="R649" s="93"/>
      <c r="S649" s="68"/>
      <c r="T649" s="38" t="str">
        <f>IFERROR(__xludf.DUMMYFUNCTION("IFERROR(
  TRIM(REGEXEXTRACT(H649,""\(Event\)\s*([^,]+)"")),
  IF(V649="""","""",IF(V649=""CASWJ"",""General / No Specific Project"",""General - ""&amp;V649))
)"),"")</f>
        <v/>
      </c>
      <c r="W649" s="38"/>
      <c r="AB649" s="68" t="str">
        <f t="shared" si="6"/>
        <v/>
      </c>
      <c r="AP649" s="94"/>
    </row>
    <row r="650">
      <c r="R650" s="93"/>
      <c r="S650" s="68"/>
      <c r="T650" s="38" t="str">
        <f>IFERROR(__xludf.DUMMYFUNCTION("IFERROR(
  TRIM(REGEXEXTRACT(H650,""\(Event\)\s*([^,]+)"")),
  IF(V650="""","""",IF(V650=""CASWJ"",""General / No Specific Project"",""General - ""&amp;V650))
)"),"")</f>
        <v/>
      </c>
      <c r="W650" s="38"/>
      <c r="AB650" s="68" t="str">
        <f t="shared" si="6"/>
        <v/>
      </c>
      <c r="AP650" s="94"/>
    </row>
    <row r="651">
      <c r="R651" s="93"/>
      <c r="S651" s="68"/>
      <c r="T651" s="38" t="str">
        <f>IFERROR(__xludf.DUMMYFUNCTION("IFERROR(
  TRIM(REGEXEXTRACT(H651,""\(Event\)\s*([^,]+)"")),
  IF(V651="""","""",IF(V651=""CASWJ"",""General / No Specific Project"",""General - ""&amp;V651))
)"),"")</f>
        <v/>
      </c>
      <c r="W651" s="38"/>
      <c r="AB651" s="68" t="str">
        <f t="shared" si="6"/>
        <v/>
      </c>
      <c r="AP651" s="94"/>
    </row>
    <row r="652">
      <c r="R652" s="93"/>
      <c r="S652" s="68"/>
      <c r="T652" s="38" t="str">
        <f>IFERROR(__xludf.DUMMYFUNCTION("IFERROR(
  TRIM(REGEXEXTRACT(H652,""\(Event\)\s*([^,]+)"")),
  IF(V652="""","""",IF(V652=""CASWJ"",""General / No Specific Project"",""General - ""&amp;V652))
)"),"")</f>
        <v/>
      </c>
      <c r="W652" s="38"/>
      <c r="AB652" s="68" t="str">
        <f t="shared" si="6"/>
        <v/>
      </c>
      <c r="AP652" s="94"/>
    </row>
    <row r="653">
      <c r="R653" s="93"/>
      <c r="S653" s="68"/>
      <c r="T653" s="38" t="str">
        <f>IFERROR(__xludf.DUMMYFUNCTION("IFERROR(
  TRIM(REGEXEXTRACT(H653,""\(Event\)\s*([^,]+)"")),
  IF(V653="""","""",IF(V653=""CASWJ"",""General / No Specific Project"",""General - ""&amp;V653))
)"),"")</f>
        <v/>
      </c>
      <c r="W653" s="38"/>
      <c r="AB653" s="68" t="str">
        <f t="shared" si="6"/>
        <v/>
      </c>
      <c r="AP653" s="94"/>
    </row>
    <row r="654">
      <c r="R654" s="93"/>
      <c r="S654" s="68"/>
      <c r="T654" s="38" t="str">
        <f>IFERROR(__xludf.DUMMYFUNCTION("IFERROR(
  TRIM(REGEXEXTRACT(H654,""\(Event\)\s*([^,]+)"")),
  IF(V654="""","""",IF(V654=""CASWJ"",""General / No Specific Project"",""General - ""&amp;V654))
)"),"")</f>
        <v/>
      </c>
      <c r="W654" s="38"/>
      <c r="AB654" s="68" t="str">
        <f t="shared" si="6"/>
        <v/>
      </c>
      <c r="AP654" s="94"/>
    </row>
    <row r="655">
      <c r="R655" s="93"/>
      <c r="S655" s="68"/>
      <c r="T655" s="38" t="str">
        <f>IFERROR(__xludf.DUMMYFUNCTION("IFERROR(
  TRIM(REGEXEXTRACT(H655,""\(Event\)\s*([^,]+)"")),
  IF(V655="""","""",IF(V655=""CASWJ"",""General / No Specific Project"",""General - ""&amp;V655))
)"),"")</f>
        <v/>
      </c>
      <c r="W655" s="38"/>
      <c r="AB655" s="68" t="str">
        <f t="shared" si="6"/>
        <v/>
      </c>
      <c r="AP655" s="94"/>
    </row>
    <row r="656">
      <c r="R656" s="93"/>
      <c r="S656" s="68"/>
      <c r="T656" s="38" t="str">
        <f>IFERROR(__xludf.DUMMYFUNCTION("IFERROR(
  TRIM(REGEXEXTRACT(H656,""\(Event\)\s*([^,]+)"")),
  IF(V656="""","""",IF(V656=""CASWJ"",""General / No Specific Project"",""General - ""&amp;V656))
)"),"")</f>
        <v/>
      </c>
      <c r="W656" s="38"/>
      <c r="AB656" s="68" t="str">
        <f t="shared" si="6"/>
        <v/>
      </c>
      <c r="AP656" s="94"/>
    </row>
    <row r="657">
      <c r="R657" s="93"/>
      <c r="S657" s="68"/>
      <c r="T657" s="38" t="str">
        <f>IFERROR(__xludf.DUMMYFUNCTION("IFERROR(
  TRIM(REGEXEXTRACT(H657,""\(Event\)\s*([^,]+)"")),
  IF(V657="""","""",IF(V657=""CASWJ"",""General / No Specific Project"",""General - ""&amp;V657))
)"),"")</f>
        <v/>
      </c>
      <c r="W657" s="38"/>
      <c r="AB657" s="68" t="str">
        <f t="shared" si="6"/>
        <v/>
      </c>
      <c r="AP657" s="94"/>
    </row>
    <row r="658">
      <c r="R658" s="93"/>
      <c r="S658" s="68"/>
      <c r="T658" s="38" t="str">
        <f>IFERROR(__xludf.DUMMYFUNCTION("IFERROR(
  TRIM(REGEXEXTRACT(H658,""\(Event\)\s*([^,]+)"")),
  IF(V658="""","""",IF(V658=""CASWJ"",""General / No Specific Project"",""General - ""&amp;V658))
)"),"")</f>
        <v/>
      </c>
      <c r="W658" s="38"/>
      <c r="AB658" s="68" t="str">
        <f t="shared" si="6"/>
        <v/>
      </c>
      <c r="AP658" s="94"/>
    </row>
    <row r="659">
      <c r="R659" s="93"/>
      <c r="S659" s="68"/>
      <c r="T659" s="38" t="str">
        <f>IFERROR(__xludf.DUMMYFUNCTION("IFERROR(
  TRIM(REGEXEXTRACT(H659,""\(Event\)\s*([^,]+)"")),
  IF(V659="""","""",IF(V659=""CASWJ"",""General / No Specific Project"",""General - ""&amp;V659))
)"),"")</f>
        <v/>
      </c>
      <c r="W659" s="38"/>
      <c r="AB659" s="68" t="str">
        <f t="shared" si="6"/>
        <v/>
      </c>
      <c r="AP659" s="94"/>
    </row>
    <row r="660">
      <c r="R660" s="93"/>
      <c r="S660" s="68"/>
      <c r="T660" s="38" t="str">
        <f>IFERROR(__xludf.DUMMYFUNCTION("IFERROR(
  TRIM(REGEXEXTRACT(H660,""\(Event\)\s*([^,]+)"")),
  IF(V660="""","""",IF(V660=""CASWJ"",""General / No Specific Project"",""General - ""&amp;V660))
)"),"")</f>
        <v/>
      </c>
      <c r="W660" s="38"/>
      <c r="AB660" s="68" t="str">
        <f t="shared" si="6"/>
        <v/>
      </c>
      <c r="AP660" s="94"/>
    </row>
    <row r="661">
      <c r="R661" s="93"/>
      <c r="S661" s="68"/>
      <c r="T661" s="38" t="str">
        <f>IFERROR(__xludf.DUMMYFUNCTION("IFERROR(
  TRIM(REGEXEXTRACT(H661,""\(Event\)\s*([^,]+)"")),
  IF(V661="""","""",IF(V661=""CASWJ"",""General / No Specific Project"",""General - ""&amp;V661))
)"),"")</f>
        <v/>
      </c>
      <c r="W661" s="38"/>
      <c r="AB661" s="68" t="str">
        <f t="shared" si="6"/>
        <v/>
      </c>
      <c r="AP661" s="94"/>
    </row>
    <row r="662">
      <c r="R662" s="93"/>
      <c r="S662" s="68"/>
      <c r="T662" s="38" t="str">
        <f>IFERROR(__xludf.DUMMYFUNCTION("IFERROR(
  TRIM(REGEXEXTRACT(H662,""\(Event\)\s*([^,]+)"")),
  IF(V662="""","""",IF(V662=""CASWJ"",""General / No Specific Project"",""General - ""&amp;V662))
)"),"")</f>
        <v/>
      </c>
      <c r="W662" s="38"/>
      <c r="AB662" s="68" t="str">
        <f t="shared" si="6"/>
        <v/>
      </c>
      <c r="AP662" s="94"/>
    </row>
    <row r="663">
      <c r="R663" s="93"/>
      <c r="S663" s="68"/>
      <c r="T663" s="38" t="str">
        <f>IFERROR(__xludf.DUMMYFUNCTION("IFERROR(
  TRIM(REGEXEXTRACT(H663,""\(Event\)\s*([^,]+)"")),
  IF(V663="""","""",IF(V663=""CASWJ"",""General / No Specific Project"",""General - ""&amp;V663))
)"),"")</f>
        <v/>
      </c>
      <c r="W663" s="38"/>
      <c r="AB663" s="68" t="str">
        <f t="shared" si="6"/>
        <v/>
      </c>
      <c r="AP663" s="94"/>
    </row>
    <row r="664">
      <c r="R664" s="93"/>
      <c r="S664" s="68"/>
      <c r="T664" s="38" t="str">
        <f>IFERROR(__xludf.DUMMYFUNCTION("IFERROR(
  TRIM(REGEXEXTRACT(H664,""\(Event\)\s*([^,]+)"")),
  IF(V664="""","""",IF(V664=""CASWJ"",""General / No Specific Project"",""General - ""&amp;V664))
)"),"")</f>
        <v/>
      </c>
      <c r="W664" s="38"/>
      <c r="AB664" s="68" t="str">
        <f t="shared" si="6"/>
        <v/>
      </c>
      <c r="AP664" s="94"/>
    </row>
    <row r="665">
      <c r="R665" s="93"/>
      <c r="S665" s="68"/>
      <c r="T665" s="38" t="str">
        <f>IFERROR(__xludf.DUMMYFUNCTION("IFERROR(
  TRIM(REGEXEXTRACT(H665,""\(Event\)\s*([^,]+)"")),
  IF(V665="""","""",IF(V665=""CASWJ"",""General / No Specific Project"",""General - ""&amp;V665))
)"),"")</f>
        <v/>
      </c>
      <c r="W665" s="38"/>
      <c r="AB665" s="68" t="str">
        <f t="shared" si="6"/>
        <v/>
      </c>
      <c r="AP665" s="94"/>
    </row>
    <row r="666">
      <c r="R666" s="93"/>
      <c r="S666" s="68"/>
      <c r="T666" s="38" t="str">
        <f>IFERROR(__xludf.DUMMYFUNCTION("IFERROR(
  TRIM(REGEXEXTRACT(H666,""\(Event\)\s*([^,]+)"")),
  IF(V666="""","""",IF(V666=""CASWJ"",""General / No Specific Project"",""General - ""&amp;V666))
)"),"")</f>
        <v/>
      </c>
      <c r="W666" s="38"/>
      <c r="AB666" s="68" t="str">
        <f t="shared" si="6"/>
        <v/>
      </c>
      <c r="AP666" s="94"/>
    </row>
    <row r="667">
      <c r="R667" s="93"/>
      <c r="S667" s="68"/>
      <c r="T667" s="38" t="str">
        <f>IFERROR(__xludf.DUMMYFUNCTION("IFERROR(
  TRIM(REGEXEXTRACT(H667,""\(Event\)\s*([^,]+)"")),
  IF(V667="""","""",IF(V667=""CASWJ"",""General / No Specific Project"",""General - ""&amp;V667))
)"),"")</f>
        <v/>
      </c>
      <c r="W667" s="38"/>
      <c r="AB667" s="68" t="str">
        <f t="shared" si="6"/>
        <v/>
      </c>
      <c r="AP667" s="94"/>
    </row>
    <row r="668">
      <c r="R668" s="93"/>
      <c r="S668" s="68"/>
      <c r="T668" s="38" t="str">
        <f>IFERROR(__xludf.DUMMYFUNCTION("IFERROR(
  TRIM(REGEXEXTRACT(H668,""\(Event\)\s*([^,]+)"")),
  IF(V668="""","""",IF(V668=""CASWJ"",""General / No Specific Project"",""General - ""&amp;V668))
)"),"")</f>
        <v/>
      </c>
      <c r="W668" s="38"/>
      <c r="AB668" s="68" t="str">
        <f t="shared" si="6"/>
        <v/>
      </c>
      <c r="AP668" s="94"/>
    </row>
    <row r="669">
      <c r="R669" s="93"/>
      <c r="S669" s="68"/>
      <c r="T669" s="38" t="str">
        <f>IFERROR(__xludf.DUMMYFUNCTION("IFERROR(
  TRIM(REGEXEXTRACT(H669,""\(Event\)\s*([^,]+)"")),
  IF(V669="""","""",IF(V669=""CASWJ"",""General / No Specific Project"",""General - ""&amp;V669))
)"),"")</f>
        <v/>
      </c>
      <c r="W669" s="38"/>
      <c r="AB669" s="68" t="str">
        <f t="shared" si="6"/>
        <v/>
      </c>
      <c r="AP669" s="94"/>
    </row>
    <row r="670">
      <c r="R670" s="93"/>
      <c r="S670" s="68"/>
      <c r="T670" s="38" t="str">
        <f>IFERROR(__xludf.DUMMYFUNCTION("IFERROR(
  TRIM(REGEXEXTRACT(H670,""\(Event\)\s*([^,]+)"")),
  IF(V670="""","""",IF(V670=""CASWJ"",""General / No Specific Project"",""General - ""&amp;V670))
)"),"")</f>
        <v/>
      </c>
      <c r="W670" s="38"/>
      <c r="AB670" s="68" t="str">
        <f t="shared" si="6"/>
        <v/>
      </c>
      <c r="AP670" s="94"/>
    </row>
    <row r="671">
      <c r="R671" s="93"/>
      <c r="S671" s="68"/>
      <c r="T671" s="38" t="str">
        <f>IFERROR(__xludf.DUMMYFUNCTION("IFERROR(
  TRIM(REGEXEXTRACT(H671,""\(Event\)\s*([^,]+)"")),
  IF(V671="""","""",IF(V671=""CASWJ"",""General / No Specific Project"",""General - ""&amp;V671))
)"),"")</f>
        <v/>
      </c>
      <c r="W671" s="38"/>
      <c r="AB671" s="68" t="str">
        <f t="shared" si="6"/>
        <v/>
      </c>
      <c r="AP671" s="94"/>
    </row>
    <row r="672">
      <c r="R672" s="93"/>
      <c r="S672" s="68"/>
      <c r="T672" s="38" t="str">
        <f>IFERROR(__xludf.DUMMYFUNCTION("IFERROR(
  TRIM(REGEXEXTRACT(H672,""\(Event\)\s*([^,]+)"")),
  IF(V672="""","""",IF(V672=""CASWJ"",""General / No Specific Project"",""General - ""&amp;V672))
)"),"")</f>
        <v/>
      </c>
      <c r="W672" s="38"/>
      <c r="AB672" s="68" t="str">
        <f t="shared" si="6"/>
        <v/>
      </c>
      <c r="AP672" s="94"/>
    </row>
    <row r="673">
      <c r="R673" s="93"/>
      <c r="S673" s="68"/>
      <c r="T673" s="38" t="str">
        <f>IFERROR(__xludf.DUMMYFUNCTION("IFERROR(
  TRIM(REGEXEXTRACT(H673,""\(Event\)\s*([^,]+)"")),
  IF(V673="""","""",IF(V673=""CASWJ"",""General / No Specific Project"",""General - ""&amp;V673))
)"),"")</f>
        <v/>
      </c>
      <c r="W673" s="38"/>
      <c r="AB673" s="68" t="str">
        <f t="shared" si="6"/>
        <v/>
      </c>
      <c r="AP673" s="94"/>
    </row>
    <row r="674">
      <c r="R674" s="93"/>
      <c r="S674" s="68"/>
      <c r="T674" s="38" t="str">
        <f>IFERROR(__xludf.DUMMYFUNCTION("IFERROR(
  TRIM(REGEXEXTRACT(H674,""\(Event\)\s*([^,]+)"")),
  IF(V674="""","""",IF(V674=""CASWJ"",""General / No Specific Project"",""General - ""&amp;V674))
)"),"")</f>
        <v/>
      </c>
      <c r="W674" s="38"/>
      <c r="AB674" s="68" t="str">
        <f t="shared" si="6"/>
        <v/>
      </c>
      <c r="AP674" s="94"/>
    </row>
    <row r="675">
      <c r="R675" s="93"/>
      <c r="S675" s="68"/>
      <c r="T675" s="38" t="str">
        <f>IFERROR(__xludf.DUMMYFUNCTION("IFERROR(
  TRIM(REGEXEXTRACT(H675,""\(Event\)\s*([^,]+)"")),
  IF(V675="""","""",IF(V675=""CASWJ"",""General / No Specific Project"",""General - ""&amp;V675))
)"),"")</f>
        <v/>
      </c>
      <c r="W675" s="38"/>
      <c r="AB675" s="68" t="str">
        <f t="shared" si="6"/>
        <v/>
      </c>
      <c r="AP675" s="94"/>
    </row>
    <row r="676">
      <c r="R676" s="93"/>
      <c r="S676" s="68"/>
      <c r="T676" s="38" t="str">
        <f>IFERROR(__xludf.DUMMYFUNCTION("IFERROR(
  TRIM(REGEXEXTRACT(H676,""\(Event\)\s*([^,]+)"")),
  IF(V676="""","""",IF(V676=""CASWJ"",""General / No Specific Project"",""General - ""&amp;V676))
)"),"")</f>
        <v/>
      </c>
      <c r="W676" s="38"/>
      <c r="AB676" s="68" t="str">
        <f t="shared" si="6"/>
        <v/>
      </c>
      <c r="AP676" s="94"/>
    </row>
    <row r="677">
      <c r="R677" s="93"/>
      <c r="S677" s="68"/>
      <c r="T677" s="38" t="str">
        <f>IFERROR(__xludf.DUMMYFUNCTION("IFERROR(
  TRIM(REGEXEXTRACT(H677,""\(Event\)\s*([^,]+)"")),
  IF(V677="""","""",IF(V677=""CASWJ"",""General / No Specific Project"",""General - ""&amp;V677))
)"),"")</f>
        <v/>
      </c>
      <c r="W677" s="38"/>
      <c r="AB677" s="68" t="str">
        <f t="shared" si="6"/>
        <v/>
      </c>
      <c r="AP677" s="94"/>
    </row>
    <row r="678">
      <c r="R678" s="93"/>
      <c r="S678" s="68"/>
      <c r="T678" s="38" t="str">
        <f>IFERROR(__xludf.DUMMYFUNCTION("IFERROR(
  TRIM(REGEXEXTRACT(H678,""\(Event\)\s*([^,]+)"")),
  IF(V678="""","""",IF(V678=""CASWJ"",""General / No Specific Project"",""General - ""&amp;V678))
)"),"")</f>
        <v/>
      </c>
      <c r="W678" s="38"/>
      <c r="AB678" s="68" t="str">
        <f t="shared" si="6"/>
        <v/>
      </c>
      <c r="AP678" s="94"/>
    </row>
    <row r="679">
      <c r="R679" s="93"/>
      <c r="S679" s="68"/>
      <c r="T679" s="38" t="str">
        <f>IFERROR(__xludf.DUMMYFUNCTION("IFERROR(
  TRIM(REGEXEXTRACT(H679,""\(Event\)\s*([^,]+)"")),
  IF(V679="""","""",IF(V679=""CASWJ"",""General / No Specific Project"",""General - ""&amp;V679))
)"),"")</f>
        <v/>
      </c>
      <c r="W679" s="38"/>
      <c r="AB679" s="68" t="str">
        <f t="shared" si="6"/>
        <v/>
      </c>
      <c r="AP679" s="94"/>
    </row>
    <row r="680">
      <c r="R680" s="93"/>
      <c r="S680" s="68"/>
      <c r="T680" s="38" t="str">
        <f>IFERROR(__xludf.DUMMYFUNCTION("IFERROR(
  TRIM(REGEXEXTRACT(H680,""\(Event\)\s*([^,]+)"")),
  IF(V680="""","""",IF(V680=""CASWJ"",""General / No Specific Project"",""General - ""&amp;V680))
)"),"")</f>
        <v/>
      </c>
      <c r="W680" s="38"/>
      <c r="AB680" s="68" t="str">
        <f t="shared" si="6"/>
        <v/>
      </c>
      <c r="AP680" s="94"/>
    </row>
    <row r="681">
      <c r="R681" s="93"/>
      <c r="S681" s="68"/>
      <c r="T681" s="38" t="str">
        <f>IFERROR(__xludf.DUMMYFUNCTION("IFERROR(
  TRIM(REGEXEXTRACT(H681,""\(Event\)\s*([^,]+)"")),
  IF(V681="""","""",IF(V681=""CASWJ"",""General / No Specific Project"",""General - ""&amp;V681))
)"),"")</f>
        <v/>
      </c>
      <c r="W681" s="38"/>
      <c r="AB681" s="68" t="str">
        <f t="shared" si="6"/>
        <v/>
      </c>
      <c r="AP681" s="94"/>
    </row>
    <row r="682">
      <c r="R682" s="93"/>
      <c r="S682" s="68"/>
      <c r="T682" s="38" t="str">
        <f>IFERROR(__xludf.DUMMYFUNCTION("IFERROR(
  TRIM(REGEXEXTRACT(H682,""\(Event\)\s*([^,]+)"")),
  IF(V682="""","""",IF(V682=""CASWJ"",""General / No Specific Project"",""General - ""&amp;V682))
)"),"")</f>
        <v/>
      </c>
      <c r="W682" s="38"/>
      <c r="AB682" s="68" t="str">
        <f t="shared" si="6"/>
        <v/>
      </c>
      <c r="AP682" s="94"/>
    </row>
    <row r="683">
      <c r="R683" s="93"/>
      <c r="S683" s="68"/>
      <c r="T683" s="38" t="str">
        <f>IFERROR(__xludf.DUMMYFUNCTION("IFERROR(
  TRIM(REGEXEXTRACT(H683,""\(Event\)\s*([^,]+)"")),
  IF(V683="""","""",IF(V683=""CASWJ"",""General / No Specific Project"",""General - ""&amp;V683))
)"),"")</f>
        <v/>
      </c>
      <c r="W683" s="38"/>
      <c r="AB683" s="68" t="str">
        <f t="shared" si="6"/>
        <v/>
      </c>
      <c r="AP683" s="94"/>
    </row>
    <row r="684">
      <c r="R684" s="93"/>
      <c r="S684" s="68"/>
      <c r="T684" s="38" t="str">
        <f>IFERROR(__xludf.DUMMYFUNCTION("IFERROR(
  TRIM(REGEXEXTRACT(H684,""\(Event\)\s*([^,]+)"")),
  IF(V684="""","""",IF(V684=""CASWJ"",""General / No Specific Project"",""General - ""&amp;V684))
)"),"")</f>
        <v/>
      </c>
      <c r="W684" s="38"/>
      <c r="AB684" s="68" t="str">
        <f t="shared" si="6"/>
        <v/>
      </c>
      <c r="AP684" s="94"/>
    </row>
    <row r="685">
      <c r="R685" s="93"/>
      <c r="S685" s="68"/>
      <c r="T685" s="38" t="str">
        <f>IFERROR(__xludf.DUMMYFUNCTION("IFERROR(
  TRIM(REGEXEXTRACT(H685,""\(Event\)\s*([^,]+)"")),
  IF(V685="""","""",IF(V685=""CASWJ"",""General / No Specific Project"",""General - ""&amp;V685))
)"),"")</f>
        <v/>
      </c>
      <c r="W685" s="38"/>
      <c r="AB685" s="68" t="str">
        <f t="shared" si="6"/>
        <v/>
      </c>
      <c r="AP685" s="94"/>
    </row>
    <row r="686">
      <c r="R686" s="93"/>
      <c r="S686" s="68"/>
      <c r="T686" s="38" t="str">
        <f>IFERROR(__xludf.DUMMYFUNCTION("IFERROR(
  TRIM(REGEXEXTRACT(H686,""\(Event\)\s*([^,]+)"")),
  IF(V686="""","""",IF(V686=""CASWJ"",""General / No Specific Project"",""General - ""&amp;V686))
)"),"")</f>
        <v/>
      </c>
      <c r="W686" s="38"/>
      <c r="AB686" s="68" t="str">
        <f t="shared" si="6"/>
        <v/>
      </c>
      <c r="AP686" s="94"/>
    </row>
    <row r="687">
      <c r="R687" s="93"/>
      <c r="S687" s="68"/>
      <c r="T687" s="38" t="str">
        <f>IFERROR(__xludf.DUMMYFUNCTION("IFERROR(
  TRIM(REGEXEXTRACT(H687,""\(Event\)\s*([^,]+)"")),
  IF(V687="""","""",IF(V687=""CASWJ"",""General / No Specific Project"",""General - ""&amp;V687))
)"),"")</f>
        <v/>
      </c>
      <c r="W687" s="38"/>
      <c r="AB687" s="68" t="str">
        <f t="shared" si="6"/>
        <v/>
      </c>
      <c r="AP687" s="94"/>
    </row>
    <row r="688">
      <c r="R688" s="93"/>
      <c r="S688" s="68"/>
      <c r="T688" s="38" t="str">
        <f>IFERROR(__xludf.DUMMYFUNCTION("IFERROR(
  TRIM(REGEXEXTRACT(H688,""\(Event\)\s*([^,]+)"")),
  IF(V688="""","""",IF(V688=""CASWJ"",""General / No Specific Project"",""General - ""&amp;V688))
)"),"")</f>
        <v/>
      </c>
      <c r="W688" s="38"/>
      <c r="AB688" s="68" t="str">
        <f t="shared" si="6"/>
        <v/>
      </c>
      <c r="AP688" s="94"/>
    </row>
    <row r="689">
      <c r="R689" s="93"/>
      <c r="S689" s="68"/>
      <c r="T689" s="38" t="str">
        <f>IFERROR(__xludf.DUMMYFUNCTION("IFERROR(
  TRIM(REGEXEXTRACT(H689,""\(Event\)\s*([^,]+)"")),
  IF(V689="""","""",IF(V689=""CASWJ"",""General / No Specific Project"",""General - ""&amp;V689))
)"),"")</f>
        <v/>
      </c>
      <c r="W689" s="38"/>
      <c r="AB689" s="68" t="str">
        <f t="shared" si="6"/>
        <v/>
      </c>
      <c r="AP689" s="94"/>
    </row>
    <row r="690">
      <c r="R690" s="93"/>
      <c r="S690" s="68"/>
      <c r="T690" s="38" t="str">
        <f>IFERROR(__xludf.DUMMYFUNCTION("IFERROR(
  TRIM(REGEXEXTRACT(H690,""\(Event\)\s*([^,]+)"")),
  IF(V690="""","""",IF(V690=""CASWJ"",""General / No Specific Project"",""General - ""&amp;V690))
)"),"")</f>
        <v/>
      </c>
      <c r="W690" s="38"/>
      <c r="AB690" s="68" t="str">
        <f t="shared" si="6"/>
        <v/>
      </c>
      <c r="AP690" s="94"/>
    </row>
    <row r="691">
      <c r="R691" s="93"/>
      <c r="S691" s="68"/>
      <c r="T691" s="38" t="str">
        <f>IFERROR(__xludf.DUMMYFUNCTION("IFERROR(
  TRIM(REGEXEXTRACT(H691,""\(Event\)\s*([^,]+)"")),
  IF(V691="""","""",IF(V691=""CASWJ"",""General / No Specific Project"",""General - ""&amp;V691))
)"),"")</f>
        <v/>
      </c>
      <c r="W691" s="38"/>
      <c r="AB691" s="68" t="str">
        <f t="shared" si="6"/>
        <v/>
      </c>
      <c r="AP691" s="94"/>
    </row>
    <row r="692">
      <c r="R692" s="93"/>
      <c r="S692" s="68"/>
      <c r="T692" s="38" t="str">
        <f>IFERROR(__xludf.DUMMYFUNCTION("IFERROR(
  TRIM(REGEXEXTRACT(H692,""\(Event\)\s*([^,]+)"")),
  IF(V692="""","""",IF(V692=""CASWJ"",""General / No Specific Project"",""General - ""&amp;V692))
)"),"")</f>
        <v/>
      </c>
      <c r="W692" s="38"/>
      <c r="AB692" s="68" t="str">
        <f t="shared" si="6"/>
        <v/>
      </c>
      <c r="AP692" s="94"/>
    </row>
    <row r="693">
      <c r="R693" s="93"/>
      <c r="S693" s="68"/>
      <c r="T693" s="38" t="str">
        <f>IFERROR(__xludf.DUMMYFUNCTION("IFERROR(
  TRIM(REGEXEXTRACT(H693,""\(Event\)\s*([^,]+)"")),
  IF(V693="""","""",IF(V693=""CASWJ"",""General / No Specific Project"",""General - ""&amp;V693))
)"),"")</f>
        <v/>
      </c>
      <c r="W693" s="38"/>
      <c r="AB693" s="68" t="str">
        <f t="shared" si="6"/>
        <v/>
      </c>
      <c r="AP693" s="94"/>
    </row>
    <row r="694">
      <c r="R694" s="93"/>
      <c r="S694" s="68"/>
      <c r="T694" s="38" t="str">
        <f>IFERROR(__xludf.DUMMYFUNCTION("IFERROR(
  TRIM(REGEXEXTRACT(H694,""\(Event\)\s*([^,]+)"")),
  IF(V694="""","""",IF(V694=""CASWJ"",""General / No Specific Project"",""General - ""&amp;V694))
)"),"")</f>
        <v/>
      </c>
      <c r="W694" s="38"/>
      <c r="AB694" s="68" t="str">
        <f t="shared" si="6"/>
        <v/>
      </c>
      <c r="AP694" s="94"/>
    </row>
    <row r="695">
      <c r="R695" s="93"/>
      <c r="S695" s="68"/>
      <c r="T695" s="38" t="str">
        <f>IFERROR(__xludf.DUMMYFUNCTION("IFERROR(
  TRIM(REGEXEXTRACT(H695,""\(Event\)\s*([^,]+)"")),
  IF(V695="""","""",IF(V695=""CASWJ"",""General / No Specific Project"",""General - ""&amp;V695))
)"),"")</f>
        <v/>
      </c>
      <c r="W695" s="38"/>
      <c r="AB695" s="68" t="str">
        <f t="shared" si="6"/>
        <v/>
      </c>
      <c r="AP695" s="94"/>
    </row>
    <row r="696">
      <c r="R696" s="93"/>
      <c r="S696" s="68"/>
      <c r="T696" s="38" t="str">
        <f>IFERROR(__xludf.DUMMYFUNCTION("IFERROR(
  TRIM(REGEXEXTRACT(H696,""\(Event\)\s*([^,]+)"")),
  IF(V696="""","""",IF(V696=""CASWJ"",""General / No Specific Project"",""General - ""&amp;V696))
)"),"")</f>
        <v/>
      </c>
      <c r="W696" s="38"/>
      <c r="AB696" s="68" t="str">
        <f t="shared" si="6"/>
        <v/>
      </c>
      <c r="AP696" s="94"/>
    </row>
    <row r="697">
      <c r="R697" s="93"/>
      <c r="S697" s="68"/>
      <c r="T697" s="38" t="str">
        <f>IFERROR(__xludf.DUMMYFUNCTION("IFERROR(
  TRIM(REGEXEXTRACT(H697,""\(Event\)\s*([^,]+)"")),
  IF(V697="""","""",IF(V697=""CASWJ"",""General / No Specific Project"",""General - ""&amp;V697))
)"),"")</f>
        <v/>
      </c>
      <c r="W697" s="38"/>
      <c r="AB697" s="68" t="str">
        <f t="shared" si="6"/>
        <v/>
      </c>
      <c r="AP697" s="94"/>
    </row>
    <row r="698">
      <c r="R698" s="93"/>
      <c r="S698" s="68"/>
      <c r="T698" s="38" t="str">
        <f>IFERROR(__xludf.DUMMYFUNCTION("IFERROR(
  TRIM(REGEXEXTRACT(H698,""\(Event\)\s*([^,]+)"")),
  IF(V698="""","""",IF(V698=""CASWJ"",""General / No Specific Project"",""General - ""&amp;V698))
)"),"")</f>
        <v/>
      </c>
      <c r="W698" s="38"/>
      <c r="AB698" s="68" t="str">
        <f t="shared" si="6"/>
        <v/>
      </c>
      <c r="AP698" s="94"/>
    </row>
    <row r="699">
      <c r="R699" s="93"/>
      <c r="S699" s="68"/>
      <c r="T699" s="38" t="str">
        <f>IFERROR(__xludf.DUMMYFUNCTION("IFERROR(
  TRIM(REGEXEXTRACT(H699,""\(Event\)\s*([^,]+)"")),
  IF(V699="""","""",IF(V699=""CASWJ"",""General / No Specific Project"",""General - ""&amp;V699))
)"),"")</f>
        <v/>
      </c>
      <c r="W699" s="38"/>
      <c r="AB699" s="68" t="str">
        <f t="shared" si="6"/>
        <v/>
      </c>
      <c r="AP699" s="94"/>
    </row>
    <row r="700">
      <c r="R700" s="93"/>
      <c r="S700" s="68"/>
      <c r="T700" s="38" t="str">
        <f>IFERROR(__xludf.DUMMYFUNCTION("IFERROR(
  TRIM(REGEXEXTRACT(H700,""\(Event\)\s*([^,]+)"")),
  IF(V700="""","""",IF(V700=""CASWJ"",""General / No Specific Project"",""General - ""&amp;V700))
)"),"")</f>
        <v/>
      </c>
      <c r="W700" s="38"/>
      <c r="AB700" s="68" t="str">
        <f t="shared" si="6"/>
        <v/>
      </c>
      <c r="AP700" s="94"/>
    </row>
    <row r="701">
      <c r="R701" s="93"/>
      <c r="S701" s="68"/>
      <c r="T701" s="38" t="str">
        <f>IFERROR(__xludf.DUMMYFUNCTION("IFERROR(
  TRIM(REGEXEXTRACT(H701,""\(Event\)\s*([^,]+)"")),
  IF(V701="""","""",IF(V701=""CASWJ"",""General / No Specific Project"",""General - ""&amp;V701))
)"),"")</f>
        <v/>
      </c>
      <c r="W701" s="38"/>
      <c r="AB701" s="68" t="str">
        <f t="shared" si="6"/>
        <v/>
      </c>
      <c r="AP701" s="94"/>
    </row>
    <row r="702">
      <c r="R702" s="93"/>
      <c r="S702" s="68"/>
      <c r="T702" s="38" t="str">
        <f>IFERROR(__xludf.DUMMYFUNCTION("IFERROR(
  TRIM(REGEXEXTRACT(H702,""\(Event\)\s*([^,]+)"")),
  IF(V702="""","""",IF(V702=""CASWJ"",""General / No Specific Project"",""General - ""&amp;V702))
)"),"")</f>
        <v/>
      </c>
      <c r="W702" s="38"/>
      <c r="AB702" s="68" t="str">
        <f t="shared" si="6"/>
        <v/>
      </c>
      <c r="AP702" s="94"/>
    </row>
    <row r="703">
      <c r="R703" s="93"/>
      <c r="S703" s="68"/>
      <c r="T703" s="38" t="str">
        <f>IFERROR(__xludf.DUMMYFUNCTION("IFERROR(
  TRIM(REGEXEXTRACT(H703,""\(Event\)\s*([^,]+)"")),
  IF(V703="""","""",IF(V703=""CASWJ"",""General / No Specific Project"",""General - ""&amp;V703))
)"),"")</f>
        <v/>
      </c>
      <c r="W703" s="38"/>
      <c r="AB703" s="68" t="str">
        <f t="shared" si="6"/>
        <v/>
      </c>
      <c r="AP703" s="94"/>
    </row>
    <row r="704">
      <c r="R704" s="93"/>
      <c r="S704" s="68"/>
      <c r="T704" s="38" t="str">
        <f>IFERROR(__xludf.DUMMYFUNCTION("IFERROR(
  TRIM(REGEXEXTRACT(H704,""\(Event\)\s*([^,]+)"")),
  IF(V704="""","""",IF(V704=""CASWJ"",""General / No Specific Project"",""General - ""&amp;V704))
)"),"")</f>
        <v/>
      </c>
      <c r="W704" s="38"/>
      <c r="AB704" s="68" t="str">
        <f t="shared" si="6"/>
        <v/>
      </c>
      <c r="AP704" s="94"/>
    </row>
    <row r="705">
      <c r="R705" s="93"/>
      <c r="S705" s="68"/>
      <c r="T705" s="38" t="str">
        <f>IFERROR(__xludf.DUMMYFUNCTION("IFERROR(
  TRIM(REGEXEXTRACT(H705,""\(Event\)\s*([^,]+)"")),
  IF(V705="""","""",IF(V705=""CASWJ"",""General / No Specific Project"",""General - ""&amp;V705))
)"),"")</f>
        <v/>
      </c>
      <c r="W705" s="38"/>
      <c r="AB705" s="68" t="str">
        <f t="shared" si="6"/>
        <v/>
      </c>
      <c r="AP705" s="94"/>
    </row>
    <row r="706">
      <c r="R706" s="93"/>
      <c r="S706" s="68"/>
      <c r="T706" s="38" t="str">
        <f>IFERROR(__xludf.DUMMYFUNCTION("IFERROR(
  TRIM(REGEXEXTRACT(H706,""\(Event\)\s*([^,]+)"")),
  IF(V706="""","""",IF(V706=""CASWJ"",""General / No Specific Project"",""General - ""&amp;V706))
)"),"")</f>
        <v/>
      </c>
      <c r="W706" s="38"/>
      <c r="AB706" s="68" t="str">
        <f t="shared" si="6"/>
        <v/>
      </c>
      <c r="AP706" s="94"/>
    </row>
    <row r="707">
      <c r="R707" s="93"/>
      <c r="S707" s="68"/>
      <c r="T707" s="38" t="str">
        <f>IFERROR(__xludf.DUMMYFUNCTION("IFERROR(
  TRIM(REGEXEXTRACT(H707,""\(Event\)\s*([^,]+)"")),
  IF(V707="""","""",IF(V707=""CASWJ"",""General / No Specific Project"",""General - ""&amp;V707))
)"),"")</f>
        <v/>
      </c>
      <c r="W707" s="38"/>
      <c r="AB707" s="68" t="str">
        <f t="shared" si="6"/>
        <v/>
      </c>
      <c r="AP707" s="94"/>
    </row>
    <row r="708">
      <c r="R708" s="93"/>
      <c r="S708" s="68"/>
      <c r="T708" s="38" t="str">
        <f>IFERROR(__xludf.DUMMYFUNCTION("IFERROR(
  TRIM(REGEXEXTRACT(H708,""\(Event\)\s*([^,]+)"")),
  IF(V708="""","""",IF(V708=""CASWJ"",""General / No Specific Project"",""General - ""&amp;V708))
)"),"")</f>
        <v/>
      </c>
      <c r="W708" s="38"/>
      <c r="AB708" s="68" t="str">
        <f t="shared" si="6"/>
        <v/>
      </c>
      <c r="AP708" s="94"/>
    </row>
    <row r="709">
      <c r="R709" s="93"/>
      <c r="S709" s="68"/>
      <c r="T709" s="38" t="str">
        <f>IFERROR(__xludf.DUMMYFUNCTION("IFERROR(
  TRIM(REGEXEXTRACT(H709,""\(Event\)\s*([^,]+)"")),
  IF(V709="""","""",IF(V709=""CASWJ"",""General / No Specific Project"",""General - ""&amp;V709))
)"),"")</f>
        <v/>
      </c>
      <c r="W709" s="38"/>
      <c r="AB709" s="68" t="str">
        <f t="shared" si="6"/>
        <v/>
      </c>
      <c r="AP709" s="94"/>
    </row>
    <row r="710">
      <c r="R710" s="93"/>
      <c r="S710" s="68"/>
      <c r="T710" s="38" t="str">
        <f>IFERROR(__xludf.DUMMYFUNCTION("IFERROR(
  TRIM(REGEXEXTRACT(H710,""\(Event\)\s*([^,]+)"")),
  IF(V710="""","""",IF(V710=""CASWJ"",""General / No Specific Project"",""General - ""&amp;V710))
)"),"")</f>
        <v/>
      </c>
      <c r="W710" s="38"/>
      <c r="AB710" s="68" t="str">
        <f t="shared" si="6"/>
        <v/>
      </c>
      <c r="AP710" s="94"/>
    </row>
    <row r="711">
      <c r="R711" s="93"/>
      <c r="S711" s="68"/>
      <c r="T711" s="38" t="str">
        <f>IFERROR(__xludf.DUMMYFUNCTION("IFERROR(
  TRIM(REGEXEXTRACT(H711,""\(Event\)\s*([^,]+)"")),
  IF(V711="""","""",IF(V711=""CASWJ"",""General / No Specific Project"",""General - ""&amp;V711))
)"),"")</f>
        <v/>
      </c>
      <c r="W711" s="38"/>
      <c r="AB711" s="68" t="str">
        <f t="shared" si="6"/>
        <v/>
      </c>
      <c r="AP711" s="94"/>
    </row>
    <row r="712">
      <c r="R712" s="93"/>
      <c r="S712" s="68"/>
      <c r="T712" s="38" t="str">
        <f>IFERROR(__xludf.DUMMYFUNCTION("IFERROR(
  TRIM(REGEXEXTRACT(H712,""\(Event\)\s*([^,]+)"")),
  IF(V712="""","""",IF(V712=""CASWJ"",""General / No Specific Project"",""General - ""&amp;V712))
)"),"")</f>
        <v/>
      </c>
      <c r="W712" s="38"/>
      <c r="AB712" s="68" t="str">
        <f t="shared" si="6"/>
        <v/>
      </c>
      <c r="AP712" s="94"/>
    </row>
    <row r="713">
      <c r="R713" s="93"/>
      <c r="S713" s="68"/>
      <c r="T713" s="38" t="str">
        <f>IFERROR(__xludf.DUMMYFUNCTION("IFERROR(
  TRIM(REGEXEXTRACT(H713,""\(Event\)\s*([^,]+)"")),
  IF(V713="""","""",IF(V713=""CASWJ"",""General / No Specific Project"",""General - ""&amp;V713))
)"),"")</f>
        <v/>
      </c>
      <c r="W713" s="38"/>
      <c r="AB713" s="68" t="str">
        <f t="shared" si="6"/>
        <v/>
      </c>
      <c r="AP713" s="94"/>
    </row>
    <row r="714">
      <c r="R714" s="93"/>
      <c r="S714" s="68"/>
      <c r="T714" s="38" t="str">
        <f>IFERROR(__xludf.DUMMYFUNCTION("IFERROR(
  TRIM(REGEXEXTRACT(H714,""\(Event\)\s*([^,]+)"")),
  IF(V714="""","""",IF(V714=""CASWJ"",""General / No Specific Project"",""General - ""&amp;V714))
)"),"")</f>
        <v/>
      </c>
      <c r="W714" s="38"/>
      <c r="AB714" s="68" t="str">
        <f t="shared" si="6"/>
        <v/>
      </c>
      <c r="AP714" s="94"/>
    </row>
    <row r="715">
      <c r="R715" s="93"/>
      <c r="S715" s="68"/>
      <c r="T715" s="38" t="str">
        <f>IFERROR(__xludf.DUMMYFUNCTION("IFERROR(
  TRIM(REGEXEXTRACT(H715,""\(Event\)\s*([^,]+)"")),
  IF(V715="""","""",IF(V715=""CASWJ"",""General / No Specific Project"",""General - ""&amp;V715))
)"),"")</f>
        <v/>
      </c>
      <c r="W715" s="38"/>
      <c r="AB715" s="68" t="str">
        <f t="shared" si="6"/>
        <v/>
      </c>
      <c r="AP715" s="94"/>
    </row>
    <row r="716">
      <c r="R716" s="93"/>
      <c r="S716" s="68"/>
      <c r="T716" s="38" t="str">
        <f>IFERROR(__xludf.DUMMYFUNCTION("IFERROR(
  TRIM(REGEXEXTRACT(H716,""\(Event\)\s*([^,]+)"")),
  IF(V716="""","""",IF(V716=""CASWJ"",""General / No Specific Project"",""General - ""&amp;V716))
)"),"")</f>
        <v/>
      </c>
      <c r="W716" s="38"/>
      <c r="AB716" s="68" t="str">
        <f t="shared" si="6"/>
        <v/>
      </c>
      <c r="AP716" s="94"/>
    </row>
    <row r="717">
      <c r="R717" s="93"/>
      <c r="S717" s="68"/>
      <c r="T717" s="38" t="str">
        <f>IFERROR(__xludf.DUMMYFUNCTION("IFERROR(
  TRIM(REGEXEXTRACT(H717,""\(Event\)\s*([^,]+)"")),
  IF(V717="""","""",IF(V717=""CASWJ"",""General / No Specific Project"",""General - ""&amp;V717))
)"),"")</f>
        <v/>
      </c>
      <c r="W717" s="38"/>
      <c r="AB717" s="68" t="str">
        <f t="shared" si="6"/>
        <v/>
      </c>
      <c r="AP717" s="94"/>
    </row>
    <row r="718">
      <c r="R718" s="93"/>
      <c r="S718" s="68"/>
      <c r="T718" s="38" t="str">
        <f>IFERROR(__xludf.DUMMYFUNCTION("IFERROR(
  TRIM(REGEXEXTRACT(H718,""\(Event\)\s*([^,]+)"")),
  IF(V718="""","""",IF(V718=""CASWJ"",""General / No Specific Project"",""General - ""&amp;V718))
)"),"")</f>
        <v/>
      </c>
      <c r="W718" s="38"/>
      <c r="AB718" s="68" t="str">
        <f t="shared" si="6"/>
        <v/>
      </c>
      <c r="AP718" s="94"/>
    </row>
    <row r="719">
      <c r="R719" s="93"/>
      <c r="S719" s="68"/>
      <c r="T719" s="38" t="str">
        <f>IFERROR(__xludf.DUMMYFUNCTION("IFERROR(
  TRIM(REGEXEXTRACT(H719,""\(Event\)\s*([^,]+)"")),
  IF(V719="""","""",IF(V719=""CASWJ"",""General / No Specific Project"",""General - ""&amp;V719))
)"),"")</f>
        <v/>
      </c>
      <c r="W719" s="38"/>
      <c r="AB719" s="68" t="str">
        <f t="shared" si="6"/>
        <v/>
      </c>
      <c r="AP719" s="94"/>
    </row>
    <row r="720">
      <c r="R720" s="93"/>
      <c r="S720" s="68"/>
      <c r="T720" s="38" t="str">
        <f>IFERROR(__xludf.DUMMYFUNCTION("IFERROR(
  TRIM(REGEXEXTRACT(H720,""\(Event\)\s*([^,]+)"")),
  IF(V720="""","""",IF(V720=""CASWJ"",""General / No Specific Project"",""General - ""&amp;V720))
)"),"")</f>
        <v/>
      </c>
      <c r="W720" s="38"/>
      <c r="AB720" s="68" t="str">
        <f t="shared" si="6"/>
        <v/>
      </c>
      <c r="AP720" s="94"/>
    </row>
    <row r="721">
      <c r="R721" s="93"/>
      <c r="S721" s="68"/>
      <c r="T721" s="38" t="str">
        <f>IFERROR(__xludf.DUMMYFUNCTION("IFERROR(
  TRIM(REGEXEXTRACT(H721,""\(Event\)\s*([^,]+)"")),
  IF(V721="""","""",IF(V721=""CASWJ"",""General / No Specific Project"",""General - ""&amp;V721))
)"),"")</f>
        <v/>
      </c>
      <c r="W721" s="38"/>
      <c r="AB721" s="68" t="str">
        <f t="shared" si="6"/>
        <v/>
      </c>
      <c r="AP721" s="94"/>
    </row>
    <row r="722">
      <c r="R722" s="93"/>
      <c r="S722" s="68"/>
      <c r="T722" s="38" t="str">
        <f>IFERROR(__xludf.DUMMYFUNCTION("IFERROR(
  TRIM(REGEXEXTRACT(H722,""\(Event\)\s*([^,]+)"")),
  IF(V722="""","""",IF(V722=""CASWJ"",""General / No Specific Project"",""General - ""&amp;V722))
)"),"")</f>
        <v/>
      </c>
      <c r="W722" s="38"/>
      <c r="AB722" s="68" t="str">
        <f t="shared" si="6"/>
        <v/>
      </c>
      <c r="AP722" s="94"/>
    </row>
    <row r="723">
      <c r="R723" s="93"/>
      <c r="S723" s="68"/>
      <c r="T723" s="38" t="str">
        <f>IFERROR(__xludf.DUMMYFUNCTION("IFERROR(
  TRIM(REGEXEXTRACT(H723,""\(Event\)\s*([^,]+)"")),
  IF(V723="""","""",IF(V723=""CASWJ"",""General / No Specific Project"",""General - ""&amp;V723))
)"),"")</f>
        <v/>
      </c>
      <c r="W723" s="38"/>
      <c r="AB723" s="68" t="str">
        <f t="shared" si="6"/>
        <v/>
      </c>
      <c r="AP723" s="94"/>
    </row>
    <row r="724">
      <c r="R724" s="93"/>
      <c r="S724" s="68"/>
      <c r="T724" s="38" t="str">
        <f>IFERROR(__xludf.DUMMYFUNCTION("IFERROR(
  TRIM(REGEXEXTRACT(H724,""\(Event\)\s*([^,]+)"")),
  IF(V724="""","""",IF(V724=""CASWJ"",""General / No Specific Project"",""General - ""&amp;V724))
)"),"")</f>
        <v/>
      </c>
      <c r="W724" s="38"/>
      <c r="AB724" s="68" t="str">
        <f t="shared" si="6"/>
        <v/>
      </c>
      <c r="AP724" s="94"/>
    </row>
    <row r="725">
      <c r="R725" s="93"/>
      <c r="S725" s="68"/>
      <c r="T725" s="38" t="str">
        <f>IFERROR(__xludf.DUMMYFUNCTION("IFERROR(
  TRIM(REGEXEXTRACT(H725,""\(Event\)\s*([^,]+)"")),
  IF(V725="""","""",IF(V725=""CASWJ"",""General / No Specific Project"",""General - ""&amp;V725))
)"),"")</f>
        <v/>
      </c>
      <c r="W725" s="38"/>
      <c r="AB725" s="68" t="str">
        <f t="shared" si="6"/>
        <v/>
      </c>
      <c r="AP725" s="94"/>
    </row>
    <row r="726">
      <c r="R726" s="93"/>
      <c r="S726" s="68"/>
      <c r="T726" s="38" t="str">
        <f>IFERROR(__xludf.DUMMYFUNCTION("IFERROR(
  TRIM(REGEXEXTRACT(H726,""\(Event\)\s*([^,]+)"")),
  IF(V726="""","""",IF(V726=""CASWJ"",""General / No Specific Project"",""General - ""&amp;V726))
)"),"")</f>
        <v/>
      </c>
      <c r="W726" s="38"/>
      <c r="AB726" s="68" t="str">
        <f t="shared" si="6"/>
        <v/>
      </c>
      <c r="AP726" s="94"/>
    </row>
    <row r="727">
      <c r="R727" s="93"/>
      <c r="S727" s="68"/>
      <c r="T727" s="38" t="str">
        <f>IFERROR(__xludf.DUMMYFUNCTION("IFERROR(
  TRIM(REGEXEXTRACT(H727,""\(Event\)\s*([^,]+)"")),
  IF(V727="""","""",IF(V727=""CASWJ"",""General / No Specific Project"",""General - ""&amp;V727))
)"),"")</f>
        <v/>
      </c>
      <c r="W727" s="38"/>
      <c r="AB727" s="68" t="str">
        <f t="shared" si="6"/>
        <v/>
      </c>
      <c r="AP727" s="94"/>
    </row>
    <row r="728">
      <c r="R728" s="93"/>
      <c r="S728" s="68"/>
      <c r="T728" s="38" t="str">
        <f>IFERROR(__xludf.DUMMYFUNCTION("IFERROR(
  TRIM(REGEXEXTRACT(H728,""\(Event\)\s*([^,]+)"")),
  IF(V728="""","""",IF(V728=""CASWJ"",""General / No Specific Project"",""General - ""&amp;V728))
)"),"")</f>
        <v/>
      </c>
      <c r="W728" s="38"/>
      <c r="AB728" s="68" t="str">
        <f t="shared" si="6"/>
        <v/>
      </c>
      <c r="AP728" s="94"/>
    </row>
    <row r="729">
      <c r="R729" s="93"/>
      <c r="S729" s="68"/>
      <c r="T729" s="38" t="str">
        <f>IFERROR(__xludf.DUMMYFUNCTION("IFERROR(
  TRIM(REGEXEXTRACT(H729,""\(Event\)\s*([^,]+)"")),
  IF(V729="""","""",IF(V729=""CASWJ"",""General / No Specific Project"",""General - ""&amp;V729))
)"),"")</f>
        <v/>
      </c>
      <c r="W729" s="38"/>
      <c r="AB729" s="68" t="str">
        <f t="shared" si="6"/>
        <v/>
      </c>
      <c r="AP729" s="94"/>
    </row>
    <row r="730">
      <c r="R730" s="93"/>
      <c r="S730" s="68"/>
      <c r="T730" s="38" t="str">
        <f>IFERROR(__xludf.DUMMYFUNCTION("IFERROR(
  TRIM(REGEXEXTRACT(H730,""\(Event\)\s*([^,]+)"")),
  IF(V730="""","""",IF(V730=""CASWJ"",""General / No Specific Project"",""General - ""&amp;V730))
)"),"")</f>
        <v/>
      </c>
      <c r="W730" s="38"/>
      <c r="AB730" s="68" t="str">
        <f t="shared" si="6"/>
        <v/>
      </c>
      <c r="AP730" s="94"/>
    </row>
    <row r="731">
      <c r="R731" s="93"/>
      <c r="S731" s="68"/>
      <c r="T731" s="38" t="str">
        <f>IFERROR(__xludf.DUMMYFUNCTION("IFERROR(
  TRIM(REGEXEXTRACT(H731,""\(Event\)\s*([^,]+)"")),
  IF(V731="""","""",IF(V731=""CASWJ"",""General / No Specific Project"",""General - ""&amp;V731))
)"),"")</f>
        <v/>
      </c>
      <c r="W731" s="38"/>
      <c r="AB731" s="68" t="str">
        <f t="shared" si="6"/>
        <v/>
      </c>
      <c r="AP731" s="94"/>
    </row>
    <row r="732">
      <c r="R732" s="93"/>
      <c r="S732" s="68"/>
      <c r="T732" s="38" t="str">
        <f>IFERROR(__xludf.DUMMYFUNCTION("IFERROR(
  TRIM(REGEXEXTRACT(H732,""\(Event\)\s*([^,]+)"")),
  IF(V732="""","""",IF(V732=""CASWJ"",""General / No Specific Project"",""General - ""&amp;V732))
)"),"")</f>
        <v/>
      </c>
      <c r="W732" s="38"/>
      <c r="AB732" s="68" t="str">
        <f t="shared" si="6"/>
        <v/>
      </c>
      <c r="AP732" s="94"/>
    </row>
    <row r="733">
      <c r="R733" s="93"/>
      <c r="S733" s="68"/>
      <c r="T733" s="38" t="str">
        <f>IFERROR(__xludf.DUMMYFUNCTION("IFERROR(
  TRIM(REGEXEXTRACT(H733,""\(Event\)\s*([^,]+)"")),
  IF(V733="""","""",IF(V733=""CASWJ"",""General / No Specific Project"",""General - ""&amp;V733))
)"),"")</f>
        <v/>
      </c>
      <c r="W733" s="38"/>
      <c r="AB733" s="68" t="str">
        <f t="shared" si="6"/>
        <v/>
      </c>
      <c r="AP733" s="94"/>
    </row>
    <row r="734">
      <c r="R734" s="93"/>
      <c r="S734" s="68"/>
      <c r="T734" s="38" t="str">
        <f>IFERROR(__xludf.DUMMYFUNCTION("IFERROR(
  TRIM(REGEXEXTRACT(H734,""\(Event\)\s*([^,]+)"")),
  IF(V734="""","""",IF(V734=""CASWJ"",""General / No Specific Project"",""General - ""&amp;V734))
)"),"")</f>
        <v/>
      </c>
      <c r="W734" s="38"/>
      <c r="AB734" s="68" t="str">
        <f t="shared" si="6"/>
        <v/>
      </c>
      <c r="AP734" s="94"/>
    </row>
    <row r="735">
      <c r="R735" s="93"/>
      <c r="S735" s="68"/>
      <c r="T735" s="38" t="str">
        <f>IFERROR(__xludf.DUMMYFUNCTION("IFERROR(
  TRIM(REGEXEXTRACT(H735,""\(Event\)\s*([^,]+)"")),
  IF(V735="""","""",IF(V735=""CASWJ"",""General / No Specific Project"",""General - ""&amp;V735))
)"),"")</f>
        <v/>
      </c>
      <c r="W735" s="38"/>
      <c r="AB735" s="68" t="str">
        <f t="shared" si="6"/>
        <v/>
      </c>
      <c r="AP735" s="94"/>
    </row>
    <row r="736">
      <c r="R736" s="93"/>
      <c r="S736" s="68"/>
      <c r="T736" s="38" t="str">
        <f>IFERROR(__xludf.DUMMYFUNCTION("IFERROR(
  TRIM(REGEXEXTRACT(H736,""\(Event\)\s*([^,]+)"")),
  IF(V736="""","""",IF(V736=""CASWJ"",""General / No Specific Project"",""General - ""&amp;V736))
)"),"")</f>
        <v/>
      </c>
      <c r="W736" s="38"/>
      <c r="AB736" s="68" t="str">
        <f t="shared" si="6"/>
        <v/>
      </c>
      <c r="AP736" s="94"/>
    </row>
    <row r="737">
      <c r="R737" s="93"/>
      <c r="S737" s="68"/>
      <c r="T737" s="38" t="str">
        <f>IFERROR(__xludf.DUMMYFUNCTION("IFERROR(
  TRIM(REGEXEXTRACT(H737,""\(Event\)\s*([^,]+)"")),
  IF(V737="""","""",IF(V737=""CASWJ"",""General / No Specific Project"",""General - ""&amp;V737))
)"),"")</f>
        <v/>
      </c>
      <c r="W737" s="38"/>
      <c r="AB737" s="68" t="str">
        <f t="shared" si="6"/>
        <v/>
      </c>
      <c r="AP737" s="94"/>
    </row>
    <row r="738">
      <c r="R738" s="93"/>
      <c r="S738" s="68"/>
      <c r="T738" s="38" t="str">
        <f>IFERROR(__xludf.DUMMYFUNCTION("IFERROR(
  TRIM(REGEXEXTRACT(H738,""\(Event\)\s*([^,]+)"")),
  IF(V738="""","""",IF(V738=""CASWJ"",""General / No Specific Project"",""General - ""&amp;V738))
)"),"")</f>
        <v/>
      </c>
      <c r="W738" s="38"/>
      <c r="AB738" s="68" t="str">
        <f t="shared" si="6"/>
        <v/>
      </c>
      <c r="AP738" s="94"/>
    </row>
    <row r="739">
      <c r="R739" s="93"/>
      <c r="S739" s="68"/>
      <c r="T739" s="38" t="str">
        <f>IFERROR(__xludf.DUMMYFUNCTION("IFERROR(
  TRIM(REGEXEXTRACT(H739,""\(Event\)\s*([^,]+)"")),
  IF(V739="""","""",IF(V739=""CASWJ"",""General / No Specific Project"",""General - ""&amp;V739))
)"),"")</f>
        <v/>
      </c>
      <c r="W739" s="38"/>
      <c r="AB739" s="68" t="str">
        <f t="shared" si="6"/>
        <v/>
      </c>
      <c r="AP739" s="94"/>
    </row>
    <row r="740">
      <c r="R740" s="93"/>
      <c r="S740" s="68"/>
      <c r="T740" s="38" t="str">
        <f>IFERROR(__xludf.DUMMYFUNCTION("IFERROR(
  TRIM(REGEXEXTRACT(H740,""\(Event\)\s*([^,]+)"")),
  IF(V740="""","""",IF(V740=""CASWJ"",""General / No Specific Project"",""General - ""&amp;V740))
)"),"")</f>
        <v/>
      </c>
      <c r="W740" s="38"/>
      <c r="AB740" s="68" t="str">
        <f t="shared" si="6"/>
        <v/>
      </c>
      <c r="AP740" s="94"/>
    </row>
    <row r="741">
      <c r="R741" s="93"/>
      <c r="S741" s="68"/>
      <c r="T741" s="38" t="str">
        <f>IFERROR(__xludf.DUMMYFUNCTION("IFERROR(
  TRIM(REGEXEXTRACT(H741,""\(Event\)\s*([^,]+)"")),
  IF(V741="""","""",IF(V741=""CASWJ"",""General / No Specific Project"",""General - ""&amp;V741))
)"),"")</f>
        <v/>
      </c>
      <c r="W741" s="38"/>
      <c r="AB741" s="68" t="str">
        <f t="shared" si="6"/>
        <v/>
      </c>
      <c r="AP741" s="94"/>
    </row>
    <row r="742">
      <c r="R742" s="93"/>
      <c r="S742" s="68"/>
      <c r="T742" s="38" t="str">
        <f>IFERROR(__xludf.DUMMYFUNCTION("IFERROR(
  TRIM(REGEXEXTRACT(H742,""\(Event\)\s*([^,]+)"")),
  IF(V742="""","""",IF(V742=""CASWJ"",""General / No Specific Project"",""General - ""&amp;V742))
)"),"")</f>
        <v/>
      </c>
      <c r="W742" s="38"/>
      <c r="AB742" s="68" t="str">
        <f t="shared" si="6"/>
        <v/>
      </c>
      <c r="AP742" s="94"/>
    </row>
    <row r="743">
      <c r="R743" s="93"/>
      <c r="S743" s="68"/>
      <c r="T743" s="38" t="str">
        <f>IFERROR(__xludf.DUMMYFUNCTION("IFERROR(
  TRIM(REGEXEXTRACT(H743,""\(Event\)\s*([^,]+)"")),
  IF(V743="""","""",IF(V743=""CASWJ"",""General / No Specific Project"",""General - ""&amp;V743))
)"),"")</f>
        <v/>
      </c>
      <c r="W743" s="38"/>
      <c r="AB743" s="68" t="str">
        <f t="shared" si="6"/>
        <v/>
      </c>
      <c r="AP743" s="94"/>
    </row>
    <row r="744">
      <c r="R744" s="93"/>
      <c r="S744" s="68"/>
      <c r="T744" s="38" t="str">
        <f>IFERROR(__xludf.DUMMYFUNCTION("IFERROR(
  TRIM(REGEXEXTRACT(H744,""\(Event\)\s*([^,]+)"")),
  IF(V744="""","""",IF(V744=""CASWJ"",""General / No Specific Project"",""General - ""&amp;V744))
)"),"")</f>
        <v/>
      </c>
      <c r="W744" s="38"/>
      <c r="AB744" s="68" t="str">
        <f t="shared" si="6"/>
        <v/>
      </c>
      <c r="AP744" s="94"/>
    </row>
    <row r="745">
      <c r="R745" s="93"/>
      <c r="S745" s="68"/>
      <c r="T745" s="38" t="str">
        <f>IFERROR(__xludf.DUMMYFUNCTION("IFERROR(
  TRIM(REGEXEXTRACT(H745,""\(Event\)\s*([^,]+)"")),
  IF(V745="""","""",IF(V745=""CASWJ"",""General / No Specific Project"",""General - ""&amp;V745))
)"),"")</f>
        <v/>
      </c>
      <c r="W745" s="38"/>
      <c r="AB745" s="68" t="str">
        <f t="shared" si="6"/>
        <v/>
      </c>
      <c r="AP745" s="94"/>
    </row>
    <row r="746">
      <c r="R746" s="93"/>
      <c r="S746" s="68"/>
      <c r="T746" s="38" t="str">
        <f>IFERROR(__xludf.DUMMYFUNCTION("IFERROR(
  TRIM(REGEXEXTRACT(H746,""\(Event\)\s*([^,]+)"")),
  IF(V746="""","""",IF(V746=""CASWJ"",""General / No Specific Project"",""General - ""&amp;V746))
)"),"")</f>
        <v/>
      </c>
      <c r="W746" s="38"/>
      <c r="AB746" s="68" t="str">
        <f t="shared" si="6"/>
        <v/>
      </c>
      <c r="AP746" s="94"/>
    </row>
    <row r="747">
      <c r="R747" s="93"/>
      <c r="S747" s="68"/>
      <c r="T747" s="38" t="str">
        <f>IFERROR(__xludf.DUMMYFUNCTION("IFERROR(
  TRIM(REGEXEXTRACT(H747,""\(Event\)\s*([^,]+)"")),
  IF(V747="""","""",IF(V747=""CASWJ"",""General / No Specific Project"",""General - ""&amp;V747))
)"),"")</f>
        <v/>
      </c>
      <c r="W747" s="38"/>
      <c r="AB747" s="68" t="str">
        <f t="shared" si="6"/>
        <v/>
      </c>
      <c r="AP747" s="94"/>
    </row>
    <row r="748">
      <c r="R748" s="93"/>
      <c r="S748" s="68"/>
      <c r="T748" s="38" t="str">
        <f>IFERROR(__xludf.DUMMYFUNCTION("IFERROR(
  TRIM(REGEXEXTRACT(H748,""\(Event\)\s*([^,]+)"")),
  IF(V748="""","""",IF(V748=""CASWJ"",""General / No Specific Project"",""General - ""&amp;V748))
)"),"")</f>
        <v/>
      </c>
      <c r="W748" s="38"/>
      <c r="AB748" s="68" t="str">
        <f t="shared" si="6"/>
        <v/>
      </c>
      <c r="AP748" s="94"/>
    </row>
    <row r="749">
      <c r="R749" s="93"/>
      <c r="S749" s="68"/>
      <c r="T749" s="38" t="str">
        <f>IFERROR(__xludf.DUMMYFUNCTION("IFERROR(
  TRIM(REGEXEXTRACT(H749,""\(Event\)\s*([^,]+)"")),
  IF(V749="""","""",IF(V749=""CASWJ"",""General / No Specific Project"",""General - ""&amp;V749))
)"),"")</f>
        <v/>
      </c>
      <c r="W749" s="38"/>
      <c r="AB749" s="68" t="str">
        <f t="shared" si="6"/>
        <v/>
      </c>
      <c r="AP749" s="94"/>
    </row>
    <row r="750">
      <c r="R750" s="93"/>
      <c r="S750" s="68"/>
      <c r="T750" s="38" t="str">
        <f>IFERROR(__xludf.DUMMYFUNCTION("IFERROR(
  TRIM(REGEXEXTRACT(H750,""\(Event\)\s*([^,]+)"")),
  IF(V750="""","""",IF(V750=""CASWJ"",""General / No Specific Project"",""General - ""&amp;V750))
)"),"")</f>
        <v/>
      </c>
      <c r="W750" s="38"/>
      <c r="AB750" s="68" t="str">
        <f t="shared" si="6"/>
        <v/>
      </c>
      <c r="AP750" s="94"/>
    </row>
    <row r="751">
      <c r="R751" s="93"/>
      <c r="S751" s="68"/>
      <c r="T751" s="38" t="str">
        <f>IFERROR(__xludf.DUMMYFUNCTION("IFERROR(
  TRIM(REGEXEXTRACT(H751,""\(Event\)\s*([^,]+)"")),
  IF(V751="""","""",IF(V751=""CASWJ"",""General / No Specific Project"",""General - ""&amp;V751))
)"),"")</f>
        <v/>
      </c>
      <c r="W751" s="38"/>
      <c r="AB751" s="68" t="str">
        <f t="shared" si="6"/>
        <v/>
      </c>
      <c r="AP751" s="94"/>
    </row>
    <row r="752">
      <c r="R752" s="93"/>
      <c r="S752" s="68"/>
      <c r="T752" s="38" t="str">
        <f>IFERROR(__xludf.DUMMYFUNCTION("IFERROR(
  TRIM(REGEXEXTRACT(H752,""\(Event\)\s*([^,]+)"")),
  IF(V752="""","""",IF(V752=""CASWJ"",""General / No Specific Project"",""General - ""&amp;V752))
)"),"")</f>
        <v/>
      </c>
      <c r="W752" s="38"/>
      <c r="AB752" s="68" t="str">
        <f t="shared" si="6"/>
        <v/>
      </c>
      <c r="AP752" s="94"/>
    </row>
    <row r="753">
      <c r="R753" s="93"/>
      <c r="S753" s="68"/>
      <c r="T753" s="38" t="str">
        <f>IFERROR(__xludf.DUMMYFUNCTION("IFERROR(
  TRIM(REGEXEXTRACT(H753,""\(Event\)\s*([^,]+)"")),
  IF(V753="""","""",IF(V753=""CASWJ"",""General / No Specific Project"",""General - ""&amp;V753))
)"),"")</f>
        <v/>
      </c>
      <c r="W753" s="38"/>
      <c r="AB753" s="68" t="str">
        <f t="shared" si="6"/>
        <v/>
      </c>
      <c r="AP753" s="94"/>
    </row>
    <row r="754">
      <c r="R754" s="93"/>
      <c r="S754" s="68"/>
      <c r="T754" s="38" t="str">
        <f>IFERROR(__xludf.DUMMYFUNCTION("IFERROR(
  TRIM(REGEXEXTRACT(H754,""\(Event\)\s*([^,]+)"")),
  IF(V754="""","""",IF(V754=""CASWJ"",""General / No Specific Project"",""General - ""&amp;V754))
)"),"")</f>
        <v/>
      </c>
      <c r="W754" s="38"/>
      <c r="AB754" s="68" t="str">
        <f t="shared" si="6"/>
        <v/>
      </c>
      <c r="AP754" s="94"/>
    </row>
    <row r="755">
      <c r="R755" s="93"/>
      <c r="S755" s="68"/>
      <c r="T755" s="38" t="str">
        <f>IFERROR(__xludf.DUMMYFUNCTION("IFERROR(
  TRIM(REGEXEXTRACT(H755,""\(Event\)\s*([^,]+)"")),
  IF(V755="""","""",IF(V755=""CASWJ"",""General / No Specific Project"",""General - ""&amp;V755))
)"),"")</f>
        <v/>
      </c>
      <c r="W755" s="38"/>
      <c r="AB755" s="68" t="str">
        <f t="shared" si="6"/>
        <v/>
      </c>
      <c r="AP755" s="94"/>
    </row>
    <row r="756">
      <c r="R756" s="93"/>
      <c r="S756" s="68"/>
      <c r="T756" s="38" t="str">
        <f>IFERROR(__xludf.DUMMYFUNCTION("IFERROR(
  TRIM(REGEXEXTRACT(H756,""\(Event\)\s*([^,]+)"")),
  IF(V756="""","""",IF(V756=""CASWJ"",""General / No Specific Project"",""General - ""&amp;V756))
)"),"")</f>
        <v/>
      </c>
      <c r="W756" s="38"/>
      <c r="AB756" s="68" t="str">
        <f t="shared" si="6"/>
        <v/>
      </c>
      <c r="AP756" s="94"/>
    </row>
    <row r="757">
      <c r="R757" s="93"/>
      <c r="S757" s="68"/>
      <c r="T757" s="38" t="str">
        <f>IFERROR(__xludf.DUMMYFUNCTION("IFERROR(
  TRIM(REGEXEXTRACT(H757,""\(Event\)\s*([^,]+)"")),
  IF(V757="""","""",IF(V757=""CASWJ"",""General / No Specific Project"",""General - ""&amp;V757))
)"),"")</f>
        <v/>
      </c>
      <c r="W757" s="38"/>
      <c r="AB757" s="68" t="str">
        <f t="shared" si="6"/>
        <v/>
      </c>
      <c r="AP757" s="94"/>
    </row>
    <row r="758">
      <c r="R758" s="93"/>
      <c r="S758" s="68"/>
      <c r="T758" s="38" t="str">
        <f>IFERROR(__xludf.DUMMYFUNCTION("IFERROR(
  TRIM(REGEXEXTRACT(H758,""\(Event\)\s*([^,]+)"")),
  IF(V758="""","""",IF(V758=""CASWJ"",""General / No Specific Project"",""General - ""&amp;V758))
)"),"")</f>
        <v/>
      </c>
      <c r="W758" s="38"/>
      <c r="AB758" s="68" t="str">
        <f t="shared" si="6"/>
        <v/>
      </c>
      <c r="AP758" s="94"/>
    </row>
    <row r="759">
      <c r="R759" s="93"/>
      <c r="S759" s="68"/>
      <c r="T759" s="38" t="str">
        <f>IFERROR(__xludf.DUMMYFUNCTION("IFERROR(
  TRIM(REGEXEXTRACT(H759,""\(Event\)\s*([^,]+)"")),
  IF(V759="""","""",IF(V759=""CASWJ"",""General / No Specific Project"",""General - ""&amp;V759))
)"),"")</f>
        <v/>
      </c>
      <c r="W759" s="38"/>
      <c r="AB759" s="68" t="str">
        <f t="shared" si="6"/>
        <v/>
      </c>
      <c r="AP759" s="94"/>
    </row>
    <row r="760">
      <c r="R760" s="93"/>
      <c r="S760" s="68"/>
      <c r="T760" s="38" t="str">
        <f>IFERROR(__xludf.DUMMYFUNCTION("IFERROR(
  TRIM(REGEXEXTRACT(H760,""\(Event\)\s*([^,]+)"")),
  IF(V760="""","""",IF(V760=""CASWJ"",""General / No Specific Project"",""General - ""&amp;V760))
)"),"")</f>
        <v/>
      </c>
      <c r="W760" s="38"/>
      <c r="AB760" s="68" t="str">
        <f t="shared" si="6"/>
        <v/>
      </c>
      <c r="AP760" s="94"/>
    </row>
    <row r="761">
      <c r="R761" s="93"/>
      <c r="S761" s="68"/>
      <c r="T761" s="38" t="str">
        <f>IFERROR(__xludf.DUMMYFUNCTION("IFERROR(
  TRIM(REGEXEXTRACT(H761,""\(Event\)\s*([^,]+)"")),
  IF(V761="""","""",IF(V761=""CASWJ"",""General / No Specific Project"",""General - ""&amp;V761))
)"),"")</f>
        <v/>
      </c>
      <c r="W761" s="38"/>
      <c r="AB761" s="68" t="str">
        <f t="shared" si="6"/>
        <v/>
      </c>
      <c r="AP761" s="94"/>
    </row>
    <row r="762">
      <c r="R762" s="93"/>
      <c r="S762" s="68"/>
      <c r="T762" s="38" t="str">
        <f>IFERROR(__xludf.DUMMYFUNCTION("IFERROR(
  TRIM(REGEXEXTRACT(H762,""\(Event\)\s*([^,]+)"")),
  IF(V762="""","""",IF(V762=""CASWJ"",""General / No Specific Project"",""General - ""&amp;V762))
)"),"")</f>
        <v/>
      </c>
      <c r="W762" s="38"/>
      <c r="AB762" s="68" t="str">
        <f t="shared" si="6"/>
        <v/>
      </c>
      <c r="AP762" s="94"/>
    </row>
    <row r="763">
      <c r="R763" s="93"/>
      <c r="S763" s="68"/>
      <c r="T763" s="38" t="str">
        <f>IFERROR(__xludf.DUMMYFUNCTION("IFERROR(
  TRIM(REGEXEXTRACT(H763,""\(Event\)\s*([^,]+)"")),
  IF(V763="""","""",IF(V763=""CASWJ"",""General / No Specific Project"",""General - ""&amp;V763))
)"),"")</f>
        <v/>
      </c>
      <c r="W763" s="38"/>
      <c r="AB763" s="68" t="str">
        <f t="shared" si="6"/>
        <v/>
      </c>
      <c r="AP763" s="94"/>
    </row>
    <row r="764">
      <c r="R764" s="93"/>
      <c r="S764" s="68"/>
      <c r="T764" s="38" t="str">
        <f>IFERROR(__xludf.DUMMYFUNCTION("IFERROR(
  TRIM(REGEXEXTRACT(H764,""\(Event\)\s*([^,]+)"")),
  IF(V764="""","""",IF(V764=""CASWJ"",""General / No Specific Project"",""General - ""&amp;V764))
)"),"")</f>
        <v/>
      </c>
      <c r="W764" s="38"/>
      <c r="AB764" s="68" t="str">
        <f t="shared" si="6"/>
        <v/>
      </c>
      <c r="AP764" s="94"/>
    </row>
    <row r="765">
      <c r="R765" s="93"/>
      <c r="S765" s="68"/>
      <c r="T765" s="38" t="str">
        <f>IFERROR(__xludf.DUMMYFUNCTION("IFERROR(
  TRIM(REGEXEXTRACT(H765,""\(Event\)\s*([^,]+)"")),
  IF(V765="""","""",IF(V765=""CASWJ"",""General / No Specific Project"",""General - ""&amp;V765))
)"),"")</f>
        <v/>
      </c>
      <c r="W765" s="38"/>
      <c r="AB765" s="68" t="str">
        <f t="shared" si="6"/>
        <v/>
      </c>
      <c r="AP765" s="94"/>
    </row>
    <row r="766">
      <c r="R766" s="93"/>
      <c r="S766" s="68"/>
      <c r="T766" s="38" t="str">
        <f>IFERROR(__xludf.DUMMYFUNCTION("IFERROR(
  TRIM(REGEXEXTRACT(H766,""\(Event\)\s*([^,]+)"")),
  IF(V766="""","""",IF(V766=""CASWJ"",""General / No Specific Project"",""General - ""&amp;V766))
)"),"")</f>
        <v/>
      </c>
      <c r="W766" s="38"/>
      <c r="AB766" s="68" t="str">
        <f t="shared" si="6"/>
        <v/>
      </c>
      <c r="AP766" s="94"/>
    </row>
    <row r="767">
      <c r="R767" s="93"/>
      <c r="S767" s="68"/>
      <c r="T767" s="38" t="str">
        <f>IFERROR(__xludf.DUMMYFUNCTION("IFERROR(
  TRIM(REGEXEXTRACT(H767,""\(Event\)\s*([^,]+)"")),
  IF(V767="""","""",IF(V767=""CASWJ"",""General / No Specific Project"",""General - ""&amp;V767))
)"),"")</f>
        <v/>
      </c>
      <c r="W767" s="38"/>
      <c r="AB767" s="68" t="str">
        <f t="shared" si="6"/>
        <v/>
      </c>
      <c r="AP767" s="94"/>
    </row>
    <row r="768">
      <c r="R768" s="93"/>
      <c r="S768" s="68"/>
      <c r="T768" s="38" t="str">
        <f>IFERROR(__xludf.DUMMYFUNCTION("IFERROR(
  TRIM(REGEXEXTRACT(H768,""\(Event\)\s*([^,]+)"")),
  IF(V768="""","""",IF(V768=""CASWJ"",""General / No Specific Project"",""General - ""&amp;V768))
)"),"")</f>
        <v/>
      </c>
      <c r="W768" s="38"/>
      <c r="AB768" s="68" t="str">
        <f t="shared" si="6"/>
        <v/>
      </c>
      <c r="AP768" s="94"/>
    </row>
    <row r="769">
      <c r="R769" s="93"/>
      <c r="S769" s="68"/>
      <c r="T769" s="38" t="str">
        <f>IFERROR(__xludf.DUMMYFUNCTION("IFERROR(
  TRIM(REGEXEXTRACT(H769,""\(Event\)\s*([^,]+)"")),
  IF(V769="""","""",IF(V769=""CASWJ"",""General / No Specific Project"",""General - ""&amp;V769))
)"),"")</f>
        <v/>
      </c>
      <c r="W769" s="38"/>
      <c r="AB769" s="68" t="str">
        <f t="shared" si="6"/>
        <v/>
      </c>
      <c r="AP769" s="94"/>
    </row>
    <row r="770">
      <c r="R770" s="93"/>
      <c r="S770" s="68"/>
      <c r="T770" s="38" t="str">
        <f>IFERROR(__xludf.DUMMYFUNCTION("IFERROR(
  TRIM(REGEXEXTRACT(H770,""\(Event\)\s*([^,]+)"")),
  IF(V770="""","""",IF(V770=""CASWJ"",""General / No Specific Project"",""General - ""&amp;V770))
)"),"")</f>
        <v/>
      </c>
      <c r="W770" s="38"/>
      <c r="AB770" s="68" t="str">
        <f t="shared" si="6"/>
        <v/>
      </c>
      <c r="AP770" s="94"/>
    </row>
    <row r="771">
      <c r="R771" s="93"/>
      <c r="S771" s="68"/>
      <c r="T771" s="38" t="str">
        <f>IFERROR(__xludf.DUMMYFUNCTION("IFERROR(
  TRIM(REGEXEXTRACT(H771,""\(Event\)\s*([^,]+)"")),
  IF(V771="""","""",IF(V771=""CASWJ"",""General / No Specific Project"",""General - ""&amp;V771))
)"),"")</f>
        <v/>
      </c>
      <c r="W771" s="38"/>
      <c r="AB771" s="68" t="str">
        <f t="shared" si="6"/>
        <v/>
      </c>
      <c r="AP771" s="94"/>
    </row>
    <row r="772">
      <c r="R772" s="93"/>
      <c r="S772" s="68"/>
      <c r="T772" s="38" t="str">
        <f>IFERROR(__xludf.DUMMYFUNCTION("IFERROR(
  TRIM(REGEXEXTRACT(H772,""\(Event\)\s*([^,]+)"")),
  IF(V772="""","""",IF(V772=""CASWJ"",""General / No Specific Project"",""General - ""&amp;V772))
)"),"")</f>
        <v/>
      </c>
      <c r="W772" s="38"/>
      <c r="AB772" s="68" t="str">
        <f t="shared" si="6"/>
        <v/>
      </c>
      <c r="AP772" s="94"/>
    </row>
    <row r="773">
      <c r="R773" s="93"/>
      <c r="S773" s="68"/>
      <c r="T773" s="38" t="str">
        <f>IFERROR(__xludf.DUMMYFUNCTION("IFERROR(
  TRIM(REGEXEXTRACT(H773,""\(Event\)\s*([^,]+)"")),
  IF(V773="""","""",IF(V773=""CASWJ"",""General / No Specific Project"",""General - ""&amp;V773))
)"),"")</f>
        <v/>
      </c>
      <c r="W773" s="38"/>
      <c r="AB773" s="68" t="str">
        <f t="shared" si="6"/>
        <v/>
      </c>
      <c r="AP773" s="94"/>
    </row>
    <row r="774">
      <c r="R774" s="93"/>
      <c r="S774" s="68"/>
      <c r="T774" s="38" t="str">
        <f>IFERROR(__xludf.DUMMYFUNCTION("IFERROR(
  TRIM(REGEXEXTRACT(H774,""\(Event\)\s*([^,]+)"")),
  IF(V774="""","""",IF(V774=""CASWJ"",""General / No Specific Project"",""General - ""&amp;V774))
)"),"")</f>
        <v/>
      </c>
      <c r="W774" s="38"/>
      <c r="AB774" s="68" t="str">
        <f t="shared" si="6"/>
        <v/>
      </c>
      <c r="AP774" s="94"/>
    </row>
    <row r="775">
      <c r="R775" s="93"/>
      <c r="S775" s="68"/>
      <c r="T775" s="38" t="str">
        <f>IFERROR(__xludf.DUMMYFUNCTION("IFERROR(
  TRIM(REGEXEXTRACT(H775,""\(Event\)\s*([^,]+)"")),
  IF(V775="""","""",IF(V775=""CASWJ"",""General / No Specific Project"",""General - ""&amp;V775))
)"),"")</f>
        <v/>
      </c>
      <c r="W775" s="38"/>
      <c r="AB775" s="68" t="str">
        <f t="shared" si="6"/>
        <v/>
      </c>
      <c r="AP775" s="94"/>
    </row>
    <row r="776">
      <c r="R776" s="93"/>
      <c r="S776" s="68"/>
      <c r="T776" s="38" t="str">
        <f>IFERROR(__xludf.DUMMYFUNCTION("IFERROR(
  TRIM(REGEXEXTRACT(H776,""\(Event\)\s*([^,]+)"")),
  IF(V776="""","""",IF(V776=""CASWJ"",""General / No Specific Project"",""General - ""&amp;V776))
)"),"")</f>
        <v/>
      </c>
      <c r="W776" s="38"/>
      <c r="AB776" s="68" t="str">
        <f t="shared" si="6"/>
        <v/>
      </c>
      <c r="AP776" s="94"/>
    </row>
    <row r="777">
      <c r="R777" s="93"/>
      <c r="S777" s="68"/>
      <c r="T777" s="38" t="str">
        <f>IFERROR(__xludf.DUMMYFUNCTION("IFERROR(
  TRIM(REGEXEXTRACT(H777,""\(Event\)\s*([^,]+)"")),
  IF(V777="""","""",IF(V777=""CASWJ"",""General / No Specific Project"",""General - ""&amp;V777))
)"),"")</f>
        <v/>
      </c>
      <c r="W777" s="38"/>
      <c r="AB777" s="68" t="str">
        <f t="shared" si="6"/>
        <v/>
      </c>
      <c r="AP777" s="94"/>
    </row>
    <row r="778">
      <c r="R778" s="93"/>
      <c r="S778" s="68"/>
      <c r="T778" s="38" t="str">
        <f>IFERROR(__xludf.DUMMYFUNCTION("IFERROR(
  TRIM(REGEXEXTRACT(H778,""\(Event\)\s*([^,]+)"")),
  IF(V778="""","""",IF(V778=""CASWJ"",""General / No Specific Project"",""General - ""&amp;V778))
)"),"")</f>
        <v/>
      </c>
      <c r="W778" s="38"/>
      <c r="AB778" s="68" t="str">
        <f t="shared" si="6"/>
        <v/>
      </c>
      <c r="AP778" s="94"/>
    </row>
    <row r="779">
      <c r="R779" s="93"/>
      <c r="S779" s="68"/>
      <c r="T779" s="38" t="str">
        <f>IFERROR(__xludf.DUMMYFUNCTION("IFERROR(
  TRIM(REGEXEXTRACT(H779,""\(Event\)\s*([^,]+)"")),
  IF(V779="""","""",IF(V779=""CASWJ"",""General / No Specific Project"",""General - ""&amp;V779))
)"),"")</f>
        <v/>
      </c>
      <c r="W779" s="38"/>
      <c r="AB779" s="68" t="str">
        <f t="shared" si="6"/>
        <v/>
      </c>
      <c r="AP779" s="94"/>
    </row>
    <row r="780">
      <c r="R780" s="93"/>
      <c r="S780" s="68"/>
      <c r="T780" s="38" t="str">
        <f>IFERROR(__xludf.DUMMYFUNCTION("IFERROR(
  TRIM(REGEXEXTRACT(H780,""\(Event\)\s*([^,]+)"")),
  IF(V780="""","""",IF(V780=""CASWJ"",""General / No Specific Project"",""General - ""&amp;V780))
)"),"")</f>
        <v/>
      </c>
      <c r="W780" s="38"/>
      <c r="AB780" s="68" t="str">
        <f t="shared" si="6"/>
        <v/>
      </c>
      <c r="AP780" s="94"/>
    </row>
    <row r="781">
      <c r="R781" s="93"/>
      <c r="S781" s="68"/>
      <c r="T781" s="38" t="str">
        <f>IFERROR(__xludf.DUMMYFUNCTION("IFERROR(
  TRIM(REGEXEXTRACT(H781,""\(Event\)\s*([^,]+)"")),
  IF(V781="""","""",IF(V781=""CASWJ"",""General / No Specific Project"",""General - ""&amp;V781))
)"),"")</f>
        <v/>
      </c>
      <c r="W781" s="38"/>
      <c r="AB781" s="68" t="str">
        <f t="shared" si="6"/>
        <v/>
      </c>
      <c r="AP781" s="94"/>
    </row>
    <row r="782">
      <c r="R782" s="93"/>
      <c r="S782" s="68"/>
      <c r="T782" s="38" t="str">
        <f>IFERROR(__xludf.DUMMYFUNCTION("IFERROR(
  TRIM(REGEXEXTRACT(H782,""\(Event\)\s*([^,]+)"")),
  IF(V782="""","""",IF(V782=""CASWJ"",""General / No Specific Project"",""General - ""&amp;V782))
)"),"")</f>
        <v/>
      </c>
      <c r="W782" s="38"/>
      <c r="AB782" s="68" t="str">
        <f t="shared" si="6"/>
        <v/>
      </c>
      <c r="AP782" s="94"/>
    </row>
    <row r="783">
      <c r="R783" s="93"/>
      <c r="S783" s="68"/>
      <c r="T783" s="38" t="str">
        <f>IFERROR(__xludf.DUMMYFUNCTION("IFERROR(
  TRIM(REGEXEXTRACT(H783,""\(Event\)\s*([^,]+)"")),
  IF(V783="""","""",IF(V783=""CASWJ"",""General / No Specific Project"",""General - ""&amp;V783))
)"),"")</f>
        <v/>
      </c>
      <c r="W783" s="38"/>
      <c r="AB783" s="68" t="str">
        <f t="shared" si="6"/>
        <v/>
      </c>
      <c r="AP783" s="94"/>
    </row>
    <row r="784">
      <c r="R784" s="93"/>
      <c r="S784" s="68"/>
      <c r="T784" s="38" t="str">
        <f>IFERROR(__xludf.DUMMYFUNCTION("IFERROR(
  TRIM(REGEXEXTRACT(H784,""\(Event\)\s*([^,]+)"")),
  IF(V784="""","""",IF(V784=""CASWJ"",""General / No Specific Project"",""General - ""&amp;V784))
)"),"")</f>
        <v/>
      </c>
      <c r="W784" s="38"/>
      <c r="AB784" s="68" t="str">
        <f t="shared" si="6"/>
        <v/>
      </c>
      <c r="AP784" s="94"/>
    </row>
    <row r="785">
      <c r="R785" s="93"/>
      <c r="S785" s="68"/>
      <c r="T785" s="38" t="str">
        <f>IFERROR(__xludf.DUMMYFUNCTION("IFERROR(
  TRIM(REGEXEXTRACT(H785,""\(Event\)\s*([^,]+)"")),
  IF(V785="""","""",IF(V785=""CASWJ"",""General / No Specific Project"",""General - ""&amp;V785))
)"),"")</f>
        <v/>
      </c>
      <c r="W785" s="38"/>
      <c r="AB785" s="68" t="str">
        <f t="shared" si="6"/>
        <v/>
      </c>
      <c r="AP785" s="94"/>
    </row>
    <row r="786">
      <c r="R786" s="93"/>
      <c r="S786" s="68"/>
      <c r="T786" s="38" t="str">
        <f>IFERROR(__xludf.DUMMYFUNCTION("IFERROR(
  TRIM(REGEXEXTRACT(H786,""\(Event\)\s*([^,]+)"")),
  IF(V786="""","""",IF(V786=""CASWJ"",""General / No Specific Project"",""General - ""&amp;V786))
)"),"")</f>
        <v/>
      </c>
      <c r="W786" s="38"/>
      <c r="AB786" s="68" t="str">
        <f t="shared" si="6"/>
        <v/>
      </c>
      <c r="AP786" s="94"/>
    </row>
    <row r="787">
      <c r="R787" s="93"/>
      <c r="S787" s="68"/>
      <c r="T787" s="38" t="str">
        <f>IFERROR(__xludf.DUMMYFUNCTION("IFERROR(
  TRIM(REGEXEXTRACT(H787,""\(Event\)\s*([^,]+)"")),
  IF(V787="""","""",IF(V787=""CASWJ"",""General / No Specific Project"",""General - ""&amp;V787))
)"),"")</f>
        <v/>
      </c>
      <c r="W787" s="38"/>
      <c r="AB787" s="68" t="str">
        <f t="shared" si="6"/>
        <v/>
      </c>
      <c r="AP787" s="94"/>
    </row>
    <row r="788">
      <c r="R788" s="93"/>
      <c r="S788" s="68"/>
      <c r="T788" s="38" t="str">
        <f>IFERROR(__xludf.DUMMYFUNCTION("IFERROR(
  TRIM(REGEXEXTRACT(H788,""\(Event\)\s*([^,]+)"")),
  IF(V788="""","""",IF(V788=""CASWJ"",""General / No Specific Project"",""General - ""&amp;V788))
)"),"")</f>
        <v/>
      </c>
      <c r="W788" s="38"/>
      <c r="AB788" s="68" t="str">
        <f t="shared" si="6"/>
        <v/>
      </c>
      <c r="AP788" s="94"/>
    </row>
    <row r="789">
      <c r="R789" s="93"/>
      <c r="S789" s="68"/>
      <c r="T789" s="38" t="str">
        <f>IFERROR(__xludf.DUMMYFUNCTION("IFERROR(
  TRIM(REGEXEXTRACT(H789,""\(Event\)\s*([^,]+)"")),
  IF(V789="""","""",IF(V789=""CASWJ"",""General / No Specific Project"",""General - ""&amp;V789))
)"),"")</f>
        <v/>
      </c>
      <c r="W789" s="38"/>
      <c r="AB789" s="68" t="str">
        <f t="shared" si="6"/>
        <v/>
      </c>
      <c r="AP789" s="94"/>
    </row>
    <row r="790">
      <c r="R790" s="93"/>
      <c r="S790" s="68"/>
      <c r="T790" s="38" t="str">
        <f>IFERROR(__xludf.DUMMYFUNCTION("IFERROR(
  TRIM(REGEXEXTRACT(H790,""\(Event\)\s*([^,]+)"")),
  IF(V790="""","""",IF(V790=""CASWJ"",""General / No Specific Project"",""General - ""&amp;V790))
)"),"")</f>
        <v/>
      </c>
      <c r="W790" s="38"/>
      <c r="AB790" s="68" t="str">
        <f t="shared" si="6"/>
        <v/>
      </c>
      <c r="AP790" s="94"/>
    </row>
    <row r="791">
      <c r="R791" s="93"/>
      <c r="S791" s="68"/>
      <c r="T791" s="38" t="str">
        <f>IFERROR(__xludf.DUMMYFUNCTION("IFERROR(
  TRIM(REGEXEXTRACT(H791,""\(Event\)\s*([^,]+)"")),
  IF(V791="""","""",IF(V791=""CASWJ"",""General / No Specific Project"",""General - ""&amp;V791))
)"),"")</f>
        <v/>
      </c>
      <c r="W791" s="38"/>
      <c r="AB791" s="68" t="str">
        <f t="shared" si="6"/>
        <v/>
      </c>
      <c r="AP791" s="94"/>
    </row>
    <row r="792">
      <c r="R792" s="93"/>
      <c r="S792" s="68"/>
      <c r="T792" s="38" t="str">
        <f>IFERROR(__xludf.DUMMYFUNCTION("IFERROR(
  TRIM(REGEXEXTRACT(H792,""\(Event\)\s*([^,]+)"")),
  IF(V792="""","""",IF(V792=""CASWJ"",""General / No Specific Project"",""General - ""&amp;V792))
)"),"")</f>
        <v/>
      </c>
      <c r="W792" s="38"/>
      <c r="AB792" s="68" t="str">
        <f t="shared" si="6"/>
        <v/>
      </c>
      <c r="AP792" s="94"/>
    </row>
    <row r="793">
      <c r="R793" s="93"/>
      <c r="S793" s="68"/>
      <c r="T793" s="38" t="str">
        <f>IFERROR(__xludf.DUMMYFUNCTION("IFERROR(
  TRIM(REGEXEXTRACT(H793,""\(Event\)\s*([^,]+)"")),
  IF(V793="""","""",IF(V793=""CASWJ"",""General / No Specific Project"",""General - ""&amp;V793))
)"),"")</f>
        <v/>
      </c>
      <c r="W793" s="38"/>
      <c r="AB793" s="68" t="str">
        <f t="shared" si="6"/>
        <v/>
      </c>
      <c r="AP793" s="94"/>
    </row>
    <row r="794">
      <c r="R794" s="93"/>
      <c r="S794" s="68"/>
      <c r="T794" s="38" t="str">
        <f>IFERROR(__xludf.DUMMYFUNCTION("IFERROR(
  TRIM(REGEXEXTRACT(H794,""\(Event\)\s*([^,]+)"")),
  IF(V794="""","""",IF(V794=""CASWJ"",""General / No Specific Project"",""General - ""&amp;V794))
)"),"")</f>
        <v/>
      </c>
      <c r="W794" s="38"/>
      <c r="AB794" s="68" t="str">
        <f t="shared" si="6"/>
        <v/>
      </c>
      <c r="AP794" s="94"/>
    </row>
    <row r="795">
      <c r="R795" s="93"/>
      <c r="S795" s="68"/>
      <c r="T795" s="38" t="str">
        <f>IFERROR(__xludf.DUMMYFUNCTION("IFERROR(
  TRIM(REGEXEXTRACT(H795,""\(Event\)\s*([^,]+)"")),
  IF(V795="""","""",IF(V795=""CASWJ"",""General / No Specific Project"",""General - ""&amp;V795))
)"),"")</f>
        <v/>
      </c>
      <c r="W795" s="38"/>
      <c r="AB795" s="68" t="str">
        <f t="shared" si="6"/>
        <v/>
      </c>
      <c r="AP795" s="94"/>
    </row>
    <row r="796">
      <c r="R796" s="93"/>
      <c r="S796" s="68"/>
      <c r="T796" s="38" t="str">
        <f>IFERROR(__xludf.DUMMYFUNCTION("IFERROR(
  TRIM(REGEXEXTRACT(H796,""\(Event\)\s*([^,]+)"")),
  IF(V796="""","""",IF(V796=""CASWJ"",""General / No Specific Project"",""General - ""&amp;V796))
)"),"")</f>
        <v/>
      </c>
      <c r="W796" s="38"/>
      <c r="AB796" s="68" t="str">
        <f t="shared" si="6"/>
        <v/>
      </c>
      <c r="AP796" s="94"/>
    </row>
    <row r="797">
      <c r="R797" s="93"/>
      <c r="S797" s="68"/>
      <c r="T797" s="38" t="str">
        <f>IFERROR(__xludf.DUMMYFUNCTION("IFERROR(
  TRIM(REGEXEXTRACT(H797,""\(Event\)\s*([^,]+)"")),
  IF(V797="""","""",IF(V797=""CASWJ"",""General / No Specific Project"",""General - ""&amp;V797))
)"),"")</f>
        <v/>
      </c>
      <c r="W797" s="38"/>
      <c r="AB797" s="68" t="str">
        <f t="shared" si="6"/>
        <v/>
      </c>
      <c r="AP797" s="94"/>
    </row>
    <row r="798">
      <c r="R798" s="93"/>
      <c r="S798" s="68"/>
      <c r="T798" s="38" t="str">
        <f>IFERROR(__xludf.DUMMYFUNCTION("IFERROR(
  TRIM(REGEXEXTRACT(H798,""\(Event\)\s*([^,]+)"")),
  IF(V798="""","""",IF(V798=""CASWJ"",""General / No Specific Project"",""General - ""&amp;V798))
)"),"")</f>
        <v/>
      </c>
      <c r="W798" s="38"/>
      <c r="AB798" s="68" t="str">
        <f t="shared" si="6"/>
        <v/>
      </c>
      <c r="AP798" s="94"/>
    </row>
    <row r="799">
      <c r="R799" s="93"/>
      <c r="S799" s="68"/>
      <c r="T799" s="38" t="str">
        <f>IFERROR(__xludf.DUMMYFUNCTION("IFERROR(
  TRIM(REGEXEXTRACT(H799,""\(Event\)\s*([^,]+)"")),
  IF(V799="""","""",IF(V799=""CASWJ"",""General / No Specific Project"",""General - ""&amp;V799))
)"),"")</f>
        <v/>
      </c>
      <c r="W799" s="38"/>
      <c r="AB799" s="68" t="str">
        <f t="shared" si="6"/>
        <v/>
      </c>
      <c r="AP799" s="94"/>
    </row>
    <row r="800">
      <c r="R800" s="93"/>
      <c r="S800" s="68"/>
      <c r="T800" s="38" t="str">
        <f>IFERROR(__xludf.DUMMYFUNCTION("IFERROR(
  TRIM(REGEXEXTRACT(H800,""\(Event\)\s*([^,]+)"")),
  IF(V800="""","""",IF(V800=""CASWJ"",""General / No Specific Project"",""General - ""&amp;V800))
)"),"")</f>
        <v/>
      </c>
      <c r="W800" s="38"/>
      <c r="AB800" s="68" t="str">
        <f t="shared" si="6"/>
        <v/>
      </c>
      <c r="AP800" s="94"/>
    </row>
    <row r="801">
      <c r="R801" s="93"/>
      <c r="S801" s="68"/>
      <c r="T801" s="38" t="str">
        <f>IFERROR(__xludf.DUMMYFUNCTION("IFERROR(
  TRIM(REGEXEXTRACT(H801,""\(Event\)\s*([^,]+)"")),
  IF(V801="""","""",IF(V801=""CASWJ"",""General / No Specific Project"",""General - ""&amp;V801))
)"),"")</f>
        <v/>
      </c>
      <c r="W801" s="38"/>
      <c r="AB801" s="68" t="str">
        <f t="shared" si="6"/>
        <v/>
      </c>
      <c r="AP801" s="94"/>
    </row>
    <row r="802">
      <c r="R802" s="93"/>
      <c r="S802" s="68"/>
      <c r="T802" s="38" t="str">
        <f>IFERROR(__xludf.DUMMYFUNCTION("IFERROR(
  TRIM(REGEXEXTRACT(H802,""\(Event\)\s*([^,]+)"")),
  IF(V802="""","""",IF(V802=""CASWJ"",""General / No Specific Project"",""General - ""&amp;V802))
)"),"")</f>
        <v/>
      </c>
      <c r="W802" s="38"/>
      <c r="AB802" s="68" t="str">
        <f t="shared" si="6"/>
        <v/>
      </c>
      <c r="AP802" s="94"/>
    </row>
    <row r="803">
      <c r="R803" s="93"/>
      <c r="S803" s="68"/>
      <c r="T803" s="38" t="str">
        <f>IFERROR(__xludf.DUMMYFUNCTION("IFERROR(
  TRIM(REGEXEXTRACT(H803,""\(Event\)\s*([^,]+)"")),
  IF(V803="""","""",IF(V803=""CASWJ"",""General / No Specific Project"",""General - ""&amp;V803))
)"),"")</f>
        <v/>
      </c>
      <c r="W803" s="38"/>
      <c r="AB803" s="68" t="str">
        <f t="shared" si="6"/>
        <v/>
      </c>
      <c r="AP803" s="94"/>
    </row>
    <row r="804">
      <c r="R804" s="93"/>
      <c r="S804" s="68"/>
      <c r="T804" s="38" t="str">
        <f>IFERROR(__xludf.DUMMYFUNCTION("IFERROR(
  TRIM(REGEXEXTRACT(H804,""\(Event\)\s*([^,]+)"")),
  IF(V804="""","""",IF(V804=""CASWJ"",""General / No Specific Project"",""General - ""&amp;V804))
)"),"")</f>
        <v/>
      </c>
      <c r="W804" s="38"/>
      <c r="AB804" s="68" t="str">
        <f t="shared" si="6"/>
        <v/>
      </c>
      <c r="AP804" s="94"/>
    </row>
    <row r="805">
      <c r="R805" s="93"/>
      <c r="S805" s="68"/>
      <c r="T805" s="38" t="str">
        <f>IFERROR(__xludf.DUMMYFUNCTION("IFERROR(
  TRIM(REGEXEXTRACT(H805,""\(Event\)\s*([^,]+)"")),
  IF(V805="""","""",IF(V805=""CASWJ"",""General / No Specific Project"",""General - ""&amp;V805))
)"),"")</f>
        <v/>
      </c>
      <c r="W805" s="38"/>
      <c r="AB805" s="68" t="str">
        <f t="shared" si="6"/>
        <v/>
      </c>
      <c r="AP805" s="94"/>
    </row>
    <row r="806">
      <c r="R806" s="93"/>
      <c r="S806" s="68"/>
      <c r="T806" s="38" t="str">
        <f>IFERROR(__xludf.DUMMYFUNCTION("IFERROR(
  TRIM(REGEXEXTRACT(H806,""\(Event\)\s*([^,]+)"")),
  IF(V806="""","""",IF(V806=""CASWJ"",""General / No Specific Project"",""General - ""&amp;V806))
)"),"")</f>
        <v/>
      </c>
      <c r="W806" s="38"/>
      <c r="AB806" s="68" t="str">
        <f t="shared" si="6"/>
        <v/>
      </c>
      <c r="AP806" s="94"/>
    </row>
    <row r="807">
      <c r="R807" s="93"/>
      <c r="S807" s="68"/>
      <c r="T807" s="38" t="str">
        <f>IFERROR(__xludf.DUMMYFUNCTION("IFERROR(
  TRIM(REGEXEXTRACT(H807,""\(Event\)\s*([^,]+)"")),
  IF(V807="""","""",IF(V807=""CASWJ"",""General / No Specific Project"",""General - ""&amp;V807))
)"),"")</f>
        <v/>
      </c>
      <c r="W807" s="38"/>
      <c r="AB807" s="68" t="str">
        <f t="shared" si="6"/>
        <v/>
      </c>
      <c r="AP807" s="94"/>
    </row>
    <row r="808">
      <c r="R808" s="93"/>
      <c r="S808" s="68"/>
      <c r="T808" s="38" t="str">
        <f>IFERROR(__xludf.DUMMYFUNCTION("IFERROR(
  TRIM(REGEXEXTRACT(H808,""\(Event\)\s*([^,]+)"")),
  IF(V808="""","""",IF(V808=""CASWJ"",""General / No Specific Project"",""General - ""&amp;V808))
)"),"")</f>
        <v/>
      </c>
      <c r="W808" s="38"/>
      <c r="AB808" s="68" t="str">
        <f t="shared" si="6"/>
        <v/>
      </c>
      <c r="AP808" s="94"/>
    </row>
    <row r="809">
      <c r="R809" s="93"/>
      <c r="S809" s="68"/>
      <c r="T809" s="38" t="str">
        <f>IFERROR(__xludf.DUMMYFUNCTION("IFERROR(
  TRIM(REGEXEXTRACT(H809,""\(Event\)\s*([^,]+)"")),
  IF(V809="""","""",IF(V809=""CASWJ"",""General / No Specific Project"",""General - ""&amp;V809))
)"),"")</f>
        <v/>
      </c>
      <c r="W809" s="38"/>
      <c r="AB809" s="68" t="str">
        <f t="shared" si="6"/>
        <v/>
      </c>
      <c r="AP809" s="94"/>
    </row>
    <row r="810">
      <c r="R810" s="93"/>
      <c r="S810" s="68"/>
      <c r="T810" s="38" t="str">
        <f>IFERROR(__xludf.DUMMYFUNCTION("IFERROR(
  TRIM(REGEXEXTRACT(H810,""\(Event\)\s*([^,]+)"")),
  IF(V810="""","""",IF(V810=""CASWJ"",""General / No Specific Project"",""General - ""&amp;V810))
)"),"")</f>
        <v/>
      </c>
      <c r="W810" s="38"/>
      <c r="AB810" s="68" t="str">
        <f t="shared" si="6"/>
        <v/>
      </c>
      <c r="AP810" s="94"/>
    </row>
    <row r="811">
      <c r="R811" s="93"/>
      <c r="S811" s="68"/>
      <c r="T811" s="38" t="str">
        <f>IFERROR(__xludf.DUMMYFUNCTION("IFERROR(
  TRIM(REGEXEXTRACT(H811,""\(Event\)\s*([^,]+)"")),
  IF(V811="""","""",IF(V811=""CASWJ"",""General / No Specific Project"",""General - ""&amp;V811))
)"),"")</f>
        <v/>
      </c>
      <c r="W811" s="38"/>
      <c r="AB811" s="68" t="str">
        <f t="shared" si="6"/>
        <v/>
      </c>
      <c r="AP811" s="94"/>
    </row>
    <row r="812">
      <c r="R812" s="93"/>
      <c r="S812" s="68"/>
      <c r="T812" s="38" t="str">
        <f>IFERROR(__xludf.DUMMYFUNCTION("IFERROR(
  TRIM(REGEXEXTRACT(H812,""\(Event\)\s*([^,]+)"")),
  IF(V812="""","""",IF(V812=""CASWJ"",""General / No Specific Project"",""General - ""&amp;V812))
)"),"")</f>
        <v/>
      </c>
      <c r="W812" s="38"/>
      <c r="AB812" s="68" t="str">
        <f t="shared" si="6"/>
        <v/>
      </c>
      <c r="AP812" s="94"/>
    </row>
    <row r="813">
      <c r="R813" s="93"/>
      <c r="S813" s="68"/>
      <c r="T813" s="38" t="str">
        <f>IFERROR(__xludf.DUMMYFUNCTION("IFERROR(
  TRIM(REGEXEXTRACT(H813,""\(Event\)\s*([^,]+)"")),
  IF(V813="""","""",IF(V813=""CASWJ"",""General / No Specific Project"",""General - ""&amp;V813))
)"),"")</f>
        <v/>
      </c>
      <c r="W813" s="38"/>
      <c r="AB813" s="68" t="str">
        <f t="shared" si="6"/>
        <v/>
      </c>
      <c r="AP813" s="94"/>
    </row>
    <row r="814">
      <c r="R814" s="93"/>
      <c r="S814" s="68"/>
      <c r="T814" s="38" t="str">
        <f>IFERROR(__xludf.DUMMYFUNCTION("IFERROR(
  TRIM(REGEXEXTRACT(H814,""\(Event\)\s*([^,]+)"")),
  IF(V814="""","""",IF(V814=""CASWJ"",""General / No Specific Project"",""General - ""&amp;V814))
)"),"")</f>
        <v/>
      </c>
      <c r="W814" s="38"/>
      <c r="AB814" s="68" t="str">
        <f t="shared" si="6"/>
        <v/>
      </c>
      <c r="AP814" s="94"/>
    </row>
    <row r="815">
      <c r="R815" s="93"/>
      <c r="S815" s="68"/>
      <c r="T815" s="38" t="str">
        <f>IFERROR(__xludf.DUMMYFUNCTION("IFERROR(
  TRIM(REGEXEXTRACT(H815,""\(Event\)\s*([^,]+)"")),
  IF(V815="""","""",IF(V815=""CASWJ"",""General / No Specific Project"",""General - ""&amp;V815))
)"),"")</f>
        <v/>
      </c>
      <c r="W815" s="38"/>
      <c r="AB815" s="68" t="str">
        <f t="shared" si="6"/>
        <v/>
      </c>
      <c r="AP815" s="94"/>
    </row>
    <row r="816">
      <c r="R816" s="93"/>
      <c r="S816" s="68"/>
      <c r="T816" s="38" t="str">
        <f>IFERROR(__xludf.DUMMYFUNCTION("IFERROR(
  TRIM(REGEXEXTRACT(H816,""\(Event\)\s*([^,]+)"")),
  IF(V816="""","""",IF(V816=""CASWJ"",""General / No Specific Project"",""General - ""&amp;V816))
)"),"")</f>
        <v/>
      </c>
      <c r="W816" s="38"/>
      <c r="AB816" s="68" t="str">
        <f t="shared" si="6"/>
        <v/>
      </c>
      <c r="AP816" s="94"/>
    </row>
    <row r="817">
      <c r="R817" s="93"/>
      <c r="S817" s="68"/>
      <c r="T817" s="38" t="str">
        <f>IFERROR(__xludf.DUMMYFUNCTION("IFERROR(
  TRIM(REGEXEXTRACT(H817,""\(Event\)\s*([^,]+)"")),
  IF(V817="""","""",IF(V817=""CASWJ"",""General / No Specific Project"",""General - ""&amp;V817))
)"),"")</f>
        <v/>
      </c>
      <c r="W817" s="38"/>
      <c r="AB817" s="68" t="str">
        <f t="shared" si="6"/>
        <v/>
      </c>
      <c r="AP817" s="94"/>
    </row>
    <row r="818">
      <c r="R818" s="93"/>
      <c r="S818" s="68"/>
      <c r="T818" s="38" t="str">
        <f>IFERROR(__xludf.DUMMYFUNCTION("IFERROR(
  TRIM(REGEXEXTRACT(H818,""\(Event\)\s*([^,]+)"")),
  IF(V818="""","""",IF(V818=""CASWJ"",""General / No Specific Project"",""General - ""&amp;V818))
)"),"")</f>
        <v/>
      </c>
      <c r="W818" s="38"/>
      <c r="AB818" s="68" t="str">
        <f t="shared" si="6"/>
        <v/>
      </c>
      <c r="AP818" s="94"/>
    </row>
    <row r="819">
      <c r="R819" s="93"/>
      <c r="S819" s="68"/>
      <c r="T819" s="38" t="str">
        <f>IFERROR(__xludf.DUMMYFUNCTION("IFERROR(
  TRIM(REGEXEXTRACT(H819,""\(Event\)\s*([^,]+)"")),
  IF(V819="""","""",IF(V819=""CASWJ"",""General / No Specific Project"",""General - ""&amp;V819))
)"),"")</f>
        <v/>
      </c>
      <c r="W819" s="38"/>
      <c r="AB819" s="68" t="str">
        <f t="shared" si="6"/>
        <v/>
      </c>
      <c r="AP819" s="94"/>
    </row>
    <row r="820">
      <c r="R820" s="93"/>
      <c r="S820" s="68"/>
      <c r="T820" s="38" t="str">
        <f>IFERROR(__xludf.DUMMYFUNCTION("IFERROR(
  TRIM(REGEXEXTRACT(H820,""\(Event\)\s*([^,]+)"")),
  IF(V820="""","""",IF(V820=""CASWJ"",""General / No Specific Project"",""General - ""&amp;V820))
)"),"")</f>
        <v/>
      </c>
      <c r="W820" s="38"/>
      <c r="AB820" s="68" t="str">
        <f t="shared" si="6"/>
        <v/>
      </c>
      <c r="AP820" s="94"/>
    </row>
    <row r="821">
      <c r="R821" s="93"/>
      <c r="S821" s="68"/>
      <c r="T821" s="38" t="str">
        <f>IFERROR(__xludf.DUMMYFUNCTION("IFERROR(
  TRIM(REGEXEXTRACT(H821,""\(Event\)\s*([^,]+)"")),
  IF(V821="""","""",IF(V821=""CASWJ"",""General / No Specific Project"",""General - ""&amp;V821))
)"),"")</f>
        <v/>
      </c>
      <c r="W821" s="38"/>
      <c r="AB821" s="68" t="str">
        <f t="shared" si="6"/>
        <v/>
      </c>
      <c r="AP821" s="94"/>
    </row>
    <row r="822">
      <c r="R822" s="93"/>
      <c r="S822" s="68"/>
      <c r="T822" s="38" t="str">
        <f>IFERROR(__xludf.DUMMYFUNCTION("IFERROR(
  TRIM(REGEXEXTRACT(H822,""\(Event\)\s*([^,]+)"")),
  IF(V822="""","""",IF(V822=""CASWJ"",""General / No Specific Project"",""General - ""&amp;V822))
)"),"")</f>
        <v/>
      </c>
      <c r="W822" s="38"/>
      <c r="AB822" s="68" t="str">
        <f t="shared" si="6"/>
        <v/>
      </c>
      <c r="AP822" s="94"/>
    </row>
    <row r="823">
      <c r="R823" s="93"/>
      <c r="S823" s="68"/>
      <c r="T823" s="38" t="str">
        <f>IFERROR(__xludf.DUMMYFUNCTION("IFERROR(
  TRIM(REGEXEXTRACT(H823,""\(Event\)\s*([^,]+)"")),
  IF(V823="""","""",IF(V823=""CASWJ"",""General / No Specific Project"",""General - ""&amp;V823))
)"),"")</f>
        <v/>
      </c>
      <c r="W823" s="38"/>
      <c r="AB823" s="68" t="str">
        <f t="shared" si="6"/>
        <v/>
      </c>
      <c r="AP823" s="94"/>
    </row>
    <row r="824">
      <c r="R824" s="93"/>
      <c r="S824" s="68"/>
      <c r="T824" s="38" t="str">
        <f>IFERROR(__xludf.DUMMYFUNCTION("IFERROR(
  TRIM(REGEXEXTRACT(H824,""\(Event\)\s*([^,]+)"")),
  IF(V824="""","""",IF(V824=""CASWJ"",""General / No Specific Project"",""General - ""&amp;V824))
)"),"")</f>
        <v/>
      </c>
      <c r="W824" s="38"/>
      <c r="AB824" s="68" t="str">
        <f t="shared" si="6"/>
        <v/>
      </c>
      <c r="AP824" s="94"/>
    </row>
    <row r="825">
      <c r="R825" s="93"/>
      <c r="S825" s="68"/>
      <c r="T825" s="38" t="str">
        <f>IFERROR(__xludf.DUMMYFUNCTION("IFERROR(
  TRIM(REGEXEXTRACT(H825,""\(Event\)\s*([^,]+)"")),
  IF(V825="""","""",IF(V825=""CASWJ"",""General / No Specific Project"",""General - ""&amp;V825))
)"),"")</f>
        <v/>
      </c>
      <c r="W825" s="38"/>
      <c r="AB825" s="68" t="str">
        <f t="shared" si="6"/>
        <v/>
      </c>
      <c r="AP825" s="94"/>
    </row>
    <row r="826">
      <c r="R826" s="93"/>
      <c r="S826" s="68"/>
      <c r="T826" s="38" t="str">
        <f>IFERROR(__xludf.DUMMYFUNCTION("IFERROR(
  TRIM(REGEXEXTRACT(H826,""\(Event\)\s*([^,]+)"")),
  IF(V826="""","""",IF(V826=""CASWJ"",""General / No Specific Project"",""General - ""&amp;V826))
)"),"")</f>
        <v/>
      </c>
      <c r="W826" s="38"/>
      <c r="AB826" s="68" t="str">
        <f t="shared" si="6"/>
        <v/>
      </c>
      <c r="AP826" s="94"/>
    </row>
    <row r="827">
      <c r="R827" s="93"/>
      <c r="S827" s="68"/>
      <c r="T827" s="38" t="str">
        <f>IFERROR(__xludf.DUMMYFUNCTION("IFERROR(
  TRIM(REGEXEXTRACT(H827,""\(Event\)\s*([^,]+)"")),
  IF(V827="""","""",IF(V827=""CASWJ"",""General / No Specific Project"",""General - ""&amp;V827))
)"),"")</f>
        <v/>
      </c>
      <c r="W827" s="38"/>
      <c r="AB827" s="68" t="str">
        <f t="shared" si="6"/>
        <v/>
      </c>
      <c r="AP827" s="94"/>
    </row>
    <row r="828">
      <c r="R828" s="93"/>
      <c r="S828" s="68"/>
      <c r="T828" s="38" t="str">
        <f>IFERROR(__xludf.DUMMYFUNCTION("IFERROR(
  TRIM(REGEXEXTRACT(H828,""\(Event\)\s*([^,]+)"")),
  IF(V828="""","""",IF(V828=""CASWJ"",""General / No Specific Project"",""General - ""&amp;V828))
)"),"")</f>
        <v/>
      </c>
      <c r="W828" s="38"/>
      <c r="AB828" s="68" t="str">
        <f t="shared" si="6"/>
        <v/>
      </c>
      <c r="AP828" s="94"/>
    </row>
    <row r="829">
      <c r="R829" s="93"/>
      <c r="S829" s="68"/>
      <c r="T829" s="38" t="str">
        <f>IFERROR(__xludf.DUMMYFUNCTION("IFERROR(
  TRIM(REGEXEXTRACT(H829,""\(Event\)\s*([^,]+)"")),
  IF(V829="""","""",IF(V829=""CASWJ"",""General / No Specific Project"",""General - ""&amp;V829))
)"),"")</f>
        <v/>
      </c>
      <c r="W829" s="38"/>
      <c r="AB829" s="68" t="str">
        <f t="shared" si="6"/>
        <v/>
      </c>
      <c r="AP829" s="94"/>
    </row>
    <row r="830">
      <c r="R830" s="93"/>
      <c r="S830" s="68"/>
      <c r="T830" s="38" t="str">
        <f>IFERROR(__xludf.DUMMYFUNCTION("IFERROR(
  TRIM(REGEXEXTRACT(H830,""\(Event\)\s*([^,]+)"")),
  IF(V830="""","""",IF(V830=""CASWJ"",""General / No Specific Project"",""General - ""&amp;V830))
)"),"")</f>
        <v/>
      </c>
      <c r="W830" s="38"/>
      <c r="AB830" s="68" t="str">
        <f t="shared" si="6"/>
        <v/>
      </c>
      <c r="AP830" s="94"/>
    </row>
    <row r="831">
      <c r="R831" s="93"/>
      <c r="S831" s="68"/>
      <c r="T831" s="38" t="str">
        <f>IFERROR(__xludf.DUMMYFUNCTION("IFERROR(
  TRIM(REGEXEXTRACT(H831,""\(Event\)\s*([^,]+)"")),
  IF(V831="""","""",IF(V831=""CASWJ"",""General / No Specific Project"",""General - ""&amp;V831))
)"),"")</f>
        <v/>
      </c>
      <c r="W831" s="38"/>
      <c r="AB831" s="68" t="str">
        <f t="shared" si="6"/>
        <v/>
      </c>
      <c r="AP831" s="94"/>
    </row>
    <row r="832">
      <c r="R832" s="93"/>
      <c r="S832" s="68"/>
      <c r="T832" s="38" t="str">
        <f>IFERROR(__xludf.DUMMYFUNCTION("IFERROR(
  TRIM(REGEXEXTRACT(H832,""\(Event\)\s*([^,]+)"")),
  IF(V832="""","""",IF(V832=""CASWJ"",""General / No Specific Project"",""General - ""&amp;V832))
)"),"")</f>
        <v/>
      </c>
      <c r="W832" s="38"/>
      <c r="AB832" s="68" t="str">
        <f t="shared" si="6"/>
        <v/>
      </c>
      <c r="AP832" s="94"/>
    </row>
    <row r="833">
      <c r="R833" s="93"/>
      <c r="S833" s="68"/>
      <c r="T833" s="38" t="str">
        <f>IFERROR(__xludf.DUMMYFUNCTION("IFERROR(
  TRIM(REGEXEXTRACT(H833,""\(Event\)\s*([^,]+)"")),
  IF(V833="""","""",IF(V833=""CASWJ"",""General / No Specific Project"",""General - ""&amp;V833))
)"),"")</f>
        <v/>
      </c>
      <c r="W833" s="38"/>
      <c r="AB833" s="68" t="str">
        <f t="shared" si="6"/>
        <v/>
      </c>
      <c r="AP833" s="94"/>
    </row>
    <row r="834">
      <c r="R834" s="93"/>
      <c r="S834" s="68"/>
      <c r="T834" s="38" t="str">
        <f>IFERROR(__xludf.DUMMYFUNCTION("IFERROR(
  TRIM(REGEXEXTRACT(H834,""\(Event\)\s*([^,]+)"")),
  IF(V834="""","""",IF(V834=""CASWJ"",""General / No Specific Project"",""General - ""&amp;V834))
)"),"")</f>
        <v/>
      </c>
      <c r="W834" s="38"/>
      <c r="AB834" s="68" t="str">
        <f t="shared" si="6"/>
        <v/>
      </c>
      <c r="AP834" s="94"/>
    </row>
    <row r="835">
      <c r="R835" s="93"/>
      <c r="S835" s="68"/>
      <c r="T835" s="38" t="str">
        <f>IFERROR(__xludf.DUMMYFUNCTION("IFERROR(
  TRIM(REGEXEXTRACT(H835,""\(Event\)\s*([^,]+)"")),
  IF(V835="""","""",IF(V835=""CASWJ"",""General / No Specific Project"",""General - ""&amp;V835))
)"),"")</f>
        <v/>
      </c>
      <c r="W835" s="38"/>
      <c r="AB835" s="68" t="str">
        <f t="shared" si="6"/>
        <v/>
      </c>
      <c r="AP835" s="94"/>
    </row>
    <row r="836">
      <c r="R836" s="93"/>
      <c r="S836" s="68"/>
      <c r="T836" s="38" t="str">
        <f>IFERROR(__xludf.DUMMYFUNCTION("IFERROR(
  TRIM(REGEXEXTRACT(H836,""\(Event\)\s*([^,]+)"")),
  IF(V836="""","""",IF(V836=""CASWJ"",""General / No Specific Project"",""General - ""&amp;V836))
)"),"")</f>
        <v/>
      </c>
      <c r="W836" s="38"/>
      <c r="AB836" s="68" t="str">
        <f t="shared" si="6"/>
        <v/>
      </c>
      <c r="AP836" s="94"/>
    </row>
    <row r="837">
      <c r="R837" s="93"/>
      <c r="S837" s="68"/>
      <c r="T837" s="38" t="str">
        <f>IFERROR(__xludf.DUMMYFUNCTION("IFERROR(
  TRIM(REGEXEXTRACT(H837,""\(Event\)\s*([^,]+)"")),
  IF(V837="""","""",IF(V837=""CASWJ"",""General / No Specific Project"",""General - ""&amp;V837))
)"),"")</f>
        <v/>
      </c>
      <c r="W837" s="38"/>
      <c r="AB837" s="68" t="str">
        <f t="shared" si="6"/>
        <v/>
      </c>
      <c r="AP837" s="94"/>
    </row>
    <row r="838">
      <c r="R838" s="93"/>
      <c r="S838" s="68"/>
      <c r="T838" s="38" t="str">
        <f>IFERROR(__xludf.DUMMYFUNCTION("IFERROR(
  TRIM(REGEXEXTRACT(H838,""\(Event\)\s*([^,]+)"")),
  IF(V838="""","""",IF(V838=""CASWJ"",""General / No Specific Project"",""General - ""&amp;V838))
)"),"")</f>
        <v/>
      </c>
      <c r="W838" s="38"/>
      <c r="AB838" s="68" t="str">
        <f t="shared" si="6"/>
        <v/>
      </c>
      <c r="AP838" s="94"/>
    </row>
    <row r="839">
      <c r="R839" s="93"/>
      <c r="S839" s="68"/>
      <c r="T839" s="38" t="str">
        <f>IFERROR(__xludf.DUMMYFUNCTION("IFERROR(
  TRIM(REGEXEXTRACT(H839,""\(Event\)\s*([^,]+)"")),
  IF(V839="""","""",IF(V839=""CASWJ"",""General / No Specific Project"",""General - ""&amp;V839))
)"),"")</f>
        <v/>
      </c>
      <c r="W839" s="38"/>
      <c r="AB839" s="68" t="str">
        <f t="shared" si="6"/>
        <v/>
      </c>
      <c r="AP839" s="94"/>
    </row>
    <row r="840">
      <c r="R840" s="93"/>
      <c r="S840" s="68"/>
      <c r="T840" s="38" t="str">
        <f>IFERROR(__xludf.DUMMYFUNCTION("IFERROR(
  TRIM(REGEXEXTRACT(H840,""\(Event\)\s*([^,]+)"")),
  IF(V840="""","""",IF(V840=""CASWJ"",""General / No Specific Project"",""General - ""&amp;V840))
)"),"")</f>
        <v/>
      </c>
      <c r="W840" s="38"/>
      <c r="AB840" s="68" t="str">
        <f t="shared" si="6"/>
        <v/>
      </c>
      <c r="AP840" s="94"/>
    </row>
    <row r="841">
      <c r="R841" s="93"/>
      <c r="S841" s="68"/>
      <c r="T841" s="38" t="str">
        <f>IFERROR(__xludf.DUMMYFUNCTION("IFERROR(
  TRIM(REGEXEXTRACT(H841,""\(Event\)\s*([^,]+)"")),
  IF(V841="""","""",IF(V841=""CASWJ"",""General / No Specific Project"",""General - ""&amp;V841))
)"),"")</f>
        <v/>
      </c>
      <c r="W841" s="38"/>
      <c r="AB841" s="68" t="str">
        <f t="shared" si="6"/>
        <v/>
      </c>
      <c r="AP841" s="94"/>
    </row>
    <row r="842">
      <c r="R842" s="93"/>
      <c r="S842" s="68"/>
      <c r="T842" s="38" t="str">
        <f>IFERROR(__xludf.DUMMYFUNCTION("IFERROR(
  TRIM(REGEXEXTRACT(H842,""\(Event\)\s*([^,]+)"")),
  IF(V842="""","""",IF(V842=""CASWJ"",""General / No Specific Project"",""General - ""&amp;V842))
)"),"")</f>
        <v/>
      </c>
      <c r="W842" s="38"/>
      <c r="AB842" s="68" t="str">
        <f t="shared" si="6"/>
        <v/>
      </c>
      <c r="AP842" s="94"/>
    </row>
    <row r="843">
      <c r="R843" s="93"/>
      <c r="S843" s="68"/>
      <c r="T843" s="38" t="str">
        <f>IFERROR(__xludf.DUMMYFUNCTION("IFERROR(
  TRIM(REGEXEXTRACT(H843,""\(Event\)\s*([^,]+)"")),
  IF(V843="""","""",IF(V843=""CASWJ"",""General / No Specific Project"",""General - ""&amp;V843))
)"),"")</f>
        <v/>
      </c>
      <c r="W843" s="38"/>
      <c r="AB843" s="68" t="str">
        <f t="shared" si="6"/>
        <v/>
      </c>
      <c r="AP843" s="94"/>
    </row>
    <row r="844">
      <c r="R844" s="93"/>
      <c r="S844" s="68"/>
      <c r="T844" s="38" t="str">
        <f>IFERROR(__xludf.DUMMYFUNCTION("IFERROR(
  TRIM(REGEXEXTRACT(H844,""\(Event\)\s*([^,]+)"")),
  IF(V844="""","""",IF(V844=""CASWJ"",""General / No Specific Project"",""General - ""&amp;V844))
)"),"")</f>
        <v/>
      </c>
      <c r="W844" s="38"/>
      <c r="AB844" s="68" t="str">
        <f t="shared" si="6"/>
        <v/>
      </c>
      <c r="AP844" s="94"/>
    </row>
    <row r="845">
      <c r="R845" s="93"/>
      <c r="S845" s="68"/>
      <c r="T845" s="38" t="str">
        <f>IFERROR(__xludf.DUMMYFUNCTION("IFERROR(
  TRIM(REGEXEXTRACT(H845,""\(Event\)\s*([^,]+)"")),
  IF(V845="""","""",IF(V845=""CASWJ"",""General / No Specific Project"",""General - ""&amp;V845))
)"),"")</f>
        <v/>
      </c>
      <c r="W845" s="38"/>
      <c r="AB845" s="68" t="str">
        <f t="shared" si="6"/>
        <v/>
      </c>
      <c r="AP845" s="94"/>
    </row>
    <row r="846">
      <c r="R846" s="93"/>
      <c r="S846" s="68"/>
      <c r="T846" s="38" t="str">
        <f>IFERROR(__xludf.DUMMYFUNCTION("IFERROR(
  TRIM(REGEXEXTRACT(H846,""\(Event\)\s*([^,]+)"")),
  IF(V846="""","""",IF(V846=""CASWJ"",""General / No Specific Project"",""General - ""&amp;V846))
)"),"")</f>
        <v/>
      </c>
      <c r="W846" s="38"/>
      <c r="AB846" s="68" t="str">
        <f t="shared" si="6"/>
        <v/>
      </c>
      <c r="AP846" s="94"/>
    </row>
    <row r="847">
      <c r="R847" s="93"/>
      <c r="S847" s="68"/>
      <c r="T847" s="38" t="str">
        <f>IFERROR(__xludf.DUMMYFUNCTION("IFERROR(
  TRIM(REGEXEXTRACT(H847,""\(Event\)\s*([^,]+)"")),
  IF(V847="""","""",IF(V847=""CASWJ"",""General / No Specific Project"",""General - ""&amp;V847))
)"),"")</f>
        <v/>
      </c>
      <c r="W847" s="38"/>
      <c r="AB847" s="68" t="str">
        <f t="shared" si="6"/>
        <v/>
      </c>
      <c r="AP847" s="94"/>
    </row>
    <row r="848">
      <c r="R848" s="93"/>
      <c r="S848" s="68"/>
      <c r="T848" s="38" t="str">
        <f>IFERROR(__xludf.DUMMYFUNCTION("IFERROR(
  TRIM(REGEXEXTRACT(H848,""\(Event\)\s*([^,]+)"")),
  IF(V848="""","""",IF(V848=""CASWJ"",""General / No Specific Project"",""General - ""&amp;V848))
)"),"")</f>
        <v/>
      </c>
      <c r="W848" s="38"/>
      <c r="AB848" s="68" t="str">
        <f t="shared" si="6"/>
        <v/>
      </c>
      <c r="AP848" s="94"/>
    </row>
    <row r="849">
      <c r="R849" s="93"/>
      <c r="S849" s="68"/>
      <c r="T849" s="38" t="str">
        <f>IFERROR(__xludf.DUMMYFUNCTION("IFERROR(
  TRIM(REGEXEXTRACT(H849,""\(Event\)\s*([^,]+)"")),
  IF(V849="""","""",IF(V849=""CASWJ"",""General / No Specific Project"",""General - ""&amp;V849))
)"),"")</f>
        <v/>
      </c>
      <c r="W849" s="38"/>
      <c r="AB849" s="68" t="str">
        <f t="shared" si="6"/>
        <v/>
      </c>
      <c r="AP849" s="94"/>
    </row>
    <row r="850">
      <c r="R850" s="93"/>
      <c r="S850" s="68"/>
      <c r="T850" s="38" t="str">
        <f>IFERROR(__xludf.DUMMYFUNCTION("IFERROR(
  TRIM(REGEXEXTRACT(H850,""\(Event\)\s*([^,]+)"")),
  IF(V850="""","""",IF(V850=""CASWJ"",""General / No Specific Project"",""General - ""&amp;V850))
)"),"")</f>
        <v/>
      </c>
      <c r="W850" s="38"/>
      <c r="AB850" s="68" t="str">
        <f t="shared" si="6"/>
        <v/>
      </c>
      <c r="AP850" s="94"/>
    </row>
    <row r="851">
      <c r="R851" s="93"/>
      <c r="S851" s="68"/>
      <c r="T851" s="38" t="str">
        <f>IFERROR(__xludf.DUMMYFUNCTION("IFERROR(
  TRIM(REGEXEXTRACT(H851,""\(Event\)\s*([^,]+)"")),
  IF(V851="""","""",IF(V851=""CASWJ"",""General / No Specific Project"",""General - ""&amp;V851))
)"),"")</f>
        <v/>
      </c>
      <c r="W851" s="38"/>
      <c r="AB851" s="68" t="str">
        <f t="shared" si="6"/>
        <v/>
      </c>
      <c r="AP851" s="94"/>
    </row>
    <row r="852">
      <c r="R852" s="93"/>
      <c r="S852" s="68"/>
      <c r="T852" s="38" t="str">
        <f>IFERROR(__xludf.DUMMYFUNCTION("IFERROR(
  TRIM(REGEXEXTRACT(H852,""\(Event\)\s*([^,]+)"")),
  IF(V852="""","""",IF(V852=""CASWJ"",""General / No Specific Project"",""General - ""&amp;V852))
)"),"")</f>
        <v/>
      </c>
      <c r="W852" s="38"/>
      <c r="AB852" s="68" t="str">
        <f t="shared" si="6"/>
        <v/>
      </c>
      <c r="AP852" s="94"/>
    </row>
    <row r="853">
      <c r="R853" s="93"/>
      <c r="S853" s="68"/>
      <c r="T853" s="38" t="str">
        <f>IFERROR(__xludf.DUMMYFUNCTION("IFERROR(
  TRIM(REGEXEXTRACT(H853,""\(Event\)\s*([^,]+)"")),
  IF(V853="""","""",IF(V853=""CASWJ"",""General / No Specific Project"",""General - ""&amp;V853))
)"),"")</f>
        <v/>
      </c>
      <c r="W853" s="38"/>
      <c r="AB853" s="68" t="str">
        <f t="shared" si="6"/>
        <v/>
      </c>
      <c r="AP853" s="94"/>
    </row>
    <row r="854">
      <c r="R854" s="93"/>
      <c r="S854" s="68"/>
      <c r="T854" s="38" t="str">
        <f>IFERROR(__xludf.DUMMYFUNCTION("IFERROR(
  TRIM(REGEXEXTRACT(H854,""\(Event\)\s*([^,]+)"")),
  IF(V854="""","""",IF(V854=""CASWJ"",""General / No Specific Project"",""General - ""&amp;V854))
)"),"")</f>
        <v/>
      </c>
      <c r="W854" s="38"/>
      <c r="AB854" s="68" t="str">
        <f t="shared" si="6"/>
        <v/>
      </c>
      <c r="AP854" s="94"/>
    </row>
    <row r="855">
      <c r="R855" s="93"/>
      <c r="S855" s="68"/>
      <c r="T855" s="38" t="str">
        <f>IFERROR(__xludf.DUMMYFUNCTION("IFERROR(
  TRIM(REGEXEXTRACT(H855,""\(Event\)\s*([^,]+)"")),
  IF(V855="""","""",IF(V855=""CASWJ"",""General / No Specific Project"",""General - ""&amp;V855))
)"),"")</f>
        <v/>
      </c>
      <c r="W855" s="38"/>
      <c r="AB855" s="68" t="str">
        <f t="shared" si="6"/>
        <v/>
      </c>
      <c r="AP855" s="94"/>
    </row>
    <row r="856">
      <c r="R856" s="93"/>
      <c r="S856" s="68"/>
      <c r="T856" s="38" t="str">
        <f>IFERROR(__xludf.DUMMYFUNCTION("IFERROR(
  TRIM(REGEXEXTRACT(H856,""\(Event\)\s*([^,]+)"")),
  IF(V856="""","""",IF(V856=""CASWJ"",""General / No Specific Project"",""General - ""&amp;V856))
)"),"")</f>
        <v/>
      </c>
      <c r="W856" s="38"/>
      <c r="AB856" s="68" t="str">
        <f t="shared" si="6"/>
        <v/>
      </c>
      <c r="AP856" s="94"/>
    </row>
    <row r="857">
      <c r="R857" s="93"/>
      <c r="S857" s="68"/>
      <c r="T857" s="38" t="str">
        <f>IFERROR(__xludf.DUMMYFUNCTION("IFERROR(
  TRIM(REGEXEXTRACT(H857,""\(Event\)\s*([^,]+)"")),
  IF(V857="""","""",IF(V857=""CASWJ"",""General / No Specific Project"",""General - ""&amp;V857))
)"),"")</f>
        <v/>
      </c>
      <c r="W857" s="38"/>
      <c r="AB857" s="68" t="str">
        <f t="shared" si="6"/>
        <v/>
      </c>
      <c r="AP857" s="94"/>
    </row>
    <row r="858">
      <c r="R858" s="93"/>
      <c r="S858" s="68"/>
      <c r="T858" s="38" t="str">
        <f>IFERROR(__xludf.DUMMYFUNCTION("IFERROR(
  TRIM(REGEXEXTRACT(H858,""\(Event\)\s*([^,]+)"")),
  IF(V858="""","""",IF(V858=""CASWJ"",""General / No Specific Project"",""General - ""&amp;V858))
)"),"")</f>
        <v/>
      </c>
      <c r="W858" s="38"/>
      <c r="AB858" s="68" t="str">
        <f t="shared" si="6"/>
        <v/>
      </c>
      <c r="AP858" s="94"/>
    </row>
    <row r="859">
      <c r="R859" s="93"/>
      <c r="S859" s="68"/>
      <c r="T859" s="38" t="str">
        <f>IFERROR(__xludf.DUMMYFUNCTION("IFERROR(
  TRIM(REGEXEXTRACT(H859,""\(Event\)\s*([^,]+)"")),
  IF(V859="""","""",IF(V859=""CASWJ"",""General / No Specific Project"",""General - ""&amp;V859))
)"),"")</f>
        <v/>
      </c>
      <c r="W859" s="38"/>
      <c r="AB859" s="68" t="str">
        <f t="shared" si="6"/>
        <v/>
      </c>
      <c r="AP859" s="94"/>
    </row>
    <row r="860">
      <c r="R860" s="93"/>
      <c r="S860" s="68"/>
      <c r="T860" s="38" t="str">
        <f>IFERROR(__xludf.DUMMYFUNCTION("IFERROR(
  TRIM(REGEXEXTRACT(H860,""\(Event\)\s*([^,]+)"")),
  IF(V860="""","""",IF(V860=""CASWJ"",""General / No Specific Project"",""General - ""&amp;V860))
)"),"")</f>
        <v/>
      </c>
      <c r="W860" s="38"/>
      <c r="AB860" s="68" t="str">
        <f t="shared" si="6"/>
        <v/>
      </c>
      <c r="AP860" s="94"/>
    </row>
    <row r="861">
      <c r="R861" s="93"/>
      <c r="S861" s="68"/>
      <c r="T861" s="38" t="str">
        <f>IFERROR(__xludf.DUMMYFUNCTION("IFERROR(
  TRIM(REGEXEXTRACT(H861,""\(Event\)\s*([^,]+)"")),
  IF(V861="""","""",IF(V861=""CASWJ"",""General / No Specific Project"",""General - ""&amp;V861))
)"),"")</f>
        <v/>
      </c>
      <c r="W861" s="38"/>
      <c r="AB861" s="68" t="str">
        <f t="shared" si="6"/>
        <v/>
      </c>
      <c r="AP861" s="94"/>
    </row>
    <row r="862">
      <c r="R862" s="93"/>
      <c r="S862" s="68"/>
      <c r="T862" s="38" t="str">
        <f>IFERROR(__xludf.DUMMYFUNCTION("IFERROR(
  TRIM(REGEXEXTRACT(H862,""\(Event\)\s*([^,]+)"")),
  IF(V862="""","""",IF(V862=""CASWJ"",""General / No Specific Project"",""General - ""&amp;V862))
)"),"")</f>
        <v/>
      </c>
      <c r="W862" s="38"/>
      <c r="AB862" s="68" t="str">
        <f t="shared" si="6"/>
        <v/>
      </c>
      <c r="AP862" s="94"/>
    </row>
    <row r="863">
      <c r="R863" s="93"/>
      <c r="S863" s="68"/>
      <c r="T863" s="38" t="str">
        <f>IFERROR(__xludf.DUMMYFUNCTION("IFERROR(
  TRIM(REGEXEXTRACT(H863,""\(Event\)\s*([^,]+)"")),
  IF(V863="""","""",IF(V863=""CASWJ"",""General / No Specific Project"",""General - ""&amp;V863))
)"),"")</f>
        <v/>
      </c>
      <c r="W863" s="38"/>
      <c r="AB863" s="68" t="str">
        <f t="shared" si="6"/>
        <v/>
      </c>
      <c r="AP863" s="94"/>
    </row>
    <row r="864">
      <c r="R864" s="93"/>
      <c r="S864" s="68"/>
      <c r="T864" s="38" t="str">
        <f>IFERROR(__xludf.DUMMYFUNCTION("IFERROR(
  TRIM(REGEXEXTRACT(H864,""\(Event\)\s*([^,]+)"")),
  IF(V864="""","""",IF(V864=""CASWJ"",""General / No Specific Project"",""General - ""&amp;V864))
)"),"")</f>
        <v/>
      </c>
      <c r="W864" s="38"/>
      <c r="AB864" s="68" t="str">
        <f t="shared" si="6"/>
        <v/>
      </c>
      <c r="AP864" s="94"/>
    </row>
    <row r="865">
      <c r="R865" s="93"/>
      <c r="S865" s="68"/>
      <c r="T865" s="38" t="str">
        <f>IFERROR(__xludf.DUMMYFUNCTION("IFERROR(
  TRIM(REGEXEXTRACT(H865,""\(Event\)\s*([^,]+)"")),
  IF(V865="""","""",IF(V865=""CASWJ"",""General / No Specific Project"",""General - ""&amp;V865))
)"),"")</f>
        <v/>
      </c>
      <c r="W865" s="38"/>
      <c r="AB865" s="68" t="str">
        <f t="shared" si="6"/>
        <v/>
      </c>
      <c r="AP865" s="94"/>
    </row>
    <row r="866">
      <c r="R866" s="93"/>
      <c r="S866" s="68"/>
      <c r="T866" s="38" t="str">
        <f>IFERROR(__xludf.DUMMYFUNCTION("IFERROR(
  TRIM(REGEXEXTRACT(H866,""\(Event\)\s*([^,]+)"")),
  IF(V866="""","""",IF(V866=""CASWJ"",""General / No Specific Project"",""General - ""&amp;V866))
)"),"")</f>
        <v/>
      </c>
      <c r="W866" s="38"/>
      <c r="AB866" s="68" t="str">
        <f t="shared" si="6"/>
        <v/>
      </c>
      <c r="AP866" s="94"/>
    </row>
    <row r="867">
      <c r="R867" s="93"/>
      <c r="S867" s="68"/>
      <c r="T867" s="38" t="str">
        <f>IFERROR(__xludf.DUMMYFUNCTION("IFERROR(
  TRIM(REGEXEXTRACT(H867,""\(Event\)\s*([^,]+)"")),
  IF(V867="""","""",IF(V867=""CASWJ"",""General / No Specific Project"",""General - ""&amp;V867))
)"),"")</f>
        <v/>
      </c>
      <c r="W867" s="38"/>
      <c r="AB867" s="68" t="str">
        <f t="shared" si="6"/>
        <v/>
      </c>
      <c r="AP867" s="94"/>
    </row>
    <row r="868">
      <c r="R868" s="93"/>
      <c r="S868" s="68"/>
      <c r="T868" s="38" t="str">
        <f>IFERROR(__xludf.DUMMYFUNCTION("IFERROR(
  TRIM(REGEXEXTRACT(H868,""\(Event\)\s*([^,]+)"")),
  IF(V868="""","""",IF(V868=""CASWJ"",""General / No Specific Project"",""General - ""&amp;V868))
)"),"")</f>
        <v/>
      </c>
      <c r="W868" s="38"/>
      <c r="AB868" s="68" t="str">
        <f t="shared" si="6"/>
        <v/>
      </c>
      <c r="AP868" s="94"/>
    </row>
    <row r="869">
      <c r="R869" s="93"/>
      <c r="S869" s="68"/>
      <c r="T869" s="38" t="str">
        <f>IFERROR(__xludf.DUMMYFUNCTION("IFERROR(
  TRIM(REGEXEXTRACT(H869,""\(Event\)\s*([^,]+)"")),
  IF(V869="""","""",IF(V869=""CASWJ"",""General / No Specific Project"",""General - ""&amp;V869))
)"),"")</f>
        <v/>
      </c>
      <c r="W869" s="38"/>
      <c r="AB869" s="68" t="str">
        <f t="shared" si="6"/>
        <v/>
      </c>
      <c r="AP869" s="94"/>
    </row>
    <row r="870">
      <c r="R870" s="93"/>
      <c r="S870" s="68"/>
      <c r="T870" s="38" t="str">
        <f>IFERROR(__xludf.DUMMYFUNCTION("IFERROR(
  TRIM(REGEXEXTRACT(H870,""\(Event\)\s*([^,]+)"")),
  IF(V870="""","""",IF(V870=""CASWJ"",""General / No Specific Project"",""General - ""&amp;V870))
)"),"")</f>
        <v/>
      </c>
      <c r="W870" s="38"/>
      <c r="AB870" s="68" t="str">
        <f t="shared" si="6"/>
        <v/>
      </c>
      <c r="AP870" s="94"/>
    </row>
    <row r="871">
      <c r="R871" s="93"/>
      <c r="S871" s="68"/>
      <c r="T871" s="38" t="str">
        <f>IFERROR(__xludf.DUMMYFUNCTION("IFERROR(
  TRIM(REGEXEXTRACT(H871,""\(Event\)\s*([^,]+)"")),
  IF(V871="""","""",IF(V871=""CASWJ"",""General / No Specific Project"",""General - ""&amp;V871))
)"),"")</f>
        <v/>
      </c>
      <c r="W871" s="38"/>
      <c r="AB871" s="68" t="str">
        <f t="shared" si="6"/>
        <v/>
      </c>
      <c r="AP871" s="94"/>
    </row>
    <row r="872">
      <c r="R872" s="93"/>
      <c r="S872" s="68"/>
      <c r="T872" s="38" t="str">
        <f>IFERROR(__xludf.DUMMYFUNCTION("IFERROR(
  TRIM(REGEXEXTRACT(H872,""\(Event\)\s*([^,]+)"")),
  IF(V872="""","""",IF(V872=""CASWJ"",""General / No Specific Project"",""General - ""&amp;V872))
)"),"")</f>
        <v/>
      </c>
      <c r="W872" s="38"/>
      <c r="AB872" s="68" t="str">
        <f t="shared" si="6"/>
        <v/>
      </c>
      <c r="AP872" s="94"/>
    </row>
    <row r="873">
      <c r="R873" s="93"/>
      <c r="S873" s="68"/>
      <c r="T873" s="38" t="str">
        <f>IFERROR(__xludf.DUMMYFUNCTION("IFERROR(
  TRIM(REGEXEXTRACT(H873,""\(Event\)\s*([^,]+)"")),
  IF(V873="""","""",IF(V873=""CASWJ"",""General / No Specific Project"",""General - ""&amp;V873))
)"),"")</f>
        <v/>
      </c>
      <c r="W873" s="38"/>
      <c r="AB873" s="68" t="str">
        <f t="shared" si="6"/>
        <v/>
      </c>
      <c r="AP873" s="94"/>
    </row>
    <row r="874">
      <c r="R874" s="93"/>
      <c r="S874" s="68"/>
      <c r="T874" s="38" t="str">
        <f>IFERROR(__xludf.DUMMYFUNCTION("IFERROR(
  TRIM(REGEXEXTRACT(H874,""\(Event\)\s*([^,]+)"")),
  IF(V874="""","""",IF(V874=""CASWJ"",""General / No Specific Project"",""General - ""&amp;V874))
)"),"")</f>
        <v/>
      </c>
      <c r="W874" s="38"/>
      <c r="AB874" s="68" t="str">
        <f t="shared" si="6"/>
        <v/>
      </c>
      <c r="AP874" s="94"/>
    </row>
    <row r="875">
      <c r="R875" s="93"/>
      <c r="S875" s="68"/>
      <c r="T875" s="38" t="str">
        <f>IFERROR(__xludf.DUMMYFUNCTION("IFERROR(
  TRIM(REGEXEXTRACT(H875,""\(Event\)\s*([^,]+)"")),
  IF(V875="""","""",IF(V875=""CASWJ"",""General / No Specific Project"",""General - ""&amp;V875))
)"),"")</f>
        <v/>
      </c>
      <c r="W875" s="38"/>
      <c r="AB875" s="68" t="str">
        <f t="shared" si="6"/>
        <v/>
      </c>
      <c r="AP875" s="94"/>
    </row>
    <row r="876">
      <c r="R876" s="93"/>
      <c r="S876" s="68"/>
      <c r="T876" s="38" t="str">
        <f>IFERROR(__xludf.DUMMYFUNCTION("IFERROR(
  TRIM(REGEXEXTRACT(H876,""\(Event\)\s*([^,]+)"")),
  IF(V876="""","""",IF(V876=""CASWJ"",""General / No Specific Project"",""General - ""&amp;V876))
)"),"")</f>
        <v/>
      </c>
      <c r="W876" s="38"/>
      <c r="AB876" s="68" t="str">
        <f t="shared" si="6"/>
        <v/>
      </c>
      <c r="AP876" s="94"/>
    </row>
    <row r="877">
      <c r="R877" s="93"/>
      <c r="S877" s="68"/>
      <c r="T877" s="38" t="str">
        <f>IFERROR(__xludf.DUMMYFUNCTION("IFERROR(
  TRIM(REGEXEXTRACT(H877,""\(Event\)\s*([^,]+)"")),
  IF(V877="""","""",IF(V877=""CASWJ"",""General / No Specific Project"",""General - ""&amp;V877))
)"),"")</f>
        <v/>
      </c>
      <c r="W877" s="38"/>
      <c r="AB877" s="68" t="str">
        <f t="shared" si="6"/>
        <v/>
      </c>
      <c r="AP877" s="94"/>
    </row>
    <row r="878">
      <c r="R878" s="93"/>
      <c r="S878" s="68"/>
      <c r="T878" s="38" t="str">
        <f>IFERROR(__xludf.DUMMYFUNCTION("IFERROR(
  TRIM(REGEXEXTRACT(H878,""\(Event\)\s*([^,]+)"")),
  IF(V878="""","""",IF(V878=""CASWJ"",""General / No Specific Project"",""General - ""&amp;V878))
)"),"")</f>
        <v/>
      </c>
      <c r="W878" s="38"/>
      <c r="AB878" s="68" t="str">
        <f t="shared" si="6"/>
        <v/>
      </c>
      <c r="AP878" s="94"/>
    </row>
    <row r="879">
      <c r="R879" s="93"/>
      <c r="S879" s="68"/>
      <c r="T879" s="38" t="str">
        <f>IFERROR(__xludf.DUMMYFUNCTION("IFERROR(
  TRIM(REGEXEXTRACT(H879,""\(Event\)\s*([^,]+)"")),
  IF(V879="""","""",IF(V879=""CASWJ"",""General / No Specific Project"",""General - ""&amp;V879))
)"),"")</f>
        <v/>
      </c>
      <c r="W879" s="38"/>
      <c r="AB879" s="68" t="str">
        <f t="shared" si="6"/>
        <v/>
      </c>
      <c r="AP879" s="94"/>
    </row>
    <row r="880">
      <c r="R880" s="93"/>
      <c r="S880" s="68"/>
      <c r="T880" s="38" t="str">
        <f>IFERROR(__xludf.DUMMYFUNCTION("IFERROR(
  TRIM(REGEXEXTRACT(H880,""\(Event\)\s*([^,]+)"")),
  IF(V880="""","""",IF(V880=""CASWJ"",""General / No Specific Project"",""General - ""&amp;V880))
)"),"")</f>
        <v/>
      </c>
      <c r="W880" s="38"/>
      <c r="AB880" s="68" t="str">
        <f t="shared" si="6"/>
        <v/>
      </c>
      <c r="AP880" s="94"/>
    </row>
    <row r="881">
      <c r="R881" s="93"/>
      <c r="S881" s="68"/>
      <c r="T881" s="38" t="str">
        <f>IFERROR(__xludf.DUMMYFUNCTION("IFERROR(
  TRIM(REGEXEXTRACT(H881,""\(Event\)\s*([^,]+)"")),
  IF(V881="""","""",IF(V881=""CASWJ"",""General / No Specific Project"",""General - ""&amp;V881))
)"),"")</f>
        <v/>
      </c>
      <c r="W881" s="38"/>
      <c r="AB881" s="68" t="str">
        <f t="shared" si="6"/>
        <v/>
      </c>
      <c r="AP881" s="94"/>
    </row>
    <row r="882">
      <c r="R882" s="93"/>
      <c r="S882" s="68"/>
      <c r="T882" s="38" t="str">
        <f>IFERROR(__xludf.DUMMYFUNCTION("IFERROR(
  TRIM(REGEXEXTRACT(H882,""\(Event\)\s*([^,]+)"")),
  IF(V882="""","""",IF(V882=""CASWJ"",""General / No Specific Project"",""General - ""&amp;V882))
)"),"")</f>
        <v/>
      </c>
      <c r="W882" s="38"/>
      <c r="AB882" s="68" t="str">
        <f t="shared" si="6"/>
        <v/>
      </c>
      <c r="AP882" s="94"/>
    </row>
    <row r="883">
      <c r="R883" s="93"/>
      <c r="S883" s="68"/>
      <c r="T883" s="38" t="str">
        <f>IFERROR(__xludf.DUMMYFUNCTION("IFERROR(
  TRIM(REGEXEXTRACT(H883,""\(Event\)\s*([^,]+)"")),
  IF(V883="""","""",IF(V883=""CASWJ"",""General / No Specific Project"",""General - ""&amp;V883))
)"),"")</f>
        <v/>
      </c>
      <c r="W883" s="38"/>
      <c r="AB883" s="68" t="str">
        <f t="shared" si="6"/>
        <v/>
      </c>
      <c r="AP883" s="94"/>
    </row>
    <row r="884">
      <c r="R884" s="93"/>
      <c r="S884" s="68"/>
      <c r="T884" s="38" t="str">
        <f>IFERROR(__xludf.DUMMYFUNCTION("IFERROR(
  TRIM(REGEXEXTRACT(H884,""\(Event\)\s*([^,]+)"")),
  IF(V884="""","""",IF(V884=""CASWJ"",""General / No Specific Project"",""General - ""&amp;V884))
)"),"")</f>
        <v/>
      </c>
      <c r="W884" s="38"/>
      <c r="AB884" s="68" t="str">
        <f t="shared" si="6"/>
        <v/>
      </c>
      <c r="AP884" s="94"/>
    </row>
    <row r="885">
      <c r="R885" s="93"/>
      <c r="S885" s="68"/>
      <c r="T885" s="38" t="str">
        <f>IFERROR(__xludf.DUMMYFUNCTION("IFERROR(
  TRIM(REGEXEXTRACT(H885,""\(Event\)\s*([^,]+)"")),
  IF(V885="""","""",IF(V885=""CASWJ"",""General / No Specific Project"",""General - ""&amp;V885))
)"),"")</f>
        <v/>
      </c>
      <c r="W885" s="38"/>
      <c r="AB885" s="68" t="str">
        <f t="shared" si="6"/>
        <v/>
      </c>
      <c r="AP885" s="94"/>
    </row>
    <row r="886">
      <c r="R886" s="93"/>
      <c r="S886" s="68"/>
      <c r="T886" s="38" t="str">
        <f>IFERROR(__xludf.DUMMYFUNCTION("IFERROR(
  TRIM(REGEXEXTRACT(H886,""\(Event\)\s*([^,]+)"")),
  IF(V886="""","""",IF(V886=""CASWJ"",""General / No Specific Project"",""General - ""&amp;V886))
)"),"")</f>
        <v/>
      </c>
      <c r="W886" s="38"/>
      <c r="AB886" s="68" t="str">
        <f t="shared" si="6"/>
        <v/>
      </c>
      <c r="AP886" s="94"/>
    </row>
    <row r="887">
      <c r="R887" s="93"/>
      <c r="S887" s="68"/>
      <c r="T887" s="38" t="str">
        <f>IFERROR(__xludf.DUMMYFUNCTION("IFERROR(
  TRIM(REGEXEXTRACT(H887,""\(Event\)\s*([^,]+)"")),
  IF(V887="""","""",IF(V887=""CASWJ"",""General / No Specific Project"",""General - ""&amp;V887))
)"),"")</f>
        <v/>
      </c>
      <c r="W887" s="38"/>
      <c r="AB887" s="68" t="str">
        <f t="shared" si="6"/>
        <v/>
      </c>
      <c r="AP887" s="94"/>
    </row>
    <row r="888">
      <c r="R888" s="93"/>
      <c r="S888" s="68"/>
      <c r="T888" s="38" t="str">
        <f>IFERROR(__xludf.DUMMYFUNCTION("IFERROR(
  TRIM(REGEXEXTRACT(H888,""\(Event\)\s*([^,]+)"")),
  IF(V888="""","""",IF(V888=""CASWJ"",""General / No Specific Project"",""General - ""&amp;V888))
)"),"")</f>
        <v/>
      </c>
      <c r="W888" s="38"/>
      <c r="AB888" s="68" t="str">
        <f t="shared" si="6"/>
        <v/>
      </c>
      <c r="AP888" s="94"/>
    </row>
    <row r="889">
      <c r="R889" s="93"/>
      <c r="S889" s="68"/>
      <c r="T889" s="38" t="str">
        <f>IFERROR(__xludf.DUMMYFUNCTION("IFERROR(
  TRIM(REGEXEXTRACT(H889,""\(Event\)\s*([^,]+)"")),
  IF(V889="""","""",IF(V889=""CASWJ"",""General / No Specific Project"",""General - ""&amp;V889))
)"),"")</f>
        <v/>
      </c>
      <c r="W889" s="38"/>
      <c r="AB889" s="68" t="str">
        <f t="shared" si="6"/>
        <v/>
      </c>
      <c r="AP889" s="94"/>
    </row>
    <row r="890">
      <c r="R890" s="93"/>
      <c r="S890" s="68"/>
      <c r="T890" s="38" t="str">
        <f>IFERROR(__xludf.DUMMYFUNCTION("IFERROR(
  TRIM(REGEXEXTRACT(H890,""\(Event\)\s*([^,]+)"")),
  IF(V890="""","""",IF(V890=""CASWJ"",""General / No Specific Project"",""General - ""&amp;V890))
)"),"")</f>
        <v/>
      </c>
      <c r="W890" s="38"/>
      <c r="AB890" s="68" t="str">
        <f t="shared" si="6"/>
        <v/>
      </c>
      <c r="AP890" s="94"/>
    </row>
    <row r="891">
      <c r="R891" s="93"/>
      <c r="S891" s="68"/>
      <c r="T891" s="38" t="str">
        <f>IFERROR(__xludf.DUMMYFUNCTION("IFERROR(
  TRIM(REGEXEXTRACT(H891,""\(Event\)\s*([^,]+)"")),
  IF(V891="""","""",IF(V891=""CASWJ"",""General / No Specific Project"",""General - ""&amp;V891))
)"),"")</f>
        <v/>
      </c>
      <c r="W891" s="38"/>
      <c r="AB891" s="68" t="str">
        <f t="shared" si="6"/>
        <v/>
      </c>
      <c r="AP891" s="94"/>
    </row>
    <row r="892">
      <c r="R892" s="93"/>
      <c r="S892" s="68"/>
      <c r="T892" s="38" t="str">
        <f>IFERROR(__xludf.DUMMYFUNCTION("IFERROR(
  TRIM(REGEXEXTRACT(H892,""\(Event\)\s*([^,]+)"")),
  IF(V892="""","""",IF(V892=""CASWJ"",""General / No Specific Project"",""General - ""&amp;V892))
)"),"")</f>
        <v/>
      </c>
      <c r="W892" s="38"/>
      <c r="AB892" s="68" t="str">
        <f t="shared" si="6"/>
        <v/>
      </c>
      <c r="AP892" s="94"/>
    </row>
    <row r="893">
      <c r="R893" s="93"/>
      <c r="S893" s="68"/>
      <c r="T893" s="38" t="str">
        <f>IFERROR(__xludf.DUMMYFUNCTION("IFERROR(
  TRIM(REGEXEXTRACT(H893,""\(Event\)\s*([^,]+)"")),
  IF(V893="""","""",IF(V893=""CASWJ"",""General / No Specific Project"",""General - ""&amp;V893))
)"),"")</f>
        <v/>
      </c>
      <c r="W893" s="38"/>
      <c r="AB893" s="68" t="str">
        <f t="shared" si="6"/>
        <v/>
      </c>
      <c r="AP893" s="94"/>
    </row>
    <row r="894">
      <c r="R894" s="93"/>
      <c r="S894" s="68"/>
      <c r="T894" s="38" t="str">
        <f>IFERROR(__xludf.DUMMYFUNCTION("IFERROR(
  TRIM(REGEXEXTRACT(H894,""\(Event\)\s*([^,]+)"")),
  IF(V894="""","""",IF(V894=""CASWJ"",""General / No Specific Project"",""General - ""&amp;V894))
)"),"")</f>
        <v/>
      </c>
      <c r="W894" s="38"/>
      <c r="AB894" s="68" t="str">
        <f t="shared" si="6"/>
        <v/>
      </c>
      <c r="AP894" s="94"/>
    </row>
    <row r="895">
      <c r="R895" s="93"/>
      <c r="S895" s="68"/>
      <c r="T895" s="38" t="str">
        <f>IFERROR(__xludf.DUMMYFUNCTION("IFERROR(
  TRIM(REGEXEXTRACT(H895,""\(Event\)\s*([^,]+)"")),
  IF(V895="""","""",IF(V895=""CASWJ"",""General / No Specific Project"",""General - ""&amp;V895))
)"),"")</f>
        <v/>
      </c>
      <c r="W895" s="38"/>
      <c r="AB895" s="68" t="str">
        <f t="shared" si="6"/>
        <v/>
      </c>
      <c r="AP895" s="94"/>
    </row>
    <row r="896">
      <c r="R896" s="93"/>
      <c r="S896" s="68"/>
      <c r="T896" s="38" t="str">
        <f>IFERROR(__xludf.DUMMYFUNCTION("IFERROR(
  TRIM(REGEXEXTRACT(H896,""\(Event\)\s*([^,]+)"")),
  IF(V896="""","""",IF(V896=""CASWJ"",""General / No Specific Project"",""General - ""&amp;V896))
)"),"")</f>
        <v/>
      </c>
      <c r="W896" s="38"/>
      <c r="AB896" s="68" t="str">
        <f t="shared" si="6"/>
        <v/>
      </c>
      <c r="AP896" s="94"/>
    </row>
    <row r="897">
      <c r="R897" s="93"/>
      <c r="S897" s="68"/>
      <c r="T897" s="38" t="str">
        <f>IFERROR(__xludf.DUMMYFUNCTION("IFERROR(
  TRIM(REGEXEXTRACT(H897,""\(Event\)\s*([^,]+)"")),
  IF(V897="""","""",IF(V897=""CASWJ"",""General / No Specific Project"",""General - ""&amp;V897))
)"),"")</f>
        <v/>
      </c>
      <c r="W897" s="38"/>
      <c r="AB897" s="68" t="str">
        <f t="shared" si="6"/>
        <v/>
      </c>
      <c r="AP897" s="94"/>
    </row>
    <row r="898">
      <c r="R898" s="93"/>
      <c r="S898" s="68"/>
      <c r="T898" s="38" t="str">
        <f>IFERROR(__xludf.DUMMYFUNCTION("IFERROR(
  TRIM(REGEXEXTRACT(H898,""\(Event\)\s*([^,]+)"")),
  IF(V898="""","""",IF(V898=""CASWJ"",""General / No Specific Project"",""General - ""&amp;V898))
)"),"")</f>
        <v/>
      </c>
      <c r="W898" s="38"/>
      <c r="AB898" s="68" t="str">
        <f t="shared" si="6"/>
        <v/>
      </c>
      <c r="AP898" s="94"/>
    </row>
    <row r="899">
      <c r="R899" s="93"/>
      <c r="S899" s="68"/>
      <c r="T899" s="38" t="str">
        <f>IFERROR(__xludf.DUMMYFUNCTION("IFERROR(
  TRIM(REGEXEXTRACT(H899,""\(Event\)\s*([^,]+)"")),
  IF(V899="""","""",IF(V899=""CASWJ"",""General / No Specific Project"",""General - ""&amp;V899))
)"),"")</f>
        <v/>
      </c>
      <c r="W899" s="38"/>
      <c r="AB899" s="68" t="str">
        <f t="shared" si="6"/>
        <v/>
      </c>
      <c r="AP899" s="94"/>
    </row>
    <row r="900">
      <c r="R900" s="93"/>
      <c r="S900" s="68"/>
      <c r="T900" s="38" t="str">
        <f>IFERROR(__xludf.DUMMYFUNCTION("IFERROR(
  TRIM(REGEXEXTRACT(H900,""\(Event\)\s*([^,]+)"")),
  IF(V900="""","""",IF(V900=""CASWJ"",""General / No Specific Project"",""General - ""&amp;V900))
)"),"")</f>
        <v/>
      </c>
      <c r="W900" s="38"/>
      <c r="AB900" s="68" t="str">
        <f t="shared" si="6"/>
        <v/>
      </c>
      <c r="AP900" s="94"/>
    </row>
    <row r="901">
      <c r="R901" s="93"/>
      <c r="S901" s="68"/>
      <c r="T901" s="38" t="str">
        <f>IFERROR(__xludf.DUMMYFUNCTION("IFERROR(
  TRIM(REGEXEXTRACT(H901,""\(Event\)\s*([^,]+)"")),
  IF(V901="""","""",IF(V901=""CASWJ"",""General / No Specific Project"",""General - ""&amp;V901))
)"),"")</f>
        <v/>
      </c>
      <c r="W901" s="38"/>
      <c r="AB901" s="68" t="str">
        <f t="shared" si="6"/>
        <v/>
      </c>
      <c r="AP901" s="94"/>
    </row>
    <row r="902">
      <c r="R902" s="93"/>
      <c r="S902" s="68"/>
      <c r="T902" s="38" t="str">
        <f>IFERROR(__xludf.DUMMYFUNCTION("IFERROR(
  TRIM(REGEXEXTRACT(H902,""\(Event\)\s*([^,]+)"")),
  IF(V902="""","""",IF(V902=""CASWJ"",""General / No Specific Project"",""General - ""&amp;V902))
)"),"")</f>
        <v/>
      </c>
      <c r="W902" s="38"/>
      <c r="AB902" s="68" t="str">
        <f t="shared" si="6"/>
        <v/>
      </c>
      <c r="AP902" s="94"/>
    </row>
    <row r="903">
      <c r="R903" s="93"/>
      <c r="S903" s="68"/>
      <c r="T903" s="38" t="str">
        <f>IFERROR(__xludf.DUMMYFUNCTION("IFERROR(
  TRIM(REGEXEXTRACT(H903,""\(Event\)\s*([^,]+)"")),
  IF(V903="""","""",IF(V903=""CASWJ"",""General / No Specific Project"",""General - ""&amp;V903))
)"),"")</f>
        <v/>
      </c>
      <c r="W903" s="38"/>
      <c r="AB903" s="68" t="str">
        <f t="shared" si="6"/>
        <v/>
      </c>
      <c r="AP903" s="94"/>
    </row>
    <row r="904">
      <c r="R904" s="93"/>
      <c r="S904" s="68"/>
      <c r="T904" s="38" t="str">
        <f>IFERROR(__xludf.DUMMYFUNCTION("IFERROR(
  TRIM(REGEXEXTRACT(H904,""\(Event\)\s*([^,]+)"")),
  IF(V904="""","""",IF(V904=""CASWJ"",""General / No Specific Project"",""General - ""&amp;V904))
)"),"")</f>
        <v/>
      </c>
      <c r="W904" s="38"/>
      <c r="AB904" s="68" t="str">
        <f t="shared" si="6"/>
        <v/>
      </c>
      <c r="AP904" s="94"/>
    </row>
    <row r="905">
      <c r="R905" s="93"/>
      <c r="S905" s="68"/>
      <c r="T905" s="38" t="str">
        <f>IFERROR(__xludf.DUMMYFUNCTION("IFERROR(
  TRIM(REGEXEXTRACT(H905,""\(Event\)\s*([^,]+)"")),
  IF(V905="""","""",IF(V905=""CASWJ"",""General / No Specific Project"",""General - ""&amp;V905))
)"),"")</f>
        <v/>
      </c>
      <c r="W905" s="38"/>
      <c r="AB905" s="68" t="str">
        <f t="shared" si="6"/>
        <v/>
      </c>
      <c r="AP905" s="94"/>
    </row>
    <row r="906">
      <c r="R906" s="93"/>
      <c r="S906" s="68"/>
      <c r="T906" s="38" t="str">
        <f>IFERROR(__xludf.DUMMYFUNCTION("IFERROR(
  TRIM(REGEXEXTRACT(H906,""\(Event\)\s*([^,]+)"")),
  IF(V906="""","""",IF(V906=""CASWJ"",""General / No Specific Project"",""General - ""&amp;V906))
)"),"")</f>
        <v/>
      </c>
      <c r="W906" s="38"/>
      <c r="AB906" s="68" t="str">
        <f t="shared" si="6"/>
        <v/>
      </c>
      <c r="AP906" s="94"/>
    </row>
    <row r="907">
      <c r="R907" s="93"/>
      <c r="S907" s="68"/>
      <c r="T907" s="38" t="str">
        <f>IFERROR(__xludf.DUMMYFUNCTION("IFERROR(
  TRIM(REGEXEXTRACT(H907,""\(Event\)\s*([^,]+)"")),
  IF(V907="""","""",IF(V907=""CASWJ"",""General / No Specific Project"",""General - ""&amp;V907))
)"),"")</f>
        <v/>
      </c>
      <c r="W907" s="38"/>
      <c r="AB907" s="68" t="str">
        <f t="shared" si="6"/>
        <v/>
      </c>
      <c r="AP907" s="94"/>
    </row>
    <row r="908">
      <c r="R908" s="93"/>
      <c r="S908" s="68"/>
      <c r="T908" s="38" t="str">
        <f>IFERROR(__xludf.DUMMYFUNCTION("IFERROR(
  TRIM(REGEXEXTRACT(H908,""\(Event\)\s*([^,]+)"")),
  IF(V908="""","""",IF(V908=""CASWJ"",""General / No Specific Project"",""General - ""&amp;V908))
)"),"")</f>
        <v/>
      </c>
      <c r="W908" s="38"/>
      <c r="AB908" s="68" t="str">
        <f t="shared" si="6"/>
        <v/>
      </c>
      <c r="AP908" s="94"/>
    </row>
    <row r="909">
      <c r="R909" s="93"/>
      <c r="S909" s="68"/>
      <c r="T909" s="38" t="str">
        <f>IFERROR(__xludf.DUMMYFUNCTION("IFERROR(
  TRIM(REGEXEXTRACT(H909,""\(Event\)\s*([^,]+)"")),
  IF(V909="""","""",IF(V909=""CASWJ"",""General / No Specific Project"",""General - ""&amp;V909))
)"),"")</f>
        <v/>
      </c>
      <c r="W909" s="38"/>
      <c r="AB909" s="68" t="str">
        <f t="shared" si="6"/>
        <v/>
      </c>
      <c r="AP909" s="94"/>
    </row>
    <row r="910">
      <c r="R910" s="93"/>
      <c r="S910" s="68"/>
      <c r="T910" s="38" t="str">
        <f>IFERROR(__xludf.DUMMYFUNCTION("IFERROR(
  TRIM(REGEXEXTRACT(H910,""\(Event\)\s*([^,]+)"")),
  IF(V910="""","""",IF(V910=""CASWJ"",""General / No Specific Project"",""General - ""&amp;V910))
)"),"")</f>
        <v/>
      </c>
      <c r="W910" s="38"/>
      <c r="AB910" s="68" t="str">
        <f t="shared" si="6"/>
        <v/>
      </c>
      <c r="AP910" s="94"/>
    </row>
    <row r="911">
      <c r="R911" s="93"/>
      <c r="S911" s="68"/>
      <c r="T911" s="38" t="str">
        <f>IFERROR(__xludf.DUMMYFUNCTION("IFERROR(
  TRIM(REGEXEXTRACT(H911,""\(Event\)\s*([^,]+)"")),
  IF(V911="""","""",IF(V911=""CASWJ"",""General / No Specific Project"",""General - ""&amp;V911))
)"),"")</f>
        <v/>
      </c>
      <c r="W911" s="38"/>
      <c r="AB911" s="68" t="str">
        <f t="shared" si="6"/>
        <v/>
      </c>
      <c r="AP911" s="94"/>
    </row>
    <row r="912">
      <c r="R912" s="93"/>
      <c r="S912" s="68"/>
      <c r="T912" s="38" t="str">
        <f>IFERROR(__xludf.DUMMYFUNCTION("IFERROR(
  TRIM(REGEXEXTRACT(H912,""\(Event\)\s*([^,]+)"")),
  IF(V912="""","""",IF(V912=""CASWJ"",""General / No Specific Project"",""General - ""&amp;V912))
)"),"")</f>
        <v/>
      </c>
      <c r="W912" s="38"/>
      <c r="AB912" s="68" t="str">
        <f t="shared" si="6"/>
        <v/>
      </c>
      <c r="AP912" s="94"/>
    </row>
    <row r="913">
      <c r="R913" s="93"/>
      <c r="S913" s="68"/>
      <c r="T913" s="38" t="str">
        <f>IFERROR(__xludf.DUMMYFUNCTION("IFERROR(
  TRIM(REGEXEXTRACT(H913,""\(Event\)\s*([^,]+)"")),
  IF(V913="""","""",IF(V913=""CASWJ"",""General / No Specific Project"",""General - ""&amp;V913))
)"),"")</f>
        <v/>
      </c>
      <c r="W913" s="38"/>
      <c r="AB913" s="68" t="str">
        <f t="shared" si="6"/>
        <v/>
      </c>
      <c r="AP913" s="94"/>
    </row>
    <row r="914">
      <c r="R914" s="93"/>
      <c r="S914" s="68"/>
      <c r="T914" s="38" t="str">
        <f>IFERROR(__xludf.DUMMYFUNCTION("IFERROR(
  TRIM(REGEXEXTRACT(H914,""\(Event\)\s*([^,]+)"")),
  IF(V914="""","""",IF(V914=""CASWJ"",""General / No Specific Project"",""General - ""&amp;V914))
)"),"")</f>
        <v/>
      </c>
      <c r="W914" s="38"/>
      <c r="AB914" s="68" t="str">
        <f t="shared" si="6"/>
        <v/>
      </c>
      <c r="AP914" s="94"/>
    </row>
    <row r="915">
      <c r="R915" s="93"/>
      <c r="S915" s="68"/>
      <c r="T915" s="38" t="str">
        <f>IFERROR(__xludf.DUMMYFUNCTION("IFERROR(
  TRIM(REGEXEXTRACT(H915,""\(Event\)\s*([^,]+)"")),
  IF(V915="""","""",IF(V915=""CASWJ"",""General / No Specific Project"",""General - ""&amp;V915))
)"),"")</f>
        <v/>
      </c>
      <c r="W915" s="38"/>
      <c r="AB915" s="68" t="str">
        <f t="shared" si="6"/>
        <v/>
      </c>
      <c r="AP915" s="94"/>
    </row>
    <row r="916">
      <c r="R916" s="93"/>
      <c r="S916" s="68"/>
      <c r="T916" s="38" t="str">
        <f>IFERROR(__xludf.DUMMYFUNCTION("IFERROR(
  TRIM(REGEXEXTRACT(H916,""\(Event\)\s*([^,]+)"")),
  IF(V916="""","""",IF(V916=""CASWJ"",""General / No Specific Project"",""General - ""&amp;V916))
)"),"")</f>
        <v/>
      </c>
      <c r="W916" s="38"/>
      <c r="AB916" s="68" t="str">
        <f t="shared" si="6"/>
        <v/>
      </c>
      <c r="AP916" s="94"/>
    </row>
    <row r="917">
      <c r="R917" s="93"/>
      <c r="S917" s="68"/>
      <c r="T917" s="38" t="str">
        <f>IFERROR(__xludf.DUMMYFUNCTION("IFERROR(
  TRIM(REGEXEXTRACT(H917,""\(Event\)\s*([^,]+)"")),
  IF(V917="""","""",IF(V917=""CASWJ"",""General / No Specific Project"",""General - ""&amp;V917))
)"),"")</f>
        <v/>
      </c>
      <c r="W917" s="38"/>
      <c r="AB917" s="68" t="str">
        <f t="shared" si="6"/>
        <v/>
      </c>
      <c r="AP917" s="94"/>
    </row>
    <row r="918">
      <c r="R918" s="93"/>
      <c r="S918" s="68"/>
      <c r="T918" s="38" t="str">
        <f>IFERROR(__xludf.DUMMYFUNCTION("IFERROR(
  TRIM(REGEXEXTRACT(H918,""\(Event\)\s*([^,]+)"")),
  IF(V918="""","""",IF(V918=""CASWJ"",""General / No Specific Project"",""General - ""&amp;V918))
)"),"")</f>
        <v/>
      </c>
      <c r="W918" s="38"/>
      <c r="AB918" s="68" t="str">
        <f t="shared" si="6"/>
        <v/>
      </c>
      <c r="AP918" s="94"/>
    </row>
    <row r="919">
      <c r="R919" s="93"/>
      <c r="S919" s="68"/>
      <c r="T919" s="38" t="str">
        <f>IFERROR(__xludf.DUMMYFUNCTION("IFERROR(
  TRIM(REGEXEXTRACT(H919,""\(Event\)\s*([^,]+)"")),
  IF(V919="""","""",IF(V919=""CASWJ"",""General / No Specific Project"",""General - ""&amp;V919))
)"),"")</f>
        <v/>
      </c>
      <c r="W919" s="38"/>
      <c r="AB919" s="68" t="str">
        <f t="shared" si="6"/>
        <v/>
      </c>
      <c r="AP919" s="94"/>
    </row>
    <row r="920">
      <c r="R920" s="93"/>
      <c r="S920" s="68"/>
      <c r="T920" s="38" t="str">
        <f>IFERROR(__xludf.DUMMYFUNCTION("IFERROR(
  TRIM(REGEXEXTRACT(H920,""\(Event\)\s*([^,]+)"")),
  IF(V920="""","""",IF(V920=""CASWJ"",""General / No Specific Project"",""General - ""&amp;V920))
)"),"")</f>
        <v/>
      </c>
      <c r="W920" s="38"/>
      <c r="AB920" s="68" t="str">
        <f t="shared" si="6"/>
        <v/>
      </c>
      <c r="AP920" s="94"/>
    </row>
    <row r="921">
      <c r="R921" s="93"/>
      <c r="S921" s="68"/>
      <c r="T921" s="38" t="str">
        <f>IFERROR(__xludf.DUMMYFUNCTION("IFERROR(
  TRIM(REGEXEXTRACT(H921,""\(Event\)\s*([^,]+)"")),
  IF(V921="""","""",IF(V921=""CASWJ"",""General / No Specific Project"",""General - ""&amp;V921))
)"),"")</f>
        <v/>
      </c>
      <c r="W921" s="38"/>
      <c r="AB921" s="68" t="str">
        <f t="shared" si="6"/>
        <v/>
      </c>
      <c r="AP921" s="94"/>
    </row>
    <row r="922">
      <c r="R922" s="93"/>
      <c r="S922" s="68"/>
      <c r="T922" s="38" t="str">
        <f>IFERROR(__xludf.DUMMYFUNCTION("IFERROR(
  TRIM(REGEXEXTRACT(H922,""\(Event\)\s*([^,]+)"")),
  IF(V922="""","""",IF(V922=""CASWJ"",""General / No Specific Project"",""General - ""&amp;V922))
)"),"")</f>
        <v/>
      </c>
      <c r="W922" s="38"/>
      <c r="AB922" s="68" t="str">
        <f t="shared" si="6"/>
        <v/>
      </c>
      <c r="AP922" s="94"/>
    </row>
    <row r="923">
      <c r="R923" s="93"/>
      <c r="S923" s="68"/>
      <c r="T923" s="38" t="str">
        <f>IFERROR(__xludf.DUMMYFUNCTION("IFERROR(
  TRIM(REGEXEXTRACT(H923,""\(Event\)\s*([^,]+)"")),
  IF(V923="""","""",IF(V923=""CASWJ"",""General / No Specific Project"",""General - ""&amp;V923))
)"),"")</f>
        <v/>
      </c>
      <c r="W923" s="38"/>
      <c r="AB923" s="68" t="str">
        <f t="shared" si="6"/>
        <v/>
      </c>
      <c r="AP923" s="94"/>
    </row>
    <row r="924">
      <c r="R924" s="93"/>
      <c r="S924" s="68"/>
      <c r="T924" s="38" t="str">
        <f>IFERROR(__xludf.DUMMYFUNCTION("IFERROR(
  TRIM(REGEXEXTRACT(H924,""\(Event\)\s*([^,]+)"")),
  IF(V924="""","""",IF(V924=""CASWJ"",""General / No Specific Project"",""General - ""&amp;V924))
)"),"")</f>
        <v/>
      </c>
      <c r="W924" s="38"/>
      <c r="AB924" s="68" t="str">
        <f t="shared" si="6"/>
        <v/>
      </c>
      <c r="AP924" s="94"/>
    </row>
    <row r="925">
      <c r="R925" s="93"/>
      <c r="S925" s="68"/>
      <c r="T925" s="38" t="str">
        <f>IFERROR(__xludf.DUMMYFUNCTION("IFERROR(
  TRIM(REGEXEXTRACT(H925,""\(Event\)\s*([^,]+)"")),
  IF(V925="""","""",IF(V925=""CASWJ"",""General / No Specific Project"",""General - ""&amp;V925))
)"),"")</f>
        <v/>
      </c>
      <c r="W925" s="38"/>
      <c r="AB925" s="68" t="str">
        <f t="shared" si="6"/>
        <v/>
      </c>
      <c r="AP925" s="94"/>
    </row>
    <row r="926">
      <c r="R926" s="93"/>
      <c r="S926" s="68"/>
      <c r="T926" s="38" t="str">
        <f>IFERROR(__xludf.DUMMYFUNCTION("IFERROR(
  TRIM(REGEXEXTRACT(H926,""\(Event\)\s*([^,]+)"")),
  IF(V926="""","""",IF(V926=""CASWJ"",""General / No Specific Project"",""General - ""&amp;V926))
)"),"")</f>
        <v/>
      </c>
      <c r="W926" s="38"/>
      <c r="AB926" s="68" t="str">
        <f t="shared" si="6"/>
        <v/>
      </c>
      <c r="AP926" s="94"/>
    </row>
    <row r="927">
      <c r="R927" s="93"/>
      <c r="S927" s="68"/>
      <c r="T927" s="38" t="str">
        <f>IFERROR(__xludf.DUMMYFUNCTION("IFERROR(
  TRIM(REGEXEXTRACT(H927,""\(Event\)\s*([^,]+)"")),
  IF(V927="""","""",IF(V927=""CASWJ"",""General / No Specific Project"",""General - ""&amp;V927))
)"),"")</f>
        <v/>
      </c>
      <c r="W927" s="38"/>
      <c r="AB927" s="68" t="str">
        <f t="shared" si="6"/>
        <v/>
      </c>
      <c r="AP927" s="94"/>
    </row>
    <row r="928">
      <c r="R928" s="93"/>
      <c r="S928" s="68"/>
      <c r="T928" s="38" t="str">
        <f>IFERROR(__xludf.DUMMYFUNCTION("IFERROR(
  TRIM(REGEXEXTRACT(H928,""\(Event\)\s*([^,]+)"")),
  IF(V928="""","""",IF(V928=""CASWJ"",""General / No Specific Project"",""General - ""&amp;V928))
)"),"")</f>
        <v/>
      </c>
      <c r="W928" s="38"/>
      <c r="AB928" s="68" t="str">
        <f t="shared" si="6"/>
        <v/>
      </c>
      <c r="AP928" s="94"/>
    </row>
    <row r="929">
      <c r="R929" s="93"/>
      <c r="S929" s="68"/>
      <c r="T929" s="38" t="str">
        <f>IFERROR(__xludf.DUMMYFUNCTION("IFERROR(
  TRIM(REGEXEXTRACT(H929,""\(Event\)\s*([^,]+)"")),
  IF(V929="""","""",IF(V929=""CASWJ"",""General / No Specific Project"",""General - ""&amp;V929))
)"),"")</f>
        <v/>
      </c>
      <c r="W929" s="38"/>
      <c r="AB929" s="68" t="str">
        <f t="shared" si="6"/>
        <v/>
      </c>
      <c r="AP929" s="94"/>
    </row>
    <row r="930">
      <c r="R930" s="93"/>
      <c r="S930" s="68"/>
      <c r="T930" s="38" t="str">
        <f>IFERROR(__xludf.DUMMYFUNCTION("IFERROR(
  TRIM(REGEXEXTRACT(H930,""\(Event\)\s*([^,]+)"")),
  IF(V930="""","""",IF(V930=""CASWJ"",""General / No Specific Project"",""General - ""&amp;V930))
)"),"")</f>
        <v/>
      </c>
      <c r="W930" s="38"/>
      <c r="AB930" s="68" t="str">
        <f t="shared" si="6"/>
        <v/>
      </c>
      <c r="AP930" s="94"/>
    </row>
    <row r="931">
      <c r="R931" s="93"/>
      <c r="S931" s="68"/>
      <c r="T931" s="38" t="str">
        <f>IFERROR(__xludf.DUMMYFUNCTION("IFERROR(
  TRIM(REGEXEXTRACT(H931,""\(Event\)\s*([^,]+)"")),
  IF(V931="""","""",IF(V931=""CASWJ"",""General / No Specific Project"",""General - ""&amp;V931))
)"),"")</f>
        <v/>
      </c>
      <c r="W931" s="38"/>
      <c r="AB931" s="68" t="str">
        <f t="shared" si="6"/>
        <v/>
      </c>
      <c r="AP931" s="94"/>
    </row>
    <row r="932">
      <c r="R932" s="93"/>
      <c r="S932" s="68"/>
      <c r="T932" s="38" t="str">
        <f>IFERROR(__xludf.DUMMYFUNCTION("IFERROR(
  TRIM(REGEXEXTRACT(H932,""\(Event\)\s*([^,]+)"")),
  IF(V932="""","""",IF(V932=""CASWJ"",""General / No Specific Project"",""General - ""&amp;V932))
)"),"")</f>
        <v/>
      </c>
      <c r="W932" s="38"/>
      <c r="AB932" s="68" t="str">
        <f t="shared" si="6"/>
        <v/>
      </c>
      <c r="AP932" s="94"/>
    </row>
    <row r="933">
      <c r="R933" s="93"/>
      <c r="S933" s="68"/>
      <c r="T933" s="38" t="str">
        <f>IFERROR(__xludf.DUMMYFUNCTION("IFERROR(
  TRIM(REGEXEXTRACT(H933,""\(Event\)\s*([^,]+)"")),
  IF(V933="""","""",IF(V933=""CASWJ"",""General / No Specific Project"",""General - ""&amp;V933))
)"),"")</f>
        <v/>
      </c>
      <c r="W933" s="38"/>
      <c r="AB933" s="68" t="str">
        <f t="shared" si="6"/>
        <v/>
      </c>
      <c r="AP933" s="94"/>
    </row>
    <row r="934">
      <c r="R934" s="93"/>
      <c r="S934" s="68"/>
      <c r="T934" s="38" t="str">
        <f>IFERROR(__xludf.DUMMYFUNCTION("IFERROR(
  TRIM(REGEXEXTRACT(H934,""\(Event\)\s*([^,]+)"")),
  IF(V934="""","""",IF(V934=""CASWJ"",""General / No Specific Project"",""General - ""&amp;V934))
)"),"")</f>
        <v/>
      </c>
      <c r="W934" s="38"/>
      <c r="AB934" s="68" t="str">
        <f t="shared" si="6"/>
        <v/>
      </c>
      <c r="AP934" s="94"/>
    </row>
    <row r="935">
      <c r="R935" s="93"/>
      <c r="S935" s="68"/>
      <c r="T935" s="38" t="str">
        <f>IFERROR(__xludf.DUMMYFUNCTION("IFERROR(
  TRIM(REGEXEXTRACT(H935,""\(Event\)\s*([^,]+)"")),
  IF(V935="""","""",IF(V935=""CASWJ"",""General / No Specific Project"",""General - ""&amp;V935))
)"),"")</f>
        <v/>
      </c>
      <c r="W935" s="38"/>
      <c r="AB935" s="68" t="str">
        <f t="shared" si="6"/>
        <v/>
      </c>
      <c r="AP935" s="94"/>
    </row>
    <row r="936">
      <c r="R936" s="93"/>
      <c r="S936" s="68"/>
      <c r="T936" s="38" t="str">
        <f>IFERROR(__xludf.DUMMYFUNCTION("IFERROR(
  TRIM(REGEXEXTRACT(H936,""\(Event\)\s*([^,]+)"")),
  IF(V936="""","""",IF(V936=""CASWJ"",""General / No Specific Project"",""General - ""&amp;V936))
)"),"")</f>
        <v/>
      </c>
      <c r="W936" s="38"/>
      <c r="AB936" s="68" t="str">
        <f t="shared" si="6"/>
        <v/>
      </c>
      <c r="AP936" s="94"/>
    </row>
    <row r="937">
      <c r="R937" s="93"/>
      <c r="S937" s="68"/>
      <c r="T937" s="38" t="str">
        <f>IFERROR(__xludf.DUMMYFUNCTION("IFERROR(
  TRIM(REGEXEXTRACT(H937,""\(Event\)\s*([^,]+)"")),
  IF(V937="""","""",IF(V937=""CASWJ"",""General / No Specific Project"",""General - ""&amp;V937))
)"),"")</f>
        <v/>
      </c>
      <c r="W937" s="38"/>
      <c r="AB937" s="68" t="str">
        <f t="shared" si="6"/>
        <v/>
      </c>
      <c r="AP937" s="94"/>
    </row>
    <row r="938">
      <c r="R938" s="93"/>
      <c r="S938" s="68"/>
      <c r="T938" s="38" t="str">
        <f>IFERROR(__xludf.DUMMYFUNCTION("IFERROR(
  TRIM(REGEXEXTRACT(H938,""\(Event\)\s*([^,]+)"")),
  IF(V938="""","""",IF(V938=""CASWJ"",""General / No Specific Project"",""General - ""&amp;V938))
)"),"")</f>
        <v/>
      </c>
      <c r="W938" s="38"/>
      <c r="AB938" s="68" t="str">
        <f t="shared" si="6"/>
        <v/>
      </c>
      <c r="AP938" s="94"/>
    </row>
    <row r="939">
      <c r="R939" s="93"/>
      <c r="S939" s="68"/>
      <c r="T939" s="38" t="str">
        <f>IFERROR(__xludf.DUMMYFUNCTION("IFERROR(
  TRIM(REGEXEXTRACT(H939,""\(Event\)\s*([^,]+)"")),
  IF(V939="""","""",IF(V939=""CASWJ"",""General / No Specific Project"",""General - ""&amp;V939))
)"),"")</f>
        <v/>
      </c>
      <c r="W939" s="38"/>
      <c r="AB939" s="68" t="str">
        <f t="shared" si="6"/>
        <v/>
      </c>
      <c r="AP939" s="94"/>
    </row>
    <row r="940">
      <c r="R940" s="93"/>
      <c r="S940" s="68"/>
      <c r="T940" s="38" t="str">
        <f>IFERROR(__xludf.DUMMYFUNCTION("IFERROR(
  TRIM(REGEXEXTRACT(H940,""\(Event\)\s*([^,]+)"")),
  IF(V940="""","""",IF(V940=""CASWJ"",""General / No Specific Project"",""General - ""&amp;V940))
)"),"")</f>
        <v/>
      </c>
      <c r="W940" s="38"/>
      <c r="AB940" s="68" t="str">
        <f t="shared" si="6"/>
        <v/>
      </c>
      <c r="AP940" s="94"/>
    </row>
    <row r="941">
      <c r="R941" s="93"/>
      <c r="S941" s="68"/>
      <c r="T941" s="38" t="str">
        <f>IFERROR(__xludf.DUMMYFUNCTION("IFERROR(
  TRIM(REGEXEXTRACT(H941,""\(Event\)\s*([^,]+)"")),
  IF(V941="""","""",IF(V941=""CASWJ"",""General / No Specific Project"",""General - ""&amp;V941))
)"),"")</f>
        <v/>
      </c>
      <c r="W941" s="38"/>
      <c r="AB941" s="68" t="str">
        <f t="shared" si="6"/>
        <v/>
      </c>
      <c r="AP941" s="94"/>
    </row>
    <row r="942">
      <c r="R942" s="93"/>
      <c r="S942" s="68"/>
      <c r="T942" s="38" t="str">
        <f>IFERROR(__xludf.DUMMYFUNCTION("IFERROR(
  TRIM(REGEXEXTRACT(H942,""\(Event\)\s*([^,]+)"")),
  IF(V942="""","""",IF(V942=""CASWJ"",""General / No Specific Project"",""General - ""&amp;V942))
)"),"")</f>
        <v/>
      </c>
      <c r="W942" s="38"/>
      <c r="AB942" s="68" t="str">
        <f t="shared" si="6"/>
        <v/>
      </c>
      <c r="AP942" s="94"/>
    </row>
    <row r="943">
      <c r="R943" s="93"/>
      <c r="S943" s="68"/>
      <c r="T943" s="38" t="str">
        <f>IFERROR(__xludf.DUMMYFUNCTION("IFERROR(
  TRIM(REGEXEXTRACT(H943,""\(Event\)\s*([^,]+)"")),
  IF(V943="""","""",IF(V943=""CASWJ"",""General / No Specific Project"",""General - ""&amp;V943))
)"),"")</f>
        <v/>
      </c>
      <c r="W943" s="38"/>
      <c r="AB943" s="68" t="str">
        <f t="shared" si="6"/>
        <v/>
      </c>
      <c r="AP943" s="94"/>
    </row>
    <row r="944">
      <c r="R944" s="93"/>
      <c r="S944" s="68"/>
      <c r="T944" s="38" t="str">
        <f>IFERROR(__xludf.DUMMYFUNCTION("IFERROR(
  TRIM(REGEXEXTRACT(H944,""\(Event\)\s*([^,]+)"")),
  IF(V944="""","""",IF(V944=""CASWJ"",""General / No Specific Project"",""General - ""&amp;V944))
)"),"")</f>
        <v/>
      </c>
      <c r="W944" s="38"/>
      <c r="AB944" s="68" t="str">
        <f t="shared" si="6"/>
        <v/>
      </c>
      <c r="AP944" s="94"/>
    </row>
    <row r="945">
      <c r="R945" s="93"/>
      <c r="S945" s="68"/>
      <c r="T945" s="38" t="str">
        <f>IFERROR(__xludf.DUMMYFUNCTION("IFERROR(
  TRIM(REGEXEXTRACT(H945,""\(Event\)\s*([^,]+)"")),
  IF(V945="""","""",IF(V945=""CASWJ"",""General / No Specific Project"",""General - ""&amp;V945))
)"),"")</f>
        <v/>
      </c>
      <c r="W945" s="38"/>
      <c r="AB945" s="68" t="str">
        <f t="shared" si="6"/>
        <v/>
      </c>
      <c r="AP945" s="94"/>
    </row>
    <row r="946">
      <c r="R946" s="93"/>
      <c r="S946" s="68"/>
      <c r="T946" s="38" t="str">
        <f>IFERROR(__xludf.DUMMYFUNCTION("IFERROR(
  TRIM(REGEXEXTRACT(H946,""\(Event\)\s*([^,]+)"")),
  IF(V946="""","""",IF(V946=""CASWJ"",""General / No Specific Project"",""General - ""&amp;V946))
)"),"")</f>
        <v/>
      </c>
      <c r="W946" s="38"/>
      <c r="AB946" s="68" t="str">
        <f t="shared" si="6"/>
        <v/>
      </c>
      <c r="AP946" s="94"/>
    </row>
    <row r="947">
      <c r="R947" s="93"/>
      <c r="S947" s="68"/>
      <c r="T947" s="38" t="str">
        <f>IFERROR(__xludf.DUMMYFUNCTION("IFERROR(
  TRIM(REGEXEXTRACT(H947,""\(Event\)\s*([^,]+)"")),
  IF(V947="""","""",IF(V947=""CASWJ"",""General / No Specific Project"",""General - ""&amp;V947))
)"),"")</f>
        <v/>
      </c>
      <c r="W947" s="38"/>
      <c r="AB947" s="68" t="str">
        <f t="shared" si="6"/>
        <v/>
      </c>
      <c r="AP947" s="94"/>
    </row>
    <row r="948">
      <c r="R948" s="93"/>
      <c r="S948" s="68"/>
      <c r="T948" s="38" t="str">
        <f>IFERROR(__xludf.DUMMYFUNCTION("IFERROR(
  TRIM(REGEXEXTRACT(H948,""\(Event\)\s*([^,]+)"")),
  IF(V948="""","""",IF(V948=""CASWJ"",""General / No Specific Project"",""General - ""&amp;V948))
)"),"")</f>
        <v/>
      </c>
      <c r="W948" s="38"/>
      <c r="AB948" s="68" t="str">
        <f t="shared" si="6"/>
        <v/>
      </c>
      <c r="AP948" s="94"/>
    </row>
    <row r="949">
      <c r="R949" s="93"/>
      <c r="S949" s="68"/>
      <c r="T949" s="38" t="str">
        <f>IFERROR(__xludf.DUMMYFUNCTION("IFERROR(
  TRIM(REGEXEXTRACT(H949,""\(Event\)\s*([^,]+)"")),
  IF(V949="""","""",IF(V949=""CASWJ"",""General / No Specific Project"",""General - ""&amp;V949))
)"),"")</f>
        <v/>
      </c>
      <c r="W949" s="38"/>
      <c r="AB949" s="68" t="str">
        <f t="shared" si="6"/>
        <v/>
      </c>
      <c r="AP949" s="94"/>
    </row>
    <row r="950">
      <c r="R950" s="93"/>
      <c r="S950" s="68"/>
      <c r="T950" s="38" t="str">
        <f>IFERROR(__xludf.DUMMYFUNCTION("IFERROR(
  TRIM(REGEXEXTRACT(H950,""\(Event\)\s*([^,]+)"")),
  IF(V950="""","""",IF(V950=""CASWJ"",""General / No Specific Project"",""General - ""&amp;V950))
)"),"")</f>
        <v/>
      </c>
      <c r="W950" s="38"/>
      <c r="AB950" s="68" t="str">
        <f t="shared" si="6"/>
        <v/>
      </c>
      <c r="AP950" s="94"/>
    </row>
    <row r="951">
      <c r="R951" s="93"/>
      <c r="S951" s="68"/>
      <c r="T951" s="38" t="str">
        <f>IFERROR(__xludf.DUMMYFUNCTION("IFERROR(
  TRIM(REGEXEXTRACT(H951,""\(Event\)\s*([^,]+)"")),
  IF(V951="""","""",IF(V951=""CASWJ"",""General / No Specific Project"",""General - ""&amp;V951))
)"),"")</f>
        <v/>
      </c>
      <c r="W951" s="38"/>
      <c r="AB951" s="68" t="str">
        <f t="shared" si="6"/>
        <v/>
      </c>
      <c r="AP951" s="94"/>
    </row>
    <row r="952">
      <c r="R952" s="93"/>
      <c r="S952" s="68"/>
      <c r="T952" s="38" t="str">
        <f>IFERROR(__xludf.DUMMYFUNCTION("IFERROR(
  TRIM(REGEXEXTRACT(H952,""\(Event\)\s*([^,]+)"")),
  IF(V952="""","""",IF(V952=""CASWJ"",""General / No Specific Project"",""General - ""&amp;V952))
)"),"")</f>
        <v/>
      </c>
      <c r="W952" s="38"/>
      <c r="AB952" s="68" t="str">
        <f t="shared" si="6"/>
        <v/>
      </c>
      <c r="AP952" s="94"/>
    </row>
    <row r="953">
      <c r="R953" s="93"/>
      <c r="S953" s="68"/>
      <c r="T953" s="38" t="str">
        <f>IFERROR(__xludf.DUMMYFUNCTION("IFERROR(
  TRIM(REGEXEXTRACT(H953,""\(Event\)\s*([^,]+)"")),
  IF(V953="""","""",IF(V953=""CASWJ"",""General / No Specific Project"",""General - ""&amp;V953))
)"),"")</f>
        <v/>
      </c>
      <c r="W953" s="38"/>
      <c r="AB953" s="68" t="str">
        <f t="shared" si="6"/>
        <v/>
      </c>
      <c r="AP953" s="94"/>
    </row>
    <row r="954">
      <c r="R954" s="93"/>
      <c r="S954" s="68"/>
      <c r="T954" s="38" t="str">
        <f>IFERROR(__xludf.DUMMYFUNCTION("IFERROR(
  TRIM(REGEXEXTRACT(H954,""\(Event\)\s*([^,]+)"")),
  IF(V954="""","""",IF(V954=""CASWJ"",""General / No Specific Project"",""General - ""&amp;V954))
)"),"")</f>
        <v/>
      </c>
      <c r="W954" s="38"/>
      <c r="AB954" s="68" t="str">
        <f t="shared" si="6"/>
        <v/>
      </c>
      <c r="AP954" s="94"/>
    </row>
    <row r="955">
      <c r="R955" s="93"/>
      <c r="S955" s="68"/>
      <c r="T955" s="38" t="str">
        <f>IFERROR(__xludf.DUMMYFUNCTION("IFERROR(
  TRIM(REGEXEXTRACT(H955,""\(Event\)\s*([^,]+)"")),
  IF(V955="""","""",IF(V955=""CASWJ"",""General / No Specific Project"",""General - ""&amp;V955))
)"),"")</f>
        <v/>
      </c>
      <c r="W955" s="38"/>
      <c r="AB955" s="68" t="str">
        <f t="shared" si="6"/>
        <v/>
      </c>
      <c r="AP955" s="94"/>
    </row>
    <row r="956">
      <c r="R956" s="93"/>
      <c r="S956" s="68"/>
      <c r="T956" s="38" t="str">
        <f>IFERROR(__xludf.DUMMYFUNCTION("IFERROR(
  TRIM(REGEXEXTRACT(H956,""\(Event\)\s*([^,]+)"")),
  IF(V956="""","""",IF(V956=""CASWJ"",""General / No Specific Project"",""General - ""&amp;V956))
)"),"")</f>
        <v/>
      </c>
      <c r="W956" s="38"/>
      <c r="AB956" s="68" t="str">
        <f t="shared" si="6"/>
        <v/>
      </c>
      <c r="AP956" s="94"/>
    </row>
    <row r="957">
      <c r="R957" s="93"/>
      <c r="S957" s="68"/>
      <c r="T957" s="38" t="str">
        <f>IFERROR(__xludf.DUMMYFUNCTION("IFERROR(
  TRIM(REGEXEXTRACT(H957,""\(Event\)\s*([^,]+)"")),
  IF(V957="""","""",IF(V957=""CASWJ"",""General / No Specific Project"",""General - ""&amp;V957))
)"),"")</f>
        <v/>
      </c>
      <c r="W957" s="38"/>
      <c r="AB957" s="68" t="str">
        <f t="shared" si="6"/>
        <v/>
      </c>
      <c r="AP957" s="94"/>
    </row>
    <row r="958">
      <c r="R958" s="93"/>
      <c r="S958" s="68"/>
      <c r="T958" s="38" t="str">
        <f>IFERROR(__xludf.DUMMYFUNCTION("IFERROR(
  TRIM(REGEXEXTRACT(H958,""\(Event\)\s*([^,]+)"")),
  IF(V958="""","""",IF(V958=""CASWJ"",""General / No Specific Project"",""General - ""&amp;V958))
)"),"")</f>
        <v/>
      </c>
      <c r="W958" s="38"/>
      <c r="AB958" s="68" t="str">
        <f t="shared" si="6"/>
        <v/>
      </c>
      <c r="AP958" s="94"/>
    </row>
    <row r="959">
      <c r="R959" s="93"/>
      <c r="S959" s="68"/>
      <c r="T959" s="38" t="str">
        <f>IFERROR(__xludf.DUMMYFUNCTION("IFERROR(
  TRIM(REGEXEXTRACT(H959,""\(Event\)\s*([^,]+)"")),
  IF(V959="""","""",IF(V959=""CASWJ"",""General / No Specific Project"",""General - ""&amp;V959))
)"),"")</f>
        <v/>
      </c>
      <c r="W959" s="38"/>
      <c r="AB959" s="68" t="str">
        <f t="shared" si="6"/>
        <v/>
      </c>
      <c r="AP959" s="94"/>
    </row>
    <row r="960">
      <c r="R960" s="93"/>
      <c r="S960" s="68"/>
      <c r="T960" s="38" t="str">
        <f>IFERROR(__xludf.DUMMYFUNCTION("IFERROR(
  TRIM(REGEXEXTRACT(H960,""\(Event\)\s*([^,]+)"")),
  IF(V960="""","""",IF(V960=""CASWJ"",""General / No Specific Project"",""General - ""&amp;V960))
)"),"")</f>
        <v/>
      </c>
      <c r="W960" s="38"/>
      <c r="AB960" s="68" t="str">
        <f t="shared" si="6"/>
        <v/>
      </c>
      <c r="AP960" s="94"/>
    </row>
    <row r="961">
      <c r="R961" s="93"/>
      <c r="S961" s="68"/>
      <c r="T961" s="38" t="str">
        <f>IFERROR(__xludf.DUMMYFUNCTION("IFERROR(
  TRIM(REGEXEXTRACT(H961,""\(Event\)\s*([^,]+)"")),
  IF(V961="""","""",IF(V961=""CASWJ"",""General / No Specific Project"",""General - ""&amp;V961))
)"),"")</f>
        <v/>
      </c>
      <c r="W961" s="38"/>
      <c r="AB961" s="68" t="str">
        <f t="shared" si="6"/>
        <v/>
      </c>
      <c r="AP961" s="94"/>
    </row>
    <row r="962">
      <c r="R962" s="93"/>
      <c r="S962" s="68"/>
      <c r="T962" s="38" t="str">
        <f>IFERROR(__xludf.DUMMYFUNCTION("IFERROR(
  TRIM(REGEXEXTRACT(H962,""\(Event\)\s*([^,]+)"")),
  IF(V962="""","""",IF(V962=""CASWJ"",""General / No Specific Project"",""General - ""&amp;V962))
)"),"")</f>
        <v/>
      </c>
      <c r="W962" s="38"/>
      <c r="AB962" s="68" t="str">
        <f t="shared" si="6"/>
        <v/>
      </c>
      <c r="AP962" s="94"/>
    </row>
    <row r="963">
      <c r="R963" s="93"/>
      <c r="S963" s="68"/>
      <c r="T963" s="38" t="str">
        <f>IFERROR(__xludf.DUMMYFUNCTION("IFERROR(
  TRIM(REGEXEXTRACT(H963,""\(Event\)\s*([^,]+)"")),
  IF(V963="""","""",IF(V963=""CASWJ"",""General / No Specific Project"",""General - ""&amp;V963))
)"),"")</f>
        <v/>
      </c>
      <c r="W963" s="38"/>
      <c r="AB963" s="68" t="str">
        <f t="shared" si="6"/>
        <v/>
      </c>
      <c r="AP963" s="94"/>
    </row>
    <row r="964">
      <c r="R964" s="93"/>
      <c r="S964" s="68"/>
      <c r="T964" s="38" t="str">
        <f>IFERROR(__xludf.DUMMYFUNCTION("IFERROR(
  TRIM(REGEXEXTRACT(H964,""\(Event\)\s*([^,]+)"")),
  IF(V964="""","""",IF(V964=""CASWJ"",""General / No Specific Project"",""General - ""&amp;V964))
)"),"")</f>
        <v/>
      </c>
      <c r="W964" s="38"/>
      <c r="AB964" s="68" t="str">
        <f t="shared" si="6"/>
        <v/>
      </c>
      <c r="AP964" s="94"/>
    </row>
    <row r="965">
      <c r="R965" s="93"/>
      <c r="S965" s="68"/>
      <c r="T965" s="38" t="str">
        <f>IFERROR(__xludf.DUMMYFUNCTION("IFERROR(
  TRIM(REGEXEXTRACT(H965,""\(Event\)\s*([^,]+)"")),
  IF(V965="""","""",IF(V965=""CASWJ"",""General / No Specific Project"",""General - ""&amp;V965))
)"),"")</f>
        <v/>
      </c>
      <c r="W965" s="38"/>
      <c r="AB965" s="68" t="str">
        <f t="shared" si="6"/>
        <v/>
      </c>
      <c r="AP965" s="94"/>
    </row>
    <row r="966">
      <c r="R966" s="93"/>
      <c r="S966" s="68"/>
      <c r="T966" s="38" t="str">
        <f>IFERROR(__xludf.DUMMYFUNCTION("IFERROR(
  TRIM(REGEXEXTRACT(H966,""\(Event\)\s*([^,]+)"")),
  IF(V966="""","""",IF(V966=""CASWJ"",""General / No Specific Project"",""General - ""&amp;V966))
)"),"")</f>
        <v/>
      </c>
      <c r="W966" s="38"/>
      <c r="AB966" s="68" t="str">
        <f t="shared" si="6"/>
        <v/>
      </c>
      <c r="AP966" s="94"/>
    </row>
    <row r="967">
      <c r="R967" s="93"/>
      <c r="S967" s="68"/>
      <c r="T967" s="38" t="str">
        <f>IFERROR(__xludf.DUMMYFUNCTION("IFERROR(
  TRIM(REGEXEXTRACT(H967,""\(Event\)\s*([^,]+)"")),
  IF(V967="""","""",IF(V967=""CASWJ"",""General / No Specific Project"",""General - ""&amp;V967))
)"),"")</f>
        <v/>
      </c>
      <c r="W967" s="38"/>
      <c r="AB967" s="68" t="str">
        <f t="shared" si="6"/>
        <v/>
      </c>
      <c r="AP967" s="94"/>
    </row>
    <row r="968">
      <c r="R968" s="93"/>
      <c r="S968" s="68"/>
      <c r="T968" s="38" t="str">
        <f>IFERROR(__xludf.DUMMYFUNCTION("IFERROR(
  TRIM(REGEXEXTRACT(H968,""\(Event\)\s*([^,]+)"")),
  IF(V968="""","""",IF(V968=""CASWJ"",""General / No Specific Project"",""General - ""&amp;V968))
)"),"")</f>
        <v/>
      </c>
      <c r="W968" s="38"/>
      <c r="AB968" s="68" t="str">
        <f t="shared" si="6"/>
        <v/>
      </c>
      <c r="AP968" s="94"/>
    </row>
    <row r="969">
      <c r="R969" s="93"/>
      <c r="S969" s="68"/>
      <c r="T969" s="38" t="str">
        <f>IFERROR(__xludf.DUMMYFUNCTION("IFERROR(
  TRIM(REGEXEXTRACT(H969,""\(Event\)\s*([^,]+)"")),
  IF(V969="""","""",IF(V969=""CASWJ"",""General / No Specific Project"",""General - ""&amp;V969))
)"),"")</f>
        <v/>
      </c>
      <c r="W969" s="38"/>
      <c r="AB969" s="68" t="str">
        <f t="shared" si="6"/>
        <v/>
      </c>
      <c r="AP969" s="94"/>
    </row>
    <row r="970">
      <c r="R970" s="93"/>
      <c r="S970" s="68"/>
      <c r="T970" s="38" t="str">
        <f>IFERROR(__xludf.DUMMYFUNCTION("IFERROR(
  TRIM(REGEXEXTRACT(H970,""\(Event\)\s*([^,]+)"")),
  IF(V970="""","""",IF(V970=""CASWJ"",""General / No Specific Project"",""General - ""&amp;V970))
)"),"")</f>
        <v/>
      </c>
      <c r="W970" s="38"/>
      <c r="AB970" s="68" t="str">
        <f t="shared" si="6"/>
        <v/>
      </c>
      <c r="AP970" s="94"/>
    </row>
    <row r="971">
      <c r="R971" s="93"/>
      <c r="S971" s="68"/>
      <c r="T971" s="38" t="str">
        <f>IFERROR(__xludf.DUMMYFUNCTION("IFERROR(
  TRIM(REGEXEXTRACT(H971,""\(Event\)\s*([^,]+)"")),
  IF(V971="""","""",IF(V971=""CASWJ"",""General / No Specific Project"",""General - ""&amp;V971))
)"),"")</f>
        <v/>
      </c>
      <c r="W971" s="38"/>
      <c r="AB971" s="68" t="str">
        <f t="shared" si="6"/>
        <v/>
      </c>
      <c r="AP971" s="94"/>
    </row>
    <row r="972">
      <c r="R972" s="93"/>
      <c r="S972" s="68"/>
      <c r="T972" s="38" t="str">
        <f>IFERROR(__xludf.DUMMYFUNCTION("IFERROR(
  TRIM(REGEXEXTRACT(H972,""\(Event\)\s*([^,]+)"")),
  IF(V972="""","""",IF(V972=""CASWJ"",""General / No Specific Project"",""General - ""&amp;V972))
)"),"")</f>
        <v/>
      </c>
      <c r="W972" s="38"/>
      <c r="AB972" s="68" t="str">
        <f t="shared" si="6"/>
        <v/>
      </c>
      <c r="AP972" s="94"/>
    </row>
    <row r="973">
      <c r="R973" s="93"/>
      <c r="S973" s="68"/>
      <c r="T973" s="38" t="str">
        <f>IFERROR(__xludf.DUMMYFUNCTION("IFERROR(
  TRIM(REGEXEXTRACT(H973,""\(Event\)\s*([^,]+)"")),
  IF(V973="""","""",IF(V973=""CASWJ"",""General / No Specific Project"",""General - ""&amp;V973))
)"),"")</f>
        <v/>
      </c>
      <c r="W973" s="38"/>
      <c r="AB973" s="68" t="str">
        <f t="shared" si="6"/>
        <v/>
      </c>
      <c r="AP973" s="94"/>
    </row>
    <row r="974">
      <c r="R974" s="93"/>
      <c r="S974" s="68"/>
      <c r="T974" s="38" t="str">
        <f>IFERROR(__xludf.DUMMYFUNCTION("IFERROR(
  TRIM(REGEXEXTRACT(H974,""\(Event\)\s*([^,]+)"")),
  IF(V974="""","""",IF(V974=""CASWJ"",""General / No Specific Project"",""General - ""&amp;V974))
)"),"")</f>
        <v/>
      </c>
      <c r="W974" s="38"/>
      <c r="AB974" s="68" t="str">
        <f t="shared" si="6"/>
        <v/>
      </c>
      <c r="AP974" s="94"/>
    </row>
    <row r="975">
      <c r="R975" s="93"/>
      <c r="S975" s="68"/>
      <c r="T975" s="38" t="str">
        <f>IFERROR(__xludf.DUMMYFUNCTION("IFERROR(
  TRIM(REGEXEXTRACT(H975,""\(Event\)\s*([^,]+)"")),
  IF(V975="""","""",IF(V975=""CASWJ"",""General / No Specific Project"",""General - ""&amp;V975))
)"),"")</f>
        <v/>
      </c>
      <c r="W975" s="38"/>
      <c r="AB975" s="68" t="str">
        <f t="shared" si="6"/>
        <v/>
      </c>
      <c r="AP975" s="94"/>
    </row>
    <row r="976">
      <c r="R976" s="93"/>
      <c r="S976" s="68"/>
      <c r="T976" s="38" t="str">
        <f>IFERROR(__xludf.DUMMYFUNCTION("IFERROR(
  TRIM(REGEXEXTRACT(H976,""\(Event\)\s*([^,]+)"")),
  IF(V976="""","""",IF(V976=""CASWJ"",""General / No Specific Project"",""General - ""&amp;V976))
)"),"")</f>
        <v/>
      </c>
      <c r="W976" s="38"/>
      <c r="AB976" s="68" t="str">
        <f t="shared" si="6"/>
        <v/>
      </c>
      <c r="AP976" s="94"/>
    </row>
    <row r="977">
      <c r="R977" s="93"/>
      <c r="S977" s="68"/>
      <c r="T977" s="38" t="str">
        <f>IFERROR(__xludf.DUMMYFUNCTION("IFERROR(
  TRIM(REGEXEXTRACT(H977,""\(Event\)\s*([^,]+)"")),
  IF(V977="""","""",IF(V977=""CASWJ"",""General / No Specific Project"",""General - ""&amp;V977))
)"),"")</f>
        <v/>
      </c>
      <c r="W977" s="38"/>
      <c r="AB977" s="68" t="str">
        <f t="shared" si="6"/>
        <v/>
      </c>
      <c r="AP977" s="94"/>
    </row>
    <row r="978">
      <c r="R978" s="93"/>
      <c r="S978" s="68"/>
      <c r="T978" s="38" t="str">
        <f>IFERROR(__xludf.DUMMYFUNCTION("IFERROR(
  TRIM(REGEXEXTRACT(H978,""\(Event\)\s*([^,]+)"")),
  IF(V978="""","""",IF(V978=""CASWJ"",""General / No Specific Project"",""General - ""&amp;V978))
)"),"")</f>
        <v/>
      </c>
      <c r="W978" s="38"/>
      <c r="AB978" s="68" t="str">
        <f t="shared" si="6"/>
        <v/>
      </c>
      <c r="AP978" s="94"/>
    </row>
    <row r="979">
      <c r="R979" s="93"/>
      <c r="S979" s="68"/>
      <c r="T979" s="38" t="str">
        <f>IFERROR(__xludf.DUMMYFUNCTION("IFERROR(
  TRIM(REGEXEXTRACT(H979,""\(Event\)\s*([^,]+)"")),
  IF(V979="""","""",IF(V979=""CASWJ"",""General / No Specific Project"",""General - ""&amp;V979))
)"),"")</f>
        <v/>
      </c>
      <c r="W979" s="38"/>
      <c r="AB979" s="68" t="str">
        <f t="shared" si="6"/>
        <v/>
      </c>
      <c r="AP979" s="94"/>
    </row>
    <row r="980">
      <c r="R980" s="93"/>
      <c r="S980" s="68"/>
      <c r="T980" s="38" t="str">
        <f>IFERROR(__xludf.DUMMYFUNCTION("IFERROR(
  TRIM(REGEXEXTRACT(H980,""\(Event\)\s*([^,]+)"")),
  IF(V980="""","""",IF(V980=""CASWJ"",""General / No Specific Project"",""General - ""&amp;V980))
)"),"")</f>
        <v/>
      </c>
      <c r="W980" s="38"/>
      <c r="AB980" s="68" t="str">
        <f t="shared" si="6"/>
        <v/>
      </c>
      <c r="AP980" s="94"/>
    </row>
    <row r="981">
      <c r="R981" s="93"/>
      <c r="S981" s="68"/>
      <c r="T981" s="38" t="str">
        <f>IFERROR(__xludf.DUMMYFUNCTION("IFERROR(
  TRIM(REGEXEXTRACT(H981,""\(Event\)\s*([^,]+)"")),
  IF(V981="""","""",IF(V981=""CASWJ"",""General / No Specific Project"",""General - ""&amp;V981))
)"),"")</f>
        <v/>
      </c>
      <c r="W981" s="38"/>
      <c r="AB981" s="68" t="str">
        <f t="shared" si="6"/>
        <v/>
      </c>
      <c r="AP981" s="94"/>
    </row>
    <row r="982">
      <c r="R982" s="93"/>
      <c r="S982" s="68"/>
      <c r="T982" s="38" t="str">
        <f>IFERROR(__xludf.DUMMYFUNCTION("IFERROR(
  TRIM(REGEXEXTRACT(H982,""\(Event\)\s*([^,]+)"")),
  IF(V982="""","""",IF(V982=""CASWJ"",""General / No Specific Project"",""General - ""&amp;V982))
)"),"")</f>
        <v/>
      </c>
      <c r="W982" s="38"/>
      <c r="AB982" s="68" t="str">
        <f t="shared" si="6"/>
        <v/>
      </c>
      <c r="AP982" s="94"/>
    </row>
    <row r="983">
      <c r="R983" s="93"/>
      <c r="S983" s="68"/>
      <c r="T983" s="38" t="str">
        <f>IFERROR(__xludf.DUMMYFUNCTION("IFERROR(
  TRIM(REGEXEXTRACT(H983,""\(Event\)\s*([^,]+)"")),
  IF(V983="""","""",IF(V983=""CASWJ"",""General / No Specific Project"",""General - ""&amp;V983))
)"),"")</f>
        <v/>
      </c>
      <c r="W983" s="38"/>
      <c r="AB983" s="68" t="str">
        <f t="shared" si="6"/>
        <v/>
      </c>
      <c r="AP983" s="94"/>
    </row>
    <row r="984">
      <c r="R984" s="93"/>
      <c r="S984" s="68"/>
      <c r="T984" s="38" t="str">
        <f>IFERROR(__xludf.DUMMYFUNCTION("IFERROR(
  TRIM(REGEXEXTRACT(H984,""\(Event\)\s*([^,]+)"")),
  IF(V984="""","""",IF(V984=""CASWJ"",""General / No Specific Project"",""General - ""&amp;V984))
)"),"")</f>
        <v/>
      </c>
      <c r="W984" s="38"/>
      <c r="AB984" s="68" t="str">
        <f t="shared" si="6"/>
        <v/>
      </c>
      <c r="AP984" s="94"/>
    </row>
    <row r="985">
      <c r="R985" s="93"/>
      <c r="S985" s="68"/>
      <c r="T985" s="38" t="str">
        <f>IFERROR(__xludf.DUMMYFUNCTION("IFERROR(
  TRIM(REGEXEXTRACT(H985,""\(Event\)\s*([^,]+)"")),
  IF(V985="""","""",IF(V985=""CASWJ"",""General / No Specific Project"",""General - ""&amp;V985))
)"),"")</f>
        <v/>
      </c>
      <c r="W985" s="38"/>
      <c r="AB985" s="68" t="str">
        <f t="shared" si="6"/>
        <v/>
      </c>
      <c r="AP985" s="94"/>
    </row>
    <row r="986">
      <c r="R986" s="93"/>
      <c r="S986" s="68"/>
      <c r="T986" s="38" t="str">
        <f>IFERROR(__xludf.DUMMYFUNCTION("IFERROR(
  TRIM(REGEXEXTRACT(H986,""\(Event\)\s*([^,]+)"")),
  IF(V986="""","""",IF(V986=""CASWJ"",""General / No Specific Project"",""General - ""&amp;V986))
)"),"")</f>
        <v/>
      </c>
      <c r="W986" s="38"/>
      <c r="AB986" s="68" t="str">
        <f t="shared" si="6"/>
        <v/>
      </c>
      <c r="AP986" s="94"/>
    </row>
    <row r="987">
      <c r="R987" s="93"/>
      <c r="S987" s="68"/>
      <c r="T987" s="38" t="str">
        <f>IFERROR(__xludf.DUMMYFUNCTION("IFERROR(
  TRIM(REGEXEXTRACT(H987,""\(Event\)\s*([^,]+)"")),
  IF(V987="""","""",IF(V987=""CASWJ"",""General / No Specific Project"",""General - ""&amp;V987))
)"),"")</f>
        <v/>
      </c>
      <c r="W987" s="38"/>
      <c r="AB987" s="68" t="str">
        <f t="shared" si="6"/>
        <v/>
      </c>
      <c r="AP987" s="94"/>
    </row>
    <row r="988">
      <c r="R988" s="93"/>
      <c r="S988" s="68"/>
      <c r="T988" s="38" t="str">
        <f>IFERROR(__xludf.DUMMYFUNCTION("IFERROR(
  TRIM(REGEXEXTRACT(H988,""\(Event\)\s*([^,]+)"")),
  IF(V988="""","""",IF(V988=""CASWJ"",""General / No Specific Project"",""General - ""&amp;V988))
)"),"")</f>
        <v/>
      </c>
      <c r="W988" s="38"/>
      <c r="AB988" s="68" t="str">
        <f t="shared" si="6"/>
        <v/>
      </c>
      <c r="AP988" s="94"/>
    </row>
    <row r="989">
      <c r="R989" s="93"/>
      <c r="S989" s="68"/>
      <c r="T989" s="38" t="str">
        <f>IFERROR(__xludf.DUMMYFUNCTION("IFERROR(
  TRIM(REGEXEXTRACT(H989,""\(Event\)\s*([^,]+)"")),
  IF(V989="""","""",IF(V989=""CASWJ"",""General / No Specific Project"",""General - ""&amp;V989))
)"),"")</f>
        <v/>
      </c>
      <c r="W989" s="38"/>
      <c r="AB989" s="68" t="str">
        <f t="shared" si="6"/>
        <v/>
      </c>
      <c r="AP989" s="94"/>
    </row>
    <row r="990">
      <c r="R990" s="93"/>
      <c r="S990" s="68"/>
      <c r="T990" s="38" t="str">
        <f>IFERROR(__xludf.DUMMYFUNCTION("IFERROR(
  TRIM(REGEXEXTRACT(H990,""\(Event\)\s*([^,]+)"")),
  IF(V990="""","""",IF(V990=""CASWJ"",""General / No Specific Project"",""General - ""&amp;V990))
)"),"")</f>
        <v/>
      </c>
      <c r="W990" s="38"/>
      <c r="AB990" s="68" t="str">
        <f t="shared" si="6"/>
        <v/>
      </c>
      <c r="AP990" s="94"/>
    </row>
    <row r="991">
      <c r="R991" s="93"/>
      <c r="S991" s="68"/>
      <c r="T991" s="38" t="str">
        <f>IFERROR(__xludf.DUMMYFUNCTION("IFERROR(
  TRIM(REGEXEXTRACT(H991,""\(Event\)\s*([^,]+)"")),
  IF(V991="""","""",IF(V991=""CASWJ"",""General / No Specific Project"",""General - ""&amp;V991))
)"),"")</f>
        <v/>
      </c>
      <c r="W991" s="38"/>
      <c r="AB991" s="68" t="str">
        <f t="shared" si="6"/>
        <v/>
      </c>
      <c r="AP991" s="94"/>
    </row>
    <row r="992">
      <c r="R992" s="93"/>
      <c r="S992" s="68"/>
      <c r="T992" s="38" t="str">
        <f>IFERROR(__xludf.DUMMYFUNCTION("IFERROR(
  TRIM(REGEXEXTRACT(H992,""\(Event\)\s*([^,]+)"")),
  IF(V992="""","""",IF(V992=""CASWJ"",""General / No Specific Project"",""General - ""&amp;V992))
)"),"")</f>
        <v/>
      </c>
      <c r="W992" s="38"/>
      <c r="AB992" s="68" t="str">
        <f t="shared" si="6"/>
        <v/>
      </c>
      <c r="AP992" s="94"/>
    </row>
    <row r="993">
      <c r="R993" s="93"/>
      <c r="S993" s="68"/>
      <c r="T993" s="38" t="str">
        <f>IFERROR(__xludf.DUMMYFUNCTION("IFERROR(
  TRIM(REGEXEXTRACT(H993,""\(Event\)\s*([^,]+)"")),
  IF(V993="""","""",IF(V993=""CASWJ"",""General / No Specific Project"",""General - ""&amp;V993))
)"),"")</f>
        <v/>
      </c>
      <c r="W993" s="38"/>
      <c r="AB993" s="68" t="str">
        <f t="shared" si="6"/>
        <v/>
      </c>
      <c r="AP993" s="94"/>
    </row>
    <row r="994">
      <c r="R994" s="93"/>
      <c r="S994" s="68"/>
      <c r="T994" s="38" t="str">
        <f>IFERROR(__xludf.DUMMYFUNCTION("IFERROR(
  TRIM(REGEXEXTRACT(H994,""\(Event\)\s*([^,]+)"")),
  IF(V994="""","""",IF(V994=""CASWJ"",""General / No Specific Project"",""General - ""&amp;V994))
)"),"")</f>
        <v/>
      </c>
      <c r="W994" s="38"/>
      <c r="AB994" s="68" t="str">
        <f t="shared" si="6"/>
        <v/>
      </c>
      <c r="AP994" s="94"/>
    </row>
    <row r="995">
      <c r="R995" s="93"/>
      <c r="S995" s="68"/>
      <c r="T995" s="38" t="str">
        <f>IFERROR(__xludf.DUMMYFUNCTION("IFERROR(
  TRIM(REGEXEXTRACT(H995,""\(Event\)\s*([^,]+)"")),
  IF(V995="""","""",IF(V995=""CASWJ"",""General / No Specific Project"",""General - ""&amp;V995))
)"),"")</f>
        <v/>
      </c>
      <c r="W995" s="38"/>
      <c r="AB995" s="68" t="str">
        <f t="shared" si="6"/>
        <v/>
      </c>
      <c r="AP995" s="94"/>
    </row>
    <row r="996">
      <c r="R996" s="93"/>
      <c r="S996" s="68"/>
      <c r="T996" s="38" t="str">
        <f>IFERROR(__xludf.DUMMYFUNCTION("IFERROR(
  TRIM(REGEXEXTRACT(H996,""\(Event\)\s*([^,]+)"")),
  IF(V996="""","""",IF(V996=""CASWJ"",""General / No Specific Project"",""General - ""&amp;V996))
)"),"")</f>
        <v/>
      </c>
      <c r="W996" s="38"/>
      <c r="AB996" s="68" t="str">
        <f t="shared" si="6"/>
        <v/>
      </c>
      <c r="AP996" s="94"/>
    </row>
    <row r="997">
      <c r="R997" s="93"/>
      <c r="S997" s="68"/>
      <c r="T997" s="38" t="str">
        <f>IFERROR(__xludf.DUMMYFUNCTION("IFERROR(
  TRIM(REGEXEXTRACT(H997,""\(Event\)\s*([^,]+)"")),
  IF(V997="""","""",IF(V997=""CASWJ"",""General / No Specific Project"",""General - ""&amp;V997))
)"),"")</f>
        <v/>
      </c>
      <c r="W997" s="38"/>
      <c r="AB997" s="68" t="str">
        <f t="shared" si="6"/>
        <v/>
      </c>
      <c r="AP997" s="94"/>
    </row>
    <row r="998">
      <c r="R998" s="93"/>
      <c r="S998" s="68"/>
      <c r="T998" s="38" t="str">
        <f>IFERROR(__xludf.DUMMYFUNCTION("IFERROR(
  TRIM(REGEXEXTRACT(H998,""\(Event\)\s*([^,]+)"")),
  IF(V998="""","""",IF(V998=""CASWJ"",""General / No Specific Project"",""General - ""&amp;V998))
)"),"")</f>
        <v/>
      </c>
      <c r="W998" s="38"/>
      <c r="AB998" s="68" t="str">
        <f t="shared" si="6"/>
        <v/>
      </c>
      <c r="AP998" s="94"/>
    </row>
    <row r="999">
      <c r="R999" s="93"/>
      <c r="S999" s="68"/>
      <c r="T999" s="38" t="str">
        <f>IFERROR(__xludf.DUMMYFUNCTION("IFERROR(
  TRIM(REGEXEXTRACT(H999,""\(Event\)\s*([^,]+)"")),
  IF(V999="""","""",IF(V999=""CASWJ"",""General / No Specific Project"",""General - ""&amp;V999))
)"),"")</f>
        <v/>
      </c>
      <c r="W999" s="38"/>
      <c r="AB999" s="68" t="str">
        <f t="shared" si="6"/>
        <v/>
      </c>
      <c r="AP999" s="94"/>
    </row>
    <row r="1000">
      <c r="R1000" s="93"/>
      <c r="S1000" s="68"/>
      <c r="T1000" s="38" t="str">
        <f>IFERROR(__xludf.DUMMYFUNCTION("IFERROR(
  TRIM(REGEXEXTRACT(H1000,""\(Event\)\s*([^,]+)"")),
  IF(V1000="""","""",IF(V1000=""CASWJ"",""General / No Specific Project"",""General - ""&amp;V1000))
)"),"")</f>
        <v/>
      </c>
      <c r="W1000" s="38"/>
      <c r="AB1000" s="68" t="str">
        <f t="shared" si="6"/>
        <v/>
      </c>
      <c r="AP1000" s="94"/>
    </row>
  </sheetData>
  <autoFilter ref="$A$1:$AO$1000"/>
  <conditionalFormatting sqref="S2:AO1000">
    <cfRule type="expression" dxfId="2" priority="1">
      <formula>#REF!="POSSIBLE DUPLICATE"</formula>
    </cfRule>
  </conditionalFormatting>
  <dataValidations>
    <dataValidation type="list" allowBlank="1" showErrorMessage="1" sqref="W2:W1000">
      <formula1>'Lists &amp; Settings'!$J$2:$J$18</formula1>
    </dataValidation>
  </dataValidations>
  <drawing r:id="rId1"/>
</worksheet>
</file>